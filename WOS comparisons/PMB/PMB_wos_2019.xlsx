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LENOVO\Desktop\Edward_Personal\Family\Vadim_Edward_Research_Collab\"/>
    </mc:Choice>
  </mc:AlternateContent>
  <xr:revisionPtr revIDLastSave="0" documentId="8_{BA9A2F39-2F8C-4818-884A-5B36AD13AB70}" xr6:coauthVersionLast="47" xr6:coauthVersionMax="47" xr10:uidLastSave="{00000000-0000-0000-0000-000000000000}"/>
  <bookViews>
    <workbookView xWindow="-110" yWindow="-110" windowWidth="19420" windowHeight="10420" xr2:uid="{A49985CA-87ED-4A43-889A-A18C81D0EDDC}"/>
  </bookViews>
  <sheets>
    <sheet name="savedre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2" i="1" l="1"/>
  <c r="BT2" i="1"/>
  <c r="BF3" i="1"/>
  <c r="BT3" i="1"/>
  <c r="BF4" i="1"/>
  <c r="BT4" i="1"/>
  <c r="BF5" i="1"/>
  <c r="BT5" i="1"/>
  <c r="BF6" i="1"/>
  <c r="BT6" i="1"/>
  <c r="BF7" i="1"/>
  <c r="BT7" i="1"/>
  <c r="BF8" i="1"/>
  <c r="BT8" i="1"/>
  <c r="BF9" i="1"/>
  <c r="BT9" i="1"/>
  <c r="BF10" i="1"/>
  <c r="BT10" i="1"/>
  <c r="BF11" i="1"/>
  <c r="BT11" i="1"/>
  <c r="BF12" i="1"/>
  <c r="BT12" i="1"/>
  <c r="BF13" i="1"/>
  <c r="BT13" i="1"/>
  <c r="BF14" i="1"/>
  <c r="BT14" i="1"/>
  <c r="BF15" i="1"/>
  <c r="BT15" i="1"/>
  <c r="BF16" i="1"/>
  <c r="BT16" i="1"/>
  <c r="BF17" i="1"/>
  <c r="BT17" i="1"/>
  <c r="BF18" i="1"/>
  <c r="BT18" i="1"/>
  <c r="BF19" i="1"/>
  <c r="BT19" i="1"/>
  <c r="BF20" i="1"/>
  <c r="BT20" i="1"/>
  <c r="BF21" i="1"/>
  <c r="BT21" i="1"/>
  <c r="BF22" i="1"/>
  <c r="BT22" i="1"/>
  <c r="BF23" i="1"/>
  <c r="BT23" i="1"/>
  <c r="BF24" i="1"/>
  <c r="BT24" i="1"/>
  <c r="BF25" i="1"/>
  <c r="BT25" i="1"/>
  <c r="BF26" i="1"/>
  <c r="BT26" i="1"/>
  <c r="BF27" i="1"/>
  <c r="BT27" i="1"/>
  <c r="BF28" i="1"/>
  <c r="BT28" i="1"/>
  <c r="BF29" i="1"/>
  <c r="BT29" i="1"/>
  <c r="BF30" i="1"/>
  <c r="BT30" i="1"/>
  <c r="BF31" i="1"/>
  <c r="BT31" i="1"/>
  <c r="BF32" i="1"/>
  <c r="BT32" i="1"/>
  <c r="BF33" i="1"/>
  <c r="BT33" i="1"/>
  <c r="BF34" i="1"/>
  <c r="BT34" i="1"/>
  <c r="BF35" i="1"/>
  <c r="BT35" i="1"/>
  <c r="BF36" i="1"/>
  <c r="BT36" i="1"/>
  <c r="BF37" i="1"/>
  <c r="BT37" i="1"/>
  <c r="BF38" i="1"/>
  <c r="BT38" i="1"/>
  <c r="BF39" i="1"/>
  <c r="BT39" i="1"/>
  <c r="BF40" i="1"/>
  <c r="BT40" i="1"/>
  <c r="BF41" i="1"/>
  <c r="BT41" i="1"/>
  <c r="BF42" i="1"/>
  <c r="BT42" i="1"/>
  <c r="BF43" i="1"/>
  <c r="BT43" i="1"/>
  <c r="BF44" i="1"/>
  <c r="BT44" i="1"/>
  <c r="BF45" i="1"/>
  <c r="BT45" i="1"/>
  <c r="BF46" i="1"/>
  <c r="BT46" i="1"/>
  <c r="BF47" i="1"/>
  <c r="BT47" i="1"/>
  <c r="BF48" i="1"/>
  <c r="BT48" i="1"/>
  <c r="BF49" i="1"/>
  <c r="BT49" i="1"/>
  <c r="BF50" i="1"/>
  <c r="BT50" i="1"/>
  <c r="BF51" i="1"/>
  <c r="BT51" i="1"/>
  <c r="BF52" i="1"/>
  <c r="BT52" i="1"/>
  <c r="BF53" i="1"/>
  <c r="BT53" i="1"/>
  <c r="BF54" i="1"/>
  <c r="BT54" i="1"/>
  <c r="BF55" i="1"/>
  <c r="BT55" i="1"/>
  <c r="BF56" i="1"/>
  <c r="BT56" i="1"/>
  <c r="BF57" i="1"/>
  <c r="BT57" i="1"/>
  <c r="BF58" i="1"/>
  <c r="BT58" i="1"/>
  <c r="BF59" i="1"/>
  <c r="BT59" i="1"/>
  <c r="BF60" i="1"/>
  <c r="BT60" i="1"/>
  <c r="BF61" i="1"/>
  <c r="BT61" i="1"/>
  <c r="BF62" i="1"/>
  <c r="BT62" i="1"/>
  <c r="BF63" i="1"/>
  <c r="BT63" i="1"/>
  <c r="BF64" i="1"/>
  <c r="BT64" i="1"/>
  <c r="BF65" i="1"/>
  <c r="BT65" i="1"/>
  <c r="BF66" i="1"/>
  <c r="BT66" i="1"/>
  <c r="BF67" i="1"/>
  <c r="BT67" i="1"/>
  <c r="BF68" i="1"/>
  <c r="BT68" i="1"/>
  <c r="BF69" i="1"/>
  <c r="BT69" i="1"/>
  <c r="BF70" i="1"/>
  <c r="BT70" i="1"/>
  <c r="BF71" i="1"/>
  <c r="BT71" i="1"/>
  <c r="BF72" i="1"/>
  <c r="BT72" i="1"/>
  <c r="BF73" i="1"/>
  <c r="BT73" i="1"/>
  <c r="BF74" i="1"/>
  <c r="BT74" i="1"/>
  <c r="BF75" i="1"/>
  <c r="BT75" i="1"/>
  <c r="BF76" i="1"/>
  <c r="BT76" i="1"/>
  <c r="BF77" i="1"/>
  <c r="BT77" i="1"/>
  <c r="BF78" i="1"/>
  <c r="BT78" i="1"/>
  <c r="BF79" i="1"/>
  <c r="BT79" i="1"/>
  <c r="BF80" i="1"/>
  <c r="BT80" i="1"/>
  <c r="BF81" i="1"/>
  <c r="BT81" i="1"/>
  <c r="BF82" i="1"/>
  <c r="BT82" i="1"/>
  <c r="BF83" i="1"/>
  <c r="BT83" i="1"/>
  <c r="BF84" i="1"/>
  <c r="BT84" i="1"/>
  <c r="BF85" i="1"/>
  <c r="BT85" i="1"/>
  <c r="BF86" i="1"/>
  <c r="BT86" i="1"/>
  <c r="BF87" i="1"/>
  <c r="BT87" i="1"/>
  <c r="BF88" i="1"/>
  <c r="BT88" i="1"/>
  <c r="BF89" i="1"/>
  <c r="BT89" i="1"/>
  <c r="BF90" i="1"/>
  <c r="BT90" i="1"/>
  <c r="BF91" i="1"/>
  <c r="BT91" i="1"/>
  <c r="BF92" i="1"/>
  <c r="BT92" i="1"/>
  <c r="BF93" i="1"/>
  <c r="BT93" i="1"/>
  <c r="BF94" i="1"/>
  <c r="BT94" i="1"/>
  <c r="BF95" i="1"/>
  <c r="BT95" i="1"/>
  <c r="BF96" i="1"/>
  <c r="BT96" i="1"/>
  <c r="BF97" i="1"/>
  <c r="BT97" i="1"/>
  <c r="BF98" i="1"/>
  <c r="BT98" i="1"/>
  <c r="BF99" i="1"/>
  <c r="BT99" i="1"/>
  <c r="BF100" i="1"/>
  <c r="BT100" i="1"/>
  <c r="BF101" i="1"/>
  <c r="BT101" i="1"/>
  <c r="BF102" i="1"/>
  <c r="BT102" i="1"/>
  <c r="BF103" i="1"/>
  <c r="BT103" i="1"/>
  <c r="BF104" i="1"/>
  <c r="BT104" i="1"/>
  <c r="BF105" i="1"/>
  <c r="BT105" i="1"/>
  <c r="BF106" i="1"/>
  <c r="BT106" i="1"/>
  <c r="BF107" i="1"/>
  <c r="BT107" i="1"/>
  <c r="BF108" i="1"/>
  <c r="BT108" i="1"/>
  <c r="BF109" i="1"/>
  <c r="BT109" i="1"/>
  <c r="BF110" i="1"/>
  <c r="BT110" i="1"/>
  <c r="BF111" i="1"/>
  <c r="BT111" i="1"/>
  <c r="BF112" i="1"/>
  <c r="BT112" i="1"/>
  <c r="BF113" i="1"/>
  <c r="BT113" i="1"/>
  <c r="BF114" i="1"/>
  <c r="BT114" i="1"/>
  <c r="BF115" i="1"/>
  <c r="BT115" i="1"/>
  <c r="BF116" i="1"/>
  <c r="BT116" i="1"/>
  <c r="BF117" i="1"/>
  <c r="BT117" i="1"/>
  <c r="BF118" i="1"/>
  <c r="BT118" i="1"/>
  <c r="BF119" i="1"/>
  <c r="BT119" i="1"/>
  <c r="BF120" i="1"/>
  <c r="BT120" i="1"/>
  <c r="BF121" i="1"/>
  <c r="BT121" i="1"/>
  <c r="BF122" i="1"/>
  <c r="BT122" i="1"/>
  <c r="BF123" i="1"/>
  <c r="BT123" i="1"/>
  <c r="BF124" i="1"/>
  <c r="BT124" i="1"/>
  <c r="BF125" i="1"/>
  <c r="BT125" i="1"/>
  <c r="BF126" i="1"/>
  <c r="BT126" i="1"/>
  <c r="BF127" i="1"/>
  <c r="BT127" i="1"/>
  <c r="BF128" i="1"/>
  <c r="BT128" i="1"/>
  <c r="BF129" i="1"/>
  <c r="BT129" i="1"/>
  <c r="BF130" i="1"/>
  <c r="BT130" i="1"/>
  <c r="BF131" i="1"/>
  <c r="BT131" i="1"/>
  <c r="BF132" i="1"/>
  <c r="BT132" i="1"/>
  <c r="BF133" i="1"/>
  <c r="BT133" i="1"/>
  <c r="BF134" i="1"/>
  <c r="BT134" i="1"/>
  <c r="BF135" i="1"/>
  <c r="BT135" i="1"/>
  <c r="BF136" i="1"/>
  <c r="BT136" i="1"/>
  <c r="BF137" i="1"/>
  <c r="BT137" i="1"/>
  <c r="BF138" i="1"/>
  <c r="BT138" i="1"/>
  <c r="BF139" i="1"/>
  <c r="BT139" i="1"/>
  <c r="BF140" i="1"/>
  <c r="BT140" i="1"/>
  <c r="BF141" i="1"/>
  <c r="BT141" i="1"/>
  <c r="BF142" i="1"/>
  <c r="BT142" i="1"/>
  <c r="BF143" i="1"/>
  <c r="BT143" i="1"/>
  <c r="BF144" i="1"/>
  <c r="BT144" i="1"/>
  <c r="BF145" i="1"/>
  <c r="BT145" i="1"/>
  <c r="BF146" i="1"/>
  <c r="BT146" i="1"/>
  <c r="BF147" i="1"/>
  <c r="BT147" i="1"/>
  <c r="BF148" i="1"/>
  <c r="BT148" i="1"/>
  <c r="BF149" i="1"/>
  <c r="BT149" i="1"/>
  <c r="BF150" i="1"/>
  <c r="BT150" i="1"/>
  <c r="BF151" i="1"/>
  <c r="BT151" i="1"/>
  <c r="BF152" i="1"/>
  <c r="BT152" i="1"/>
  <c r="BF153" i="1"/>
  <c r="BT153" i="1"/>
  <c r="BF154" i="1"/>
  <c r="BT154" i="1"/>
  <c r="BF155" i="1"/>
  <c r="BT155" i="1"/>
  <c r="BF156" i="1"/>
  <c r="BT156" i="1"/>
  <c r="BF157" i="1"/>
  <c r="BT157" i="1"/>
  <c r="BF158" i="1"/>
  <c r="BT158" i="1"/>
  <c r="BF159" i="1"/>
  <c r="BT159" i="1"/>
  <c r="BF160" i="1"/>
  <c r="BT160" i="1"/>
  <c r="BF161" i="1"/>
  <c r="BT161" i="1"/>
  <c r="BF162" i="1"/>
  <c r="BT162" i="1"/>
  <c r="BF163" i="1"/>
  <c r="BT163" i="1"/>
  <c r="BF164" i="1"/>
  <c r="BT164" i="1"/>
  <c r="BF165" i="1"/>
  <c r="BT165" i="1"/>
  <c r="BF166" i="1"/>
  <c r="BT166" i="1"/>
  <c r="BF167" i="1"/>
  <c r="BT167" i="1"/>
  <c r="BF168" i="1"/>
  <c r="BT168" i="1"/>
  <c r="BF169" i="1"/>
  <c r="BT169" i="1"/>
  <c r="BF170" i="1"/>
  <c r="BT170" i="1"/>
  <c r="BF171" i="1"/>
  <c r="BT171" i="1"/>
  <c r="BF172" i="1"/>
  <c r="BT172" i="1"/>
  <c r="BF173" i="1"/>
  <c r="BT173" i="1"/>
  <c r="BF174" i="1"/>
  <c r="BT174" i="1"/>
  <c r="BF175" i="1"/>
  <c r="BT175" i="1"/>
  <c r="BF176" i="1"/>
  <c r="BT176" i="1"/>
  <c r="BF177" i="1"/>
  <c r="BT177" i="1"/>
  <c r="BF178" i="1"/>
  <c r="BT178" i="1"/>
  <c r="BF179" i="1"/>
  <c r="BT179" i="1"/>
  <c r="BF180" i="1"/>
  <c r="BT180" i="1"/>
  <c r="BF181" i="1"/>
  <c r="BT181" i="1"/>
  <c r="BF182" i="1"/>
  <c r="BT182" i="1"/>
  <c r="BF183" i="1"/>
  <c r="BT183" i="1"/>
  <c r="BF184" i="1"/>
  <c r="BT184" i="1"/>
  <c r="BF185" i="1"/>
  <c r="BT185" i="1"/>
  <c r="BF186" i="1"/>
  <c r="BT186" i="1"/>
  <c r="BF187" i="1"/>
  <c r="BT187" i="1"/>
  <c r="BF188" i="1"/>
  <c r="BT188" i="1"/>
  <c r="BF189" i="1"/>
  <c r="BT189" i="1"/>
  <c r="BF190" i="1"/>
  <c r="BT190" i="1"/>
  <c r="BF191" i="1"/>
  <c r="BT191" i="1"/>
  <c r="BF192" i="1"/>
  <c r="BT192" i="1"/>
  <c r="BF193" i="1"/>
  <c r="BT193" i="1"/>
  <c r="BF194" i="1"/>
  <c r="BT194" i="1"/>
  <c r="BF195" i="1"/>
  <c r="BT195" i="1"/>
  <c r="BF196" i="1"/>
  <c r="BT196" i="1"/>
  <c r="BF197" i="1"/>
  <c r="BT197" i="1"/>
  <c r="BF198" i="1"/>
  <c r="BT198" i="1"/>
  <c r="BF199" i="1"/>
  <c r="BT199" i="1"/>
  <c r="BF200" i="1"/>
  <c r="BT200" i="1"/>
  <c r="BF201" i="1"/>
  <c r="BT201" i="1"/>
  <c r="BF202" i="1"/>
  <c r="BT202" i="1"/>
  <c r="BF203" i="1"/>
  <c r="BT203" i="1"/>
  <c r="BF204" i="1"/>
  <c r="BT204" i="1"/>
  <c r="BF205" i="1"/>
  <c r="BT205" i="1"/>
  <c r="BF206" i="1"/>
  <c r="BT206" i="1"/>
  <c r="BF207" i="1"/>
  <c r="BT207" i="1"/>
  <c r="BF208" i="1"/>
  <c r="BT208" i="1"/>
  <c r="BF209" i="1"/>
  <c r="BT209" i="1"/>
  <c r="BF210" i="1"/>
  <c r="BT210" i="1"/>
  <c r="BF211" i="1"/>
  <c r="BT211" i="1"/>
  <c r="BF212" i="1"/>
  <c r="BT212" i="1"/>
  <c r="BF213" i="1"/>
  <c r="BT213" i="1"/>
  <c r="BF214" i="1"/>
  <c r="BT214" i="1"/>
  <c r="BF215" i="1"/>
  <c r="BT215" i="1"/>
  <c r="BF216" i="1"/>
  <c r="BT216" i="1"/>
  <c r="BF217" i="1"/>
  <c r="BT217" i="1"/>
  <c r="BF218" i="1"/>
  <c r="BT218" i="1"/>
  <c r="BF219" i="1"/>
  <c r="BT219" i="1"/>
  <c r="BF220" i="1"/>
  <c r="BT220" i="1"/>
  <c r="BF221" i="1"/>
  <c r="BT221" i="1"/>
  <c r="BF222" i="1"/>
  <c r="BT222" i="1"/>
  <c r="BF223" i="1"/>
  <c r="BT223" i="1"/>
  <c r="BF224" i="1"/>
  <c r="BT224" i="1"/>
  <c r="BF225" i="1"/>
  <c r="BT225" i="1"/>
  <c r="BF226" i="1"/>
  <c r="BT226" i="1"/>
  <c r="BF227" i="1"/>
  <c r="BT227" i="1"/>
  <c r="BF228" i="1"/>
  <c r="BT228" i="1"/>
  <c r="BF229" i="1"/>
  <c r="BT229" i="1"/>
  <c r="BF230" i="1"/>
  <c r="BT230" i="1"/>
  <c r="BF231" i="1"/>
  <c r="BT231" i="1"/>
  <c r="BF232" i="1"/>
  <c r="BT232" i="1"/>
  <c r="BF233" i="1"/>
  <c r="BT233" i="1"/>
  <c r="BF234" i="1"/>
  <c r="BT234" i="1"/>
  <c r="BF235" i="1"/>
  <c r="BT235" i="1"/>
  <c r="BF236" i="1"/>
  <c r="BT236" i="1"/>
  <c r="BF237" i="1"/>
  <c r="BT237" i="1"/>
  <c r="BF238" i="1"/>
  <c r="BT238" i="1"/>
  <c r="BF239" i="1"/>
  <c r="BT239" i="1"/>
  <c r="BF240" i="1"/>
  <c r="BT240" i="1"/>
  <c r="BF241" i="1"/>
  <c r="BT241" i="1"/>
  <c r="BF242" i="1"/>
  <c r="BT242" i="1"/>
  <c r="BF243" i="1"/>
  <c r="BT243" i="1"/>
  <c r="BF244" i="1"/>
  <c r="BT244" i="1"/>
  <c r="BF245" i="1"/>
  <c r="BT245" i="1"/>
  <c r="BF246" i="1"/>
  <c r="BT246" i="1"/>
  <c r="BF247" i="1"/>
  <c r="BT247" i="1"/>
  <c r="BF248" i="1"/>
  <c r="BT248" i="1"/>
  <c r="BF249" i="1"/>
  <c r="BT249" i="1"/>
  <c r="BF250" i="1"/>
  <c r="BT250" i="1"/>
  <c r="BF251" i="1"/>
  <c r="BT251" i="1"/>
  <c r="BF252" i="1"/>
  <c r="BT252" i="1"/>
  <c r="BF253" i="1"/>
  <c r="BT253" i="1"/>
  <c r="BF254" i="1"/>
  <c r="BT254" i="1"/>
  <c r="BF255" i="1"/>
  <c r="BT255" i="1"/>
  <c r="BF256" i="1"/>
  <c r="BT256" i="1"/>
  <c r="BF257" i="1"/>
  <c r="BT257" i="1"/>
  <c r="BF258" i="1"/>
  <c r="BT258" i="1"/>
  <c r="BF259" i="1"/>
  <c r="BT259" i="1"/>
  <c r="BF260" i="1"/>
  <c r="BT260" i="1"/>
  <c r="BF261" i="1"/>
  <c r="BT261" i="1"/>
  <c r="BF262" i="1"/>
  <c r="BT262" i="1"/>
  <c r="BF263" i="1"/>
  <c r="BT263" i="1"/>
  <c r="BF264" i="1"/>
  <c r="BT264" i="1"/>
  <c r="BF265" i="1"/>
  <c r="BT265" i="1"/>
  <c r="BF266" i="1"/>
  <c r="BT266" i="1"/>
  <c r="BF267" i="1"/>
  <c r="BT267" i="1"/>
  <c r="BF268" i="1"/>
  <c r="BT268" i="1"/>
  <c r="BF269" i="1"/>
  <c r="BT269" i="1"/>
  <c r="BF270" i="1"/>
  <c r="BT270" i="1"/>
  <c r="BF271" i="1"/>
  <c r="BT271" i="1"/>
  <c r="BF272" i="1"/>
  <c r="BT272" i="1"/>
  <c r="BF273" i="1"/>
  <c r="BT273" i="1"/>
  <c r="BF274" i="1"/>
  <c r="BT274" i="1"/>
  <c r="BF275" i="1"/>
  <c r="BT275" i="1"/>
  <c r="BF276" i="1"/>
  <c r="BT276" i="1"/>
  <c r="BF277" i="1"/>
  <c r="BT277" i="1"/>
  <c r="BF278" i="1"/>
  <c r="BT278" i="1"/>
  <c r="BF279" i="1"/>
  <c r="BT279" i="1"/>
  <c r="BF280" i="1"/>
  <c r="BT280" i="1"/>
  <c r="BF281" i="1"/>
  <c r="BT281" i="1"/>
  <c r="BF282" i="1"/>
  <c r="BT282" i="1"/>
  <c r="BF283" i="1"/>
  <c r="BT283" i="1"/>
  <c r="BF284" i="1"/>
  <c r="BT284" i="1"/>
  <c r="BF285" i="1"/>
  <c r="BT285" i="1"/>
  <c r="BF286" i="1"/>
  <c r="BT286" i="1"/>
  <c r="BF287" i="1"/>
  <c r="BT287" i="1"/>
  <c r="BF288" i="1"/>
  <c r="BT288" i="1"/>
  <c r="BF289" i="1"/>
  <c r="BT289" i="1"/>
  <c r="BF290" i="1"/>
  <c r="BT290" i="1"/>
  <c r="BF291" i="1"/>
  <c r="BT291" i="1"/>
  <c r="BF292" i="1"/>
  <c r="BT292" i="1"/>
  <c r="BF293" i="1"/>
  <c r="BT293" i="1"/>
  <c r="BF294" i="1"/>
  <c r="BT294" i="1"/>
  <c r="BF295" i="1"/>
  <c r="BT295" i="1"/>
  <c r="BF296" i="1"/>
  <c r="BT296" i="1"/>
  <c r="BF297" i="1"/>
  <c r="BT297" i="1"/>
  <c r="BF298" i="1"/>
  <c r="BT298" i="1"/>
  <c r="BF299" i="1"/>
  <c r="BT299" i="1"/>
  <c r="BF300" i="1"/>
  <c r="BT300" i="1"/>
  <c r="BF301" i="1"/>
  <c r="BT301" i="1"/>
  <c r="BF302" i="1"/>
  <c r="BT302" i="1"/>
  <c r="BF303" i="1"/>
  <c r="BT303" i="1"/>
  <c r="BF304" i="1"/>
  <c r="BT304" i="1"/>
  <c r="BF305" i="1"/>
  <c r="BT305" i="1"/>
  <c r="BF306" i="1"/>
  <c r="BT306" i="1"/>
  <c r="BF307" i="1"/>
  <c r="BT307" i="1"/>
  <c r="BF308" i="1"/>
  <c r="BT308" i="1"/>
  <c r="BF309" i="1"/>
  <c r="BT309" i="1"/>
  <c r="BF310" i="1"/>
  <c r="BT310" i="1"/>
  <c r="BF311" i="1"/>
  <c r="BT311" i="1"/>
  <c r="BF312" i="1"/>
  <c r="BT312" i="1"/>
  <c r="BF313" i="1"/>
  <c r="BT313" i="1"/>
  <c r="BF314" i="1"/>
  <c r="BT314" i="1"/>
  <c r="BF315" i="1"/>
  <c r="BT315" i="1"/>
  <c r="BF316" i="1"/>
  <c r="BT316" i="1"/>
  <c r="BF317" i="1"/>
  <c r="BT317" i="1"/>
  <c r="BF318" i="1"/>
  <c r="BT318" i="1"/>
  <c r="BF319" i="1"/>
  <c r="BT319" i="1"/>
  <c r="BF320" i="1"/>
  <c r="BT320" i="1"/>
  <c r="BF321" i="1"/>
  <c r="BT321" i="1"/>
  <c r="BF322" i="1"/>
  <c r="BT322" i="1"/>
  <c r="BF323" i="1"/>
  <c r="BT323" i="1"/>
  <c r="BF324" i="1"/>
  <c r="BT324" i="1"/>
  <c r="BF325" i="1"/>
  <c r="BT325" i="1"/>
  <c r="BF326" i="1"/>
  <c r="BT326" i="1"/>
  <c r="BF327" i="1"/>
  <c r="BT327" i="1"/>
  <c r="BF328" i="1"/>
  <c r="BT328" i="1"/>
  <c r="BF329" i="1"/>
  <c r="BT329" i="1"/>
  <c r="BF330" i="1"/>
  <c r="BT330" i="1"/>
  <c r="BF331" i="1"/>
  <c r="BT331" i="1"/>
  <c r="BF332" i="1"/>
  <c r="BT332" i="1"/>
  <c r="BF333" i="1"/>
  <c r="BT333" i="1"/>
  <c r="BF334" i="1"/>
  <c r="BT334" i="1"/>
  <c r="BF335" i="1"/>
  <c r="BT335" i="1"/>
  <c r="BF336" i="1"/>
  <c r="BT336" i="1"/>
  <c r="BF337" i="1"/>
  <c r="BT337" i="1"/>
  <c r="BF338" i="1"/>
  <c r="BT338" i="1"/>
  <c r="BF339" i="1"/>
  <c r="BT339" i="1"/>
  <c r="BF340" i="1"/>
  <c r="BT340" i="1"/>
  <c r="BF341" i="1"/>
  <c r="BT341" i="1"/>
  <c r="BF342" i="1"/>
  <c r="BT342" i="1"/>
  <c r="BF343" i="1"/>
  <c r="BT343" i="1"/>
  <c r="BF344" i="1"/>
  <c r="BT344" i="1"/>
  <c r="BF345" i="1"/>
  <c r="BT345" i="1"/>
  <c r="BF346" i="1"/>
  <c r="BT346" i="1"/>
  <c r="BF347" i="1"/>
  <c r="BT347" i="1"/>
  <c r="BF348" i="1"/>
  <c r="BT348" i="1"/>
  <c r="BF349" i="1"/>
  <c r="BT349" i="1"/>
  <c r="BF350" i="1"/>
  <c r="BT350" i="1"/>
  <c r="BF351" i="1"/>
  <c r="BT351" i="1"/>
  <c r="BF352" i="1"/>
  <c r="BT352" i="1"/>
  <c r="BF353" i="1"/>
  <c r="BT353" i="1"/>
  <c r="BF354" i="1"/>
  <c r="BT354" i="1"/>
  <c r="BF355" i="1"/>
  <c r="BT355" i="1"/>
  <c r="BF356" i="1"/>
  <c r="BT356" i="1"/>
  <c r="BF357" i="1"/>
  <c r="BT357" i="1"/>
  <c r="BF358" i="1"/>
  <c r="BT358" i="1"/>
  <c r="BF359" i="1"/>
  <c r="BT359" i="1"/>
  <c r="BF360" i="1"/>
  <c r="BT360" i="1"/>
  <c r="BF361" i="1"/>
  <c r="BT361" i="1"/>
  <c r="BF362" i="1"/>
  <c r="BT362" i="1"/>
  <c r="BF363" i="1"/>
  <c r="BT363" i="1"/>
  <c r="BF364" i="1"/>
  <c r="BT364" i="1"/>
  <c r="BF365" i="1"/>
  <c r="BT365" i="1"/>
  <c r="BF366" i="1"/>
  <c r="BT366" i="1"/>
  <c r="BF367" i="1"/>
  <c r="BT367" i="1"/>
  <c r="BF368" i="1"/>
  <c r="BT368" i="1"/>
  <c r="BF369" i="1"/>
  <c r="BT369" i="1"/>
  <c r="BF370" i="1"/>
  <c r="BT370" i="1"/>
  <c r="BF371" i="1"/>
  <c r="BT371" i="1"/>
  <c r="BF372" i="1"/>
  <c r="BT372" i="1"/>
  <c r="BF373" i="1"/>
  <c r="BT373" i="1"/>
  <c r="BF374" i="1"/>
  <c r="BT374" i="1"/>
  <c r="BF375" i="1"/>
  <c r="BT375" i="1"/>
  <c r="BF376" i="1"/>
  <c r="BT376" i="1"/>
  <c r="BF377" i="1"/>
  <c r="BT377" i="1"/>
  <c r="BF378" i="1"/>
  <c r="BT378" i="1"/>
  <c r="BF379" i="1"/>
  <c r="BT379" i="1"/>
  <c r="BF380" i="1"/>
  <c r="BT380" i="1"/>
  <c r="BF381" i="1"/>
  <c r="BT381" i="1"/>
  <c r="BF382" i="1"/>
  <c r="BT382" i="1"/>
  <c r="BF383" i="1"/>
  <c r="BT383" i="1"/>
  <c r="BF384" i="1"/>
  <c r="BT384" i="1"/>
  <c r="BF385" i="1"/>
  <c r="BT385" i="1"/>
  <c r="BF386" i="1"/>
  <c r="BT386" i="1"/>
  <c r="BF387" i="1"/>
  <c r="BT387" i="1"/>
  <c r="BF388" i="1"/>
  <c r="BT388" i="1"/>
  <c r="BF389" i="1"/>
  <c r="BT389" i="1"/>
  <c r="BF390" i="1"/>
  <c r="BT390" i="1"/>
  <c r="BF391" i="1"/>
  <c r="BT391" i="1"/>
  <c r="BF392" i="1"/>
  <c r="BT392" i="1"/>
  <c r="BF393" i="1"/>
  <c r="BT393" i="1"/>
  <c r="BF394" i="1"/>
  <c r="BT394" i="1"/>
  <c r="BF395" i="1"/>
  <c r="BT395" i="1"/>
  <c r="BF396" i="1"/>
  <c r="BT396" i="1"/>
  <c r="BF397" i="1"/>
  <c r="BT397" i="1"/>
  <c r="BF398" i="1"/>
  <c r="BT398" i="1"/>
  <c r="BF399" i="1"/>
  <c r="BT399" i="1"/>
  <c r="BF400" i="1"/>
  <c r="BT400" i="1"/>
  <c r="BF401" i="1"/>
  <c r="BT401" i="1"/>
  <c r="BF402" i="1"/>
  <c r="BT402" i="1"/>
  <c r="BF403" i="1"/>
  <c r="BT403" i="1"/>
  <c r="BF404" i="1"/>
  <c r="BT404" i="1"/>
  <c r="BF405" i="1"/>
  <c r="BT405" i="1"/>
  <c r="BF406" i="1"/>
  <c r="BT406" i="1"/>
  <c r="BF407" i="1"/>
  <c r="BT407" i="1"/>
  <c r="BF408" i="1"/>
  <c r="BT408" i="1"/>
  <c r="BF409" i="1"/>
  <c r="BT409" i="1"/>
  <c r="BF410" i="1"/>
  <c r="BT410" i="1"/>
  <c r="BF411" i="1"/>
  <c r="BT411" i="1"/>
  <c r="BF412" i="1"/>
  <c r="BT412" i="1"/>
  <c r="BF413" i="1"/>
  <c r="BT413" i="1"/>
  <c r="BF414" i="1"/>
  <c r="BT414" i="1"/>
  <c r="BF415" i="1"/>
  <c r="BT415" i="1"/>
  <c r="BF416" i="1"/>
  <c r="BT416" i="1"/>
  <c r="BF417" i="1"/>
  <c r="BT417" i="1"/>
  <c r="BF418" i="1"/>
  <c r="BT418" i="1"/>
  <c r="BF419" i="1"/>
  <c r="BT419" i="1"/>
  <c r="BF420" i="1"/>
  <c r="BT420" i="1"/>
  <c r="BF421" i="1"/>
  <c r="BT421" i="1"/>
  <c r="BF422" i="1"/>
  <c r="BT422" i="1"/>
  <c r="BF423" i="1"/>
  <c r="BT423" i="1"/>
  <c r="BF424" i="1"/>
  <c r="BT424" i="1"/>
  <c r="BF425" i="1"/>
  <c r="BT425" i="1"/>
  <c r="BF426" i="1"/>
  <c r="BT426" i="1"/>
  <c r="BF427" i="1"/>
  <c r="BT427" i="1"/>
  <c r="BF428" i="1"/>
  <c r="BT428" i="1"/>
  <c r="BF429" i="1"/>
  <c r="BT429" i="1"/>
  <c r="BF430" i="1"/>
  <c r="BT430" i="1"/>
  <c r="BF431" i="1"/>
  <c r="BT431" i="1"/>
  <c r="BF432" i="1"/>
  <c r="BT432" i="1"/>
  <c r="BF433" i="1"/>
  <c r="BT433" i="1"/>
  <c r="BF434" i="1"/>
  <c r="BT434" i="1"/>
  <c r="BF435" i="1"/>
  <c r="BT435" i="1"/>
  <c r="BF436" i="1"/>
  <c r="BT436" i="1"/>
  <c r="BF437" i="1"/>
  <c r="BT437" i="1"/>
  <c r="BF438" i="1"/>
  <c r="BT438" i="1"/>
  <c r="BF439" i="1"/>
  <c r="BT439" i="1"/>
  <c r="BF440" i="1"/>
  <c r="BT440" i="1"/>
  <c r="BF441" i="1"/>
  <c r="BT441" i="1"/>
  <c r="BF442" i="1"/>
  <c r="BT442" i="1"/>
  <c r="BF443" i="1"/>
  <c r="BT443" i="1"/>
  <c r="BF444" i="1"/>
  <c r="BT444" i="1"/>
  <c r="BF445" i="1"/>
  <c r="BT445" i="1"/>
  <c r="BF446" i="1"/>
  <c r="BT446" i="1"/>
  <c r="BF447" i="1"/>
  <c r="BT447" i="1"/>
  <c r="BF448" i="1"/>
  <c r="BT448" i="1"/>
  <c r="BF449" i="1"/>
  <c r="BT449" i="1"/>
  <c r="BF450" i="1"/>
  <c r="BT450" i="1"/>
  <c r="BF451" i="1"/>
  <c r="BT451" i="1"/>
  <c r="BF452" i="1"/>
  <c r="BT452" i="1"/>
  <c r="BF453" i="1"/>
  <c r="BT453" i="1"/>
  <c r="BF454" i="1"/>
  <c r="BT454" i="1"/>
  <c r="BF455" i="1"/>
  <c r="BT455" i="1"/>
  <c r="BF456" i="1"/>
  <c r="BT456" i="1"/>
  <c r="BF457" i="1"/>
  <c r="BT457" i="1"/>
  <c r="BF458" i="1"/>
  <c r="BT458" i="1"/>
  <c r="BF459" i="1"/>
  <c r="BT459" i="1"/>
  <c r="BF460" i="1"/>
  <c r="BT460" i="1"/>
  <c r="BF461" i="1"/>
  <c r="BT461" i="1"/>
  <c r="BF462" i="1"/>
  <c r="BT462" i="1"/>
  <c r="BF463" i="1"/>
  <c r="BT463" i="1"/>
  <c r="BF464" i="1"/>
  <c r="BT464" i="1"/>
  <c r="BF465" i="1"/>
  <c r="BT465" i="1"/>
  <c r="BF466" i="1"/>
  <c r="BT466" i="1"/>
  <c r="BF467" i="1"/>
  <c r="BT467" i="1"/>
  <c r="BF468" i="1"/>
  <c r="BT468" i="1"/>
  <c r="BF469" i="1"/>
  <c r="BT469" i="1"/>
  <c r="BF470" i="1"/>
  <c r="BT470" i="1"/>
  <c r="BF471" i="1"/>
  <c r="BT471" i="1"/>
  <c r="BF472" i="1"/>
  <c r="BT472" i="1"/>
  <c r="BF473" i="1"/>
  <c r="BT473" i="1"/>
  <c r="BF474" i="1"/>
  <c r="BT474" i="1"/>
  <c r="BF475" i="1"/>
  <c r="BT475" i="1"/>
  <c r="BF476" i="1"/>
  <c r="BT476" i="1"/>
  <c r="BF477" i="1"/>
  <c r="BT477" i="1"/>
  <c r="BF478" i="1"/>
  <c r="BT478" i="1"/>
  <c r="BF479" i="1"/>
  <c r="BT479" i="1"/>
  <c r="BF480" i="1"/>
  <c r="BT480" i="1"/>
  <c r="BF481" i="1"/>
  <c r="BT481" i="1"/>
  <c r="BF482" i="1"/>
  <c r="BT482" i="1"/>
  <c r="BF483" i="1"/>
  <c r="BT483" i="1"/>
  <c r="BF484" i="1"/>
  <c r="BT484" i="1"/>
  <c r="BF485" i="1"/>
  <c r="BT485" i="1"/>
  <c r="BF486" i="1"/>
  <c r="BT486" i="1"/>
  <c r="BF487" i="1"/>
  <c r="BT487" i="1"/>
  <c r="BF488" i="1"/>
  <c r="BT488" i="1"/>
  <c r="BF489" i="1"/>
  <c r="BT489" i="1"/>
  <c r="BF490" i="1"/>
  <c r="BT490" i="1"/>
  <c r="BF491" i="1"/>
  <c r="BT491" i="1"/>
  <c r="BF492" i="1"/>
  <c r="BT492" i="1"/>
  <c r="BF493" i="1"/>
  <c r="BT493" i="1"/>
  <c r="BF494" i="1"/>
  <c r="BT494" i="1"/>
  <c r="BF495" i="1"/>
  <c r="BT495" i="1"/>
  <c r="BF496" i="1"/>
  <c r="BT496" i="1"/>
  <c r="BF497" i="1"/>
  <c r="BT497" i="1"/>
  <c r="BF498" i="1"/>
  <c r="BT498" i="1"/>
  <c r="BF499" i="1"/>
  <c r="BT499" i="1"/>
  <c r="BF500" i="1"/>
  <c r="BT500" i="1"/>
  <c r="BF501" i="1"/>
  <c r="BT501" i="1"/>
  <c r="BF502" i="1"/>
  <c r="BT502" i="1"/>
  <c r="BF503" i="1"/>
  <c r="BT503" i="1"/>
  <c r="BF504" i="1"/>
  <c r="BT504" i="1"/>
  <c r="BF505" i="1"/>
  <c r="BT505" i="1"/>
  <c r="BF506" i="1"/>
  <c r="BT506" i="1"/>
  <c r="BF507" i="1"/>
  <c r="BT507" i="1"/>
  <c r="BF508" i="1"/>
  <c r="BT508" i="1"/>
  <c r="BF509" i="1"/>
  <c r="BT509" i="1"/>
  <c r="BF510" i="1"/>
  <c r="BT510" i="1"/>
  <c r="BF511" i="1"/>
  <c r="BT511" i="1"/>
  <c r="BF512" i="1"/>
  <c r="BT512" i="1"/>
  <c r="BF513" i="1"/>
  <c r="BT513" i="1"/>
  <c r="BF514" i="1"/>
  <c r="BT514" i="1"/>
  <c r="BF515" i="1"/>
  <c r="BT515" i="1"/>
  <c r="BF516" i="1"/>
  <c r="BT516" i="1"/>
  <c r="BF517" i="1"/>
  <c r="BT517" i="1"/>
  <c r="BF518" i="1"/>
  <c r="BT518" i="1"/>
  <c r="BF519" i="1"/>
  <c r="BT519" i="1"/>
  <c r="BF520" i="1"/>
  <c r="BT520" i="1"/>
  <c r="BF521" i="1"/>
  <c r="BT521" i="1"/>
  <c r="BF522" i="1"/>
  <c r="BT522" i="1"/>
  <c r="BF523" i="1"/>
  <c r="BT523" i="1"/>
  <c r="BF524" i="1"/>
  <c r="BT524" i="1"/>
  <c r="BF525" i="1"/>
  <c r="BT525" i="1"/>
  <c r="BF526" i="1"/>
  <c r="BT526" i="1"/>
  <c r="BF527" i="1"/>
  <c r="BT527" i="1"/>
  <c r="BF528" i="1"/>
  <c r="BT528" i="1"/>
  <c r="BF529" i="1"/>
  <c r="BT529" i="1"/>
  <c r="BF530" i="1"/>
  <c r="BT530" i="1"/>
  <c r="BF531" i="1"/>
  <c r="BT531" i="1"/>
  <c r="BF532" i="1"/>
  <c r="BT532" i="1"/>
  <c r="BF533" i="1"/>
  <c r="BT533" i="1"/>
  <c r="BF534" i="1"/>
  <c r="BT534" i="1"/>
  <c r="BF535" i="1"/>
  <c r="BT535" i="1"/>
  <c r="BF536" i="1"/>
  <c r="BT536" i="1"/>
  <c r="BF537" i="1"/>
  <c r="BT537" i="1"/>
  <c r="BF538" i="1"/>
  <c r="BT538" i="1"/>
  <c r="BF539" i="1"/>
  <c r="BT539" i="1"/>
  <c r="BF540" i="1"/>
  <c r="BT540" i="1"/>
  <c r="BF541" i="1"/>
  <c r="BT541" i="1"/>
  <c r="BF542" i="1"/>
  <c r="BT542" i="1"/>
  <c r="BF543" i="1"/>
  <c r="BT543" i="1"/>
  <c r="BF544" i="1"/>
  <c r="BT544" i="1"/>
  <c r="BF545" i="1"/>
  <c r="BT545" i="1"/>
  <c r="BF546" i="1"/>
  <c r="BT546" i="1"/>
  <c r="BF547" i="1"/>
  <c r="BT547" i="1"/>
  <c r="BF548" i="1"/>
  <c r="BT548" i="1"/>
  <c r="BF549" i="1"/>
  <c r="BT549" i="1"/>
  <c r="BF550" i="1"/>
  <c r="BT550" i="1"/>
  <c r="BF551" i="1"/>
  <c r="BT551" i="1"/>
  <c r="BF552" i="1"/>
  <c r="BT552" i="1"/>
  <c r="BF553" i="1"/>
  <c r="BT553" i="1"/>
  <c r="BF554" i="1"/>
  <c r="BT554" i="1"/>
  <c r="BF555" i="1"/>
  <c r="BT555" i="1"/>
  <c r="BF556" i="1"/>
  <c r="BT556" i="1"/>
  <c r="BF557" i="1"/>
  <c r="BT557" i="1"/>
  <c r="BF558" i="1"/>
  <c r="BT558" i="1"/>
</calcChain>
</file>

<file path=xl/sharedStrings.xml><?xml version="1.0" encoding="utf-8"?>
<sst xmlns="http://schemas.openxmlformats.org/spreadsheetml/2006/main" count="32981" uniqueCount="8970">
  <si>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</si>
  <si>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</si>
  <si>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</si>
  <si>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</si>
  <si>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</si>
  <si>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</si>
  <si>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</si>
  <si>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</si>
  <si>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</si>
  <si>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</si>
  <si>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</si>
  <si>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</si>
  <si>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</si>
  <si>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</si>
  <si>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</si>
  <si>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</si>
  <si>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</si>
  <si>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</si>
  <si>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</si>
  <si>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</si>
  <si>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</si>
  <si>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</si>
  <si>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</si>
  <si>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</si>
  <si>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</si>
  <si>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</si>
  <si>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</si>
  <si>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</si>
  <si>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</si>
  <si>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</si>
  <si>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</si>
  <si>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</si>
  <si>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</si>
  <si>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</si>
  <si>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</si>
  <si>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</si>
  <si>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</si>
  <si>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</si>
  <si>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</si>
  <si>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</si>
  <si>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</si>
  <si>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</si>
  <si>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</si>
  <si>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</si>
  <si>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</si>
  <si>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</si>
  <si>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</si>
  <si>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</si>
  <si>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</si>
  <si>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</si>
  <si>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</si>
  <si>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</si>
  <si>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</si>
  <si>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</si>
  <si>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</si>
  <si>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</si>
  <si>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</si>
  <si>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</si>
  <si>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</si>
  <si>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</si>
  <si>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</si>
  <si>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</si>
  <si>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</si>
  <si>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</si>
  <si>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</si>
  <si>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</si>
  <si>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</si>
  <si>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</si>
  <si>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</si>
  <si>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</si>
  <si>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</si>
  <si>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</si>
  <si>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</si>
  <si>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Könik, A; Auer, B; De Beenhouwer, J; Kalluri, K; Zeraatkar, N; Furenlid, LR; King, MA</t>
  </si>
  <si>
    <t/>
  </si>
  <si>
    <t>Konik, Arda; Auer, Benjamin; De Beenhouwer, Jan; Kalluri, Kesava; Zeraatkar, Navid; Furenlid, Lars R.; King, Michael A.</t>
  </si>
  <si>
    <t>Primary, scatter, and penetration characterizations of parallel-hole and pinhole collimators for I-123 SPECT</t>
  </si>
  <si>
    <t>PHYSICS IN MEDICINE AND BIOLOGY</t>
  </si>
  <si>
    <t>English</t>
  </si>
  <si>
    <t>Article</t>
  </si>
  <si>
    <t>multi pinhole; MPH; SPECT; I-123; scatter; back scatter; penetration</t>
  </si>
  <si>
    <t>POINT-SPREAD FUNCTION; PERFORMANCE EVALUATION; GAMMA-CAMERA; DESIGN; SIMULATION; SYSTEM; CONTAMINATION; QUALITY; IMAGES; GATE</t>
  </si>
  <si>
    <t>Multi-pinhole (MPH) collimators are known to provide better trade-off between sensitivity and resolution for preclinical, as well as for smaller regions in clinical SPECT imaging compared to conventional collimators. In addition to this geometric advantage, MPH plates typically offer better stopping power for penetration than the conventional collimators, which is especially relevant for I-123 imaging. The I-123 emits a series of high-energy (&gt;300 keV, similar to 2.5% abundance) gamma photons in addition to the primary emission (159 keV, 83% abundance). Despite their low abundance, high-energy photons penetrate through a low-energy parallel-hole (LEHR) collimator much more readily than the 159 keV photons, resulting in large downscatter in the photopeak window. In this work, we investigate the primary, scatter, and penetration characteristics of a single pinhole collimator that is commonly used for I-123 thyroid imaging and our two MPH collimators designed for I-123 DaTscan imaging for Parkinson's Disease, in comparison to three different parallel-hole collimators through a series of experiments and Monte Carlo simulations. The simulations of a point source and a digital human phantom with DaTscan activity distribution showed that our MPH collimators provide superior count performance in terms of high primary counts, low penetration, and low scatter counts compared to the parallel-hole and single pinhole collimators. For example, total scatter, multiple scatter, and collimator penetration events for the LEHR were 2.5, 7.6 and 14 times more than that of MPH within the 15% photopeak window. The total scatter fraction for LEHR was 56% where the largest contribution came from the high-energy scatter from the back compartments (31%). For the same energy window, the total scatter for MPH was 21% with only 1% scatter from the back compartments. We therefore anticipate that using MPH collimators, higher quality reconstructions can be obtained in a substantially shorter acquisition time for I-123 DaTscan and thyroid imaging.</t>
  </si>
  <si>
    <t>[Konik, Arda] Dana Farber Canc Inst, Dept Imaging, Boston, MA 02215 USA; [Auer, Benjamin; Kalluri, Kesava; Zeraatkar, Navid; King, Michael A.] Univ Massachusetts, Dept Radiol, Med Sch, Worcester, MA 01655 USA; [De Beenhouwer, Jan] Univ Antwerp, IMEC Vis Lab, Antwerp, Belgium; [Furenlid, Lars R.] Univ Arizona, Coll Opt Sci, Tucson, AZ 85719 USA</t>
  </si>
  <si>
    <t>Harvard University; Harvard University Medical Affiliates; Dana-Farber Cancer Institute; University of Massachusetts System; University of Massachusetts Worcester; University of Antwerp; Interuniversity Microelectronics Centre; University of Arizona</t>
  </si>
  <si>
    <t>Könik, A (通訊作者)， Dana Farber Canc Inst, Dept Imaging, Boston, MA 02215 USA.</t>
  </si>
  <si>
    <t>Arda_Konik@dfci.harvard.edu</t>
  </si>
  <si>
    <t>King, Michael/JJE-6777-2023; Zeraatkar, Navid/G-4688-2013; Konik, Arda/AAD-7811-2019; Auer, Ben/AAB-6143-2020; Kalluri, Kesava/LBK-7415-2024; Zeraatkar, Navid/J-1830-2019</t>
  </si>
  <si>
    <t>De Beenhouwer, Jan/0000-0001-5253-1274; Kalluri, Kesava/0000-0002-4431-2765; Zeraatkar, Navid/0000-0003-3751-4753; Konik, Arda/0000-0002-9397-8600; Auer, Benjamin/0000-0003-0853-5651;</t>
  </si>
  <si>
    <t>National Institute of Biomedical Imaging and Bioengineering (NIBIB) [R01-EB022092]</t>
  </si>
  <si>
    <t>National Institute of Biomedical Imaging and Bioengineering (NIBIB)(United States Department of Health &amp; Human ServicesNational Institutes of Health (NIH) - USANIH National Institute of Biomedical Imaging &amp; Bioengineering (NIBIB))</t>
  </si>
  <si>
    <t>This work was supported by the National Institute of Biomedical Imaging and Bioengineering (NIBIB) Grant R01-EB022092. The contents are solely the responsibility of the authors and do not necessarily represent the official views of the National Institutes of Health. A preliminary report of ideas in this manuscript based on experimental work with a Philips Healthcare Prism 2000 SPECT system was presented at the 2015 IEEE Nuclear Science Symposium and Medical Imaging Conference and published as: Konik et al (2015).</t>
  </si>
  <si>
    <t>IOP PUBLISHING LTD</t>
  </si>
  <si>
    <t>BRISTOL</t>
  </si>
  <si>
    <t>TEMPLE CIRCUS, TEMPLE WAY, BRISTOL BS1 6BE, ENGLAND</t>
  </si>
  <si>
    <t>0031-9155</t>
  </si>
  <si>
    <t>1361-6560</t>
  </si>
  <si>
    <t>PHYS MED BIOL</t>
  </si>
  <si>
    <t>Phys. Med. Biol.</t>
  </si>
  <si>
    <t>DEC</t>
  </si>
  <si>
    <t>10.1088/1361-6560/ab58fe</t>
  </si>
  <si>
    <t>Engineering, Biomedical; Radiology, Nuclear Medicine &amp; Medical Imaging</t>
  </si>
  <si>
    <t>Science Citation Index Expanded (SCI-EXPANDED)</t>
  </si>
  <si>
    <t>Engineering; Radiology, Nuclear Medicine &amp; Medical Imaging</t>
  </si>
  <si>
    <t>KK8TV</t>
  </si>
  <si>
    <t>Green Accepted</t>
  </si>
  <si>
    <t>2025-07-10</t>
  </si>
  <si>
    <t>WOS:000513009900001</t>
  </si>
  <si>
    <t>Lai, YF; Zhong, YC; Chalise, A; Shao, YP; Jin, MW; Jia, X; Chi, YJ</t>
  </si>
  <si>
    <t>Lai, Youfang; Zhong, Yuncheng; Chalise, Ananta; Shao, Yiping; Jin, Mingwu; Jia, Xun; Chi, Yujie</t>
  </si>
  <si>
    <t>gPET: a GPU-based, accurate and efficient Monte Carlo simulation tool for PET</t>
  </si>
  <si>
    <t>Monte Carlo simulation; positron emission tomography; graphics processing unit (GPU) computing</t>
  </si>
  <si>
    <t>POSITRON RANGE; RECONSTRUCTION; VERIFICATION; PHOTON; GATE; CODE</t>
  </si>
  <si>
    <t>Monte Carlo (MC) simulation method plays an essential role in the refinement and development of positron emission tomography (PET) systems. However, most existing MC simulation packages suffer from long execution time for practical PET simulations. To fully address this issue, we developed and validated gPET, a graphics processing unit (GPU)-based MC simulation tool for PET. gPET was built on the NVidia CUDA platform. The simulation process was modularized into three functional parts and carried out by the GPU parallel threads: (1) source management, including positron decay, transport and annihilation; (2) gamma transport inside the phantom; and (3) signal detection and processing inside the detector. A hybrid of voxelized (for patient phantoms) and parametrized (for detectors) geometries were employed to sufficiently support particle navigations. Multiple inputs and outputs were available. Hence, a user can flexibly examine different aspects of a PET simulation. We evaluated the performance of gPET in three test cases with benchmark work from GATE8.0, in terms of the testing of the functional modules, the physics models used for gamma transport inside the detector, and the geometric configuration of an irregularly shaped PET detector. Both accuracy and efficiency were quantified. In all test cases, the differences between gPET and GATE for the coincidences with respect to the energy and crystal index distributions are below 3.18% and 2.54%, respectively. The speedup factor is 500 for gPET on a single Titan Xp GPU (1.58 GHz) over GATE8.0 on a single core of Intel i7-6850K CPU (3.6 GHz) for all test cases. In summary, gPET is an accurate and efficient MC simulation tool for PET.</t>
  </si>
  <si>
    <t>[Lai, Youfang; Chalise, Ananta; Jin, Mingwu; Chi, Yujie] Univ Texas Arlington, Dept Phys, POB 19059, Arlington, TX 76019 USA; [Zhong, Yuncheng; Jia, Xun] Univ Texas Southwestern Med Ctr Dallas, Dept Radiat Oncol, Innovat Technol Radiotherapy Computat &amp; Hardware, Dallas, TX 75390 USA; [Zhong, Yuncheng; Shao, Yiping; Jia, Xun] Univ Texas Southwestern Med Ctr Dallas, Dept Radiat Oncol, Dallas, TX 75390 USA</t>
  </si>
  <si>
    <t>University of Texas System; University of Texas Arlington; University of Texas System; University of Texas Southwestern Medical Center; University of Texas System; University of Texas Southwestern Medical Center</t>
  </si>
  <si>
    <t>Jia, X (通訊作者)， Univ Texas Southwestern Med Ctr Dallas, Dept Radiat Oncol, Innovat Technol Radiotherapy Computat &amp; Hardware, Dallas, TX 75390 USA.;Jia, X (通訊作者)， Univ Texas Southwestern Med Ctr Dallas, Dept Radiat Oncol, Dallas, TX 75390 USA.</t>
  </si>
  <si>
    <t>Xun.Jia@UTSouthwestern.edu; Yujie.Chi@uta.edu</t>
  </si>
  <si>
    <t>; lai, youfang/AAQ-4863-2021</t>
  </si>
  <si>
    <t>Chalise, Ananta Raj/0000-0003-4281-2771; Jin, Mingwu/0000-0003-3987-2896; Lai, Youfang/0000-0001-6940-9646</t>
  </si>
  <si>
    <t>Cancer Prevention and Research Institute of Texas [RP160661]; National Institutes of Health [1R01CA218402, R15CA199020-01A1]</t>
  </si>
  <si>
    <t>Cancer Prevention and Research Institute of Texas(Cancer Prevention &amp; Research Institute of Texas); National Institutes of Health(United States Department of Health &amp; Human ServicesNational Institutes of Health (NIH) - USA)</t>
  </si>
  <si>
    <t>This work is partially supported by the Cancer Prevention and Research Institute of Texas (RP160661) and by the National Institutes of Health (1R01CA218402 and R15CA199020-01A1). The authors are grateful to Drs Michael King and Ben Auer from the University of Massachusetts Medical School for suggestive discussions during the preparation of this manuscript. The authors thank Dr Jonathan Feinberg for editing the manuscript.</t>
  </si>
  <si>
    <t>10.1088/1361-6560/ab5610</t>
  </si>
  <si>
    <t>WOS:000513009900002</t>
  </si>
  <si>
    <t>Pappas, E; Kalaitzakis, G; Boursianis, T; Zoros, E; Zourari, K; Pappas, EP; Makris, D; Seimenis, I; Efstathopoulos, E; Maris, TG</t>
  </si>
  <si>
    <t>Pappas, E.; Kalaitzakis, G.; Boursianis, T.; Zoros, E.; Zourari, K.; Pappas, E. P.; Makris, D.; Seimenis, I; Efstathopoulos, E.; Maris, T. G.</t>
  </si>
  <si>
    <t>Dosimetric performance of the Elekta Unity MR-linac system: 2D and 3D dosimetry in anthropomorphic inhomogeneous geometry</t>
  </si>
  <si>
    <t>unity; MR-linac; 3D dosimetry; virtual couch shift; polymer gel; film; adaptive treatment planning</t>
  </si>
  <si>
    <t>MAGNETIC-RESONANCE; POLYMER GEL; ADAPTIVE RADIOTHERAPY; RADIATION-THERAPY; FILM DOSIMETRY; FIELD; IMPACT; INDEX; CONFORMITY; CHAMBER</t>
  </si>
  <si>
    <t>Following the clinical introduction of the Elekta Unity MR-linac, there is an urgent need for development of dosimetry protocols and tools, not affected by the presence of a magnetic field. This work presents a benchmarking methodology comprising 2D/3D passive dosimetry and involving on-couch adaptive treatment planning, a unique step in MR-linac workflows. Two identical commercially available 3D-printed head phantoms (featuring realistic bone anatomy and MR/CT contrast) were employed. One phantom incorporated a film dosimetry insert, while the second was filled with polymer gel. Gel dose-response characteristics were evaluated under the Unity irradiation and read-out conditions, using vials and a cubic container filled with gel from the same batch. Treatment plan for the head phantoms involved a hypothetical large C-shape brain lesion, partly surrounding the brainstem. An IMRT step-and-shoot 7-beam plan was employed. Pre-treatment on-couch MR-images were acquired in order for the treatment planning system to calculate the virtual couch shifts and perform adaptive planning. Absolute 2D and relative 3D measurements were compared against calculations related to both adapted and original plans. Real-time dose accumulation monitoring in the gel-filled phantom was also performed. Results from the vials and cubic container suggest that gel dose-response is linear in the dose range investigated and signal integrity is mature at the read-out timings considered. Head phantom 2D and 3D measurements agreed well with calculations with 3D gamma index passing rates above 90% in all cases, even with the most stringent criteria used (2?mm/2%). By exploiting the 3D information provided by the gel, comparison also involved DVHs, dose-volume and plan quality metrics, which also reflected the agreement between adapted and delivered plans within??4%. No considerable discrepancies were detected between adapted and original plans. A novel methodology was developed and implemented, suitable for QA procedures in Unity. TPS calculations were validated within the experimental uncertainties involved.</t>
  </si>
  <si>
    <t>[Pappas, E.] Univ West Attica, Dept Biomed Sci, Radiol &amp; Radiotherapy Sect, Athens, Greece; [Kalaitzakis, G.; Boursianis, T.; Maris, T. G.] Univ Crete, Dept Med Phys, Iraklion, Crete, Greece; [Zoros, E.; Zourari, K.; Pappas, E. P.; Seimenis, I] Univ Athens, Med Sch, Med Phys Lab, Athens 11527, Greece; [Makris, D.; Efstathopoulos, E.] Univ Athens, Med Sch, Dept Radiol 2, Athens, Greece</t>
  </si>
  <si>
    <t>University of West Attica; University of Crete; National &amp; Kapodistrian University of Athens; National &amp; Kapodistrian University of Athens</t>
  </si>
  <si>
    <t>Pappas, E (通訊作者)， Univ West Attica, Dept Biomed Sci, Radiol &amp; Radiotherapy Sect, Athens, Greece.</t>
  </si>
  <si>
    <t>epappas@uniwa.gr</t>
  </si>
  <si>
    <t>; Seimenis, Ioannis/AAF-4406-2021; Pappas, Eleftherios/S-9920-2019; Maris, Thomas/AAJ-6208-2020; Pappas, Evangelos/AAN-3950-2020; Kalaitzakis, Georgios/AAX-6526-2020</t>
  </si>
  <si>
    <t>Zourari, Kyveli/0000-0003-0048-3973; Zoros, Emmanouil/0000-0002-4579-7725; Kalaitzakis, Georgios/0000-0003-4409-6983; Pappas, Eleftherios/0000-0003-4030-2241; PAPPAS, EVANGELOS/0000-0001-8052-6392;</t>
  </si>
  <si>
    <t>NOV</t>
  </si>
  <si>
    <t>10.1088/1361-6560/ab52ce</t>
  </si>
  <si>
    <t>JR0VU</t>
  </si>
  <si>
    <t>hybrid</t>
  </si>
  <si>
    <t>WOS:000499354400001</t>
  </si>
  <si>
    <t>Xu, L; Yang, PF; Yen, EA; Wan, YD; Jiang, YK; Cao, ZZ; Shen, XY; Wu, Y; Wang, J; Luo, C; Niu, TY</t>
  </si>
  <si>
    <t>Xu, Lei; Yang, Pengfei; Yen, Eric Alexander; Wan, Yidong; Jiang, Yangkang; Cao, Zuozhen; Shen, Xiaoyong; Wu, Yan; Wang, Jing; Luo, Chen; Niu, Tianye</t>
  </si>
  <si>
    <t>A multi-organ cancer study of the classification performance using 2D and 3D image features in radiomics analysis</t>
  </si>
  <si>
    <t>radiomics; 2D/3D image features; predictive performance</t>
  </si>
  <si>
    <t>EARLY RECURRENCE; PREDICTION; SURVIVAL; DIAGNOSIS; PET</t>
  </si>
  <si>
    <t>The purpose of this study was to investigate the predictive performance of 2D and 3D image features across multi-organ cancers using multi-modality images in radiomics studies. In this retrospective study, we included 619 patients with three different cancer types (intrahepatic cholangiocarcinoma (ICC), high-grade osteosarcoma (HOS), pancreatic neuroendocrine tumors (pNETs)) and four clinical end points (early recurrence (ER), lymph node metastasis (LNM), 5-year survival and histologic grade). The image features included fifty-eight 2D image features and fifty-eight 3D image features. The 3D image features were extracted based on the 3D tumor volumes. The 2D image features were extracted based on 2D tumor region, which was the layer with the maximum tumor diameter within the 3D tumor volume. The predictive performance of individual 2D and 3D image feature was measured using the area under the receiver operating characteristic curve (AUC) with univariate analysis. Radiomics signatures were further developed using multivariable analysis with 4-fold cross-validation method. Using univariate analysis, we found that more 3D image features showed the statistically predictive capabilities than 2D image features across all the included cancer types. By comparing the predictive performance of radiomics signatures developed by 2D and 3D image features, we observed better prediction performance in radiomics signatures based on 3D image features than those based on 2D image features for patients with ICC and HGO. Meanwhile, the signatures based on 2D and 3D image features performed closely in the pNETs dataset with the clinical end point of the histologic grade. The reason for this inconsistent result might be that the gross tumor volumes of pNETs were generally small. The tumor heterogeneity was mostly presented in the middle several layers within the tumor volume. Both 2D and 3D image features have certain predictive capacities. By contrast, the 3D image features show better or close predictive performance than 2D image features using both univariate analysis and multivariate analysis. In brief, 3D image features are recommended in radiomics studies.</t>
  </si>
  <si>
    <t>[Xu, Lei; Yang, Pengfei; Yen, Eric Alexander; Wan, Yidong; Jiang, Yangkang; Cao, Zuozhen; Wang, Jing; Luo, Chen; Niu, Tianye] Zhejiang Univ, Sch Med, Sir Run Run Shaw Hosp, Peoples Republ China Inst Translat Med, Hangzhou, Zhejiang, Peoples R China; [Xu, Lei; Yang, Pengfei; Yen, Eric Alexander; Wan, Yidong; Jiang, Yangkang; Cao, Zuozhen; Wang, Jing; Luo, Chen; Niu, Tianye] Zhejiang Univ, Inst Translat Med, Hangzhou, Zhejiang, Peoples R China; [Yang, Pengfei] Zhejiang Univ, Coll Biomed Engn &amp; Instrument Sci, Hangzhou, Zhejiang, Peoples R China; [Shen, Xiaoyong] Zhejiang Univ, Affiliated Hosp 1, Sch Med, Dept Radiol, Hangzhou, Zhejiang, Peoples R China; [Wu, Yan] Zhejiang Univ, Affiliated Hosp 2, Dept Orthopaed, Sch Med, Hangzhou, Zhejiang, Peoples R China</t>
  </si>
  <si>
    <t>Zhejiang University; Zhejiang University; Zhejiang University; Zhejiang University; Zhejiang University</t>
  </si>
  <si>
    <t>Luo, C; Niu, TY (通訊作者)， Zhejiang Univ, Sch Med, Sir Run Run Shaw Hosp, Peoples Republ China Inst Translat Med, Hangzhou, Zhejiang, Peoples R China.;Luo, C; Niu, TY (通訊作者)， Zhejiang Univ, Inst Translat Med, Hangzhou, Zhejiang, Peoples R China.</t>
  </si>
  <si>
    <t>tomolc@zju.edu.cn; tyniu@zju.edu.co</t>
  </si>
  <si>
    <t>Niu, Tianye/ACN-9157-2022; 江, 阳康/HVT-8798-2023; jing, wang/KCZ-2144-2024; Luo, Chen/IXW-7509-2023; Xu, Lei/GRX-5766-2022; Yang, Pengfei/AAJ-8451-2021</t>
  </si>
  <si>
    <t>Xu, Lei/0000-0001-5318-2387; Yang, Pengfei/0000-0002-5803-8859</t>
  </si>
  <si>
    <t>Zhejiang Provincial Natural Science Foundation of China [LR16F010001, LY17E050008]; Zhejiang University Education Foundation ZJU-Stanford Collaboration Fund, Medical Health Science and Technology Project of Zhejiang Provincial Health Commission [2019RC189]; Ministry of Science and Technology of China [2015AA020917]; Natural Science Foundation of China (NSFC) [81871351, 81827804, 51305257, 81950410632]; Zhejiang Province 151 Talents Program; Varian Research Collaborations Program</t>
  </si>
  <si>
    <t>Zhejiang Provincial Natural Science Foundation of China(Natural Science Foundation of Zhejiang Province); Zhejiang University Education Foundation ZJU-Stanford Collaboration Fund, Medical Health Science and Technology Project of Zhejiang Provincial Health Commission; Ministry of Science and Technology of China(Ministry of Science and Technology, China); Natural Science Foundation of China (NSFC)(National Natural Science Foundation of China (NSFC)); Zhejiang Province 151 Talents Program; Varian Research Collaborations Program</t>
  </si>
  <si>
    <t>This work was supported by the Zhejiang Provincial Natural Science Foundation of China (Grant No. LR16F010001, LY17E050008), Zhejiang University Education Foundation ZJU-Stanford Collaboration Fund, Medical Health Science and Technology Project of Zhejiang Provincial Health Commission (Grant No. 2019RC189), National High-tech R&amp;D Program for Young Scientists by the Ministry of Science and Technology of China (Grant No. 2015AA020917), Natural Science Foundation of China (NSFC Grant No. 81871351, 81827804, 51305257, 81950410632), Zhejiang Province 151 Talents Program, Varian Research Collaborations Program.</t>
  </si>
  <si>
    <t>IOP Publishing Ltd</t>
  </si>
  <si>
    <t>10.1088/1361-6560/ab489f</t>
  </si>
  <si>
    <t>JK5CA</t>
  </si>
  <si>
    <t>WOS:000494860000001</t>
  </si>
  <si>
    <t>Qiu, BJ; Guo, JP; Kraeima, J; Glas, HH; Borra, RJH; Witjes, MJH; van Ooijen, PMA</t>
  </si>
  <si>
    <t>Qiu, Bingjiang; Guo, Jiapan; Kraeima, Joep; Glas, Haye H.; Borra, Ronald J. H.; Witjes, M. J. H.; van Ooijen, Peter M. A.</t>
  </si>
  <si>
    <t>Automatic segmentation of the mandible from computed tomography scans for 3D virtual surgical planning using the convolutional neural network</t>
  </si>
  <si>
    <t>automatic mandible segmentation; convolutional neural network; 3D virtual surgical planning; oral and maxillofacial surgery</t>
  </si>
  <si>
    <t>HEAD; RESECTION; ACCURACY; MARGINS</t>
  </si>
  <si>
    <t>Segmentation of mandibular bone in CT scans is crucial for 3D virtual surgical planning of craniofacial tumor resection and free flap reconstruction of the resection defect, in order to obtain a detailed surface representation of the bones. A major drawback of most existing mandibular segmentation methods is that they require a large amount of expert knowledge for manual or partially automatic segmentation. In fact, due to the lack of experienced doctors and experts, high quality expert knowledge is hard to achieve in practice. Furthermore, segmentation of mandibles in CT scans is influenced seriously by metal artifacts and large variations in their shape and size among individuals. In order to address these challenges we propose an automatic mandible segmentation approach in CT scans, which considers the continuum of anatomical structures through different planes. The approach adopts the architecture of the U-Net and then combines the resulting 2D segmentations from three orthogonal planes into a 3D segmentation. We implement such a segmentation approach on two head and neck datasets and then evaluate the performance. Experimental results show that our proposed approach for mandible segmentation in CT scans exhibits high accuracy.</t>
  </si>
  <si>
    <t>[Qiu, Bingjiang; Kraeima, Joep; Glas, Haye H.; Witjes, M. J. H.; van Ooijen, Peter M. A.] Uvers Groningen, Univ Med Ctr Groningen, 3D Lab, Hanzepl 1, NL-9713 GZ Groningen, Netherlands; [Qiu, Bingjiang; Borra, Ronald J. H.] Uvers Groningen, Univ Med Ctr Groningen, Dept Radiol, Hanzepl 1, NL-9713 GZ Groningen, Netherlands; [Kraeima, Joep; Glas, Haye H.; Witjes, M. J. H.] Uvers Groningen, Univ Med Ctr Groningen, Dept Oral &amp; Maxillofacial Surg, Hanzepl 1, NL-9713 GZ Groningen, Netherlands; [Borra, Ronald J. H.] Uvers Groningen, Univ Med Ctr Groningen, Dept Nucl Med &amp; Mol Imaging, Hanzepl 1, NL-9713 GZ Groningen, Netherlands; [Guo, Jiapan; van Ooijen, Peter M. A.] Uvers Groningen, Univ Med Ctr Groningen, Dept Radiat Oncol, Hanzepl 1, NL-9713 GZ Groningen, Netherlands</t>
  </si>
  <si>
    <t>University of Groningen; University of Groningen; University of Groningen; University of Groningen; University of Groningen</t>
  </si>
  <si>
    <t>Guo, JP (通訊作者)， Uvers Groningen, Univ Med Ctr Groningen, Dept Radiat Oncol, Hanzepl 1, NL-9713 GZ Groningen, Netherlands.</t>
  </si>
  <si>
    <t>j.guo@umcg.nl</t>
  </si>
  <si>
    <t>; van Ooijen, Peter/B-9150-2008; van Ooijen, Peter/G-1146-2012</t>
  </si>
  <si>
    <t>Qiu, Bingjiang/0000-0002-3962-7535; Witjes, Max/0000-0002-4135-3246; Glas, Haye/0000-0002-6641-7568; Borra, Ronald/0000-0001-8072-1243; van Ooijen, Peter/0000-0002-8995-1210; Guo, Jiapan/0000-0003-3966-4405</t>
  </si>
  <si>
    <t>China Scholarship Council [CSC 201708440222]</t>
  </si>
  <si>
    <t>China Scholarship Council(China Scholarship Council)</t>
  </si>
  <si>
    <t>The author is supported by a joint PhD fellowship from China Scholarship Council (CSC 201708440222). The authors acknowledge Erhan Saatcioglu for the training data preparation. We also thank Dr E J K Noach for proofreading the manuscript.</t>
  </si>
  <si>
    <t>SEP</t>
  </si>
  <si>
    <t>10.1088/1361-6560/ab2c95</t>
  </si>
  <si>
    <t>IW1KY</t>
  </si>
  <si>
    <t>Green Published</t>
  </si>
  <si>
    <t>WOS:000484728400005</t>
  </si>
  <si>
    <t>Palma, G; Monti, S; Thor, M; Rimner, A; Deasy, JO; Cella, L</t>
  </si>
  <si>
    <t>Palma, Giuseppe; Monti, Serena; Thor, Maria; Rimner, Andreas; Deasy, Joseph O.; Cella, Laura</t>
  </si>
  <si>
    <t>Spatial signature of dose patterns associated with acute radiation-induced lung damage in lung cancer patients treated with stereotactic body radiation therapy</t>
  </si>
  <si>
    <t>voxel-based analysis; radiation-induced lung damage; elastic image registration</t>
  </si>
  <si>
    <t>POPULATION ANALYSIS; HEART IRRADIATION; RECTAL TOXICITY; RISK-FACTORS; EARLY-STAGE; RADIOTHERAPY; PNEUMONITIS; FIBROSIS; ATLAS</t>
  </si>
  <si>
    <t>Thoracic radiation therapy (RT) is often associated with lung side effects, whose etiology is still controversial. Our aim was to explore correlations between local dose in the thoracic anatomy and the radiation-induced lung damage (RILD). To this end, we designed a robust scheme for voxel-based analysis (VBA) to explore dose patterns associated with RILD in non-small-cell lung cancer (NSCLC) patients receiving stereotactic body RT (SBRT). We analyzed 106 NSCLC SBRT patients (median prescription dose: 50 Gy; range: [40-54] Gy) in 4 fractions (range: [3-5] ) with clinical and dosimetric records suitable for the analysis. The incidence of acute G1 RILD (RTOG grade &gt;= 1) was 68%. Each planning CT and dose map was spatially normalized to a common anatomical reference using a B-spline inter-patient registration algorithm after masking the gross tumor volume. The tumor-subtracted dose maps were converted into biologically effective dose maps (alpha/beta = 3 Gy). VBA was performed according to a non-parametric permutation test accounting for multiple comparison, based on a duster analysis method. The underlying general linear model of RILD was designed to include dose maps and each non-dosimetric variable significantly correlated with RILD. The dusters of voxels with dose differences significantly correlated with RILD at a given p-level (S-p) were generated. The only non-dosimetric variable significantly correlated with RILD was the chronic obstructive pulmonary disease (p = 0.034). Patients with G1 RILD received significantly (p &lt;= 0.05) higher doses in two voxel clusters S-0.05 in the lower-left lung (14 cm(3)) and in an area (64 cm(3)) largely included within the ventricles. The applied VBA represents a powerful tool to probe the dose susceptibility of inhomogeneous organs in clinical radiobiology studies. The identified subregions with dose differences associated with G1 RILD in both the heart and lower lungs endorse a trend of previously reported hypotheses on lung toxicity radiobiology.</t>
  </si>
  <si>
    <t>[Palma, Giuseppe; Monti, Serena; Cella, Laura] Natl Res Council CNR, Inst Biostruct &amp; Bioimaging, Via T De Amicis 95, I-80145 Naples, Italy; [Thor, Maria; Deasy, Joseph O.] Mem Sloan Kettering Canc Ctr, Dept Med Phys, New York, NY 10021 USA; [Rimner, Andreas] Mem Sloan Kettering Canc Ctr, Dept Radiat Oncol, 1275 York Ave, New York, NY 10021 USA</t>
  </si>
  <si>
    <t>Consiglio Nazionale delle Ricerche (CNR); Istituto di Biostrutture e Bioimmagini (IBB-CNR); Memorial Sloan Kettering Cancer Center; Memorial Sloan Kettering Cancer Center</t>
  </si>
  <si>
    <t>Palma, G (通訊作者)， Natl Res Council CNR, Inst Biostruct &amp; Bioimaging, Via T De Amicis 95, I-80145 Naples, Italy.</t>
  </si>
  <si>
    <t>giuseppe.palma@ibb.cnr.it</t>
  </si>
  <si>
    <t>; Cella, Laura/L-5802-2019; Monti, Serena/C-1062-2015; Palma, Giuseppe/GXV-0228-2022</t>
  </si>
  <si>
    <t>Rimner, Andreas/0000-0002-1214-3856; Monti, Serena/0000-0002-8777-7837; Cella, Laura/0000-0003-0058-4029; PALMA, GIUSEPPE/0000-0002-0210-268X; Deasy, Joseph/0000-0002-9437-266X;</t>
  </si>
  <si>
    <t>Italian National Institute for Nuclear Physics (INFN) CSN5 Call 'MoVeIT', through the NIH/NCI Cancer Center Support Grant [P30 CA008748]; Italian National Institute for Nuclear Physics (INFN) CSN5 Call 'MoVeIT', through the NIH/NCI [R01 CA198121]</t>
  </si>
  <si>
    <t>Italian National Institute for Nuclear Physics (INFN) CSN5 Call 'MoVeIT', through the NIH/NCI Cancer Center Support Grant; Italian National Institute for Nuclear Physics (INFN) CSN5 Call 'MoVeIT', through the NIH/NCI</t>
  </si>
  <si>
    <t>The research was funded in part by the Italian National Institute for Nuclear Physics (INFN) CSN5 Call 'MoVeIT', through the NIH/NCI Cancer Center Support Grant P30 CA008748, and through the NIH/NCI grant R01 CA198121.</t>
  </si>
  <si>
    <t>AUG</t>
  </si>
  <si>
    <t>10.1088/1361-6560/ab2e16</t>
  </si>
  <si>
    <t>IP8JM</t>
  </si>
  <si>
    <t>WOS:000480292700001</t>
  </si>
  <si>
    <t>Acconcia, CN; Leung, BC; Winch, G; Wang, JL; Hynynen, K; Goertz, DE</t>
  </si>
  <si>
    <t>Acconcia, Christopher N.; Leung, Ben Y. C.; Winch, Gordon; Wang, Julian; Hynynen, Kullervo; Goertz, David E.</t>
  </si>
  <si>
    <t>Acoustic radiation force induced accumulation and dynamics of microbubbles on compliant surfaces</t>
  </si>
  <si>
    <t>ultrasound; microbubbles; fibrin clot; radiation force; sonothrombolysis; thrombolysis; drug delivery</t>
  </si>
  <si>
    <t>IN-VITRO SONOTHROMBOLYSIS; BLOOD-BRAIN-BARRIER; TRANSCRANIAL ULTRASOUND; INDIVIDUAL MICROBUBBLES; BUBBLES; DRIVEN; GROWTH; OSCILLATIONS; TRANSLATION; CAVITATION</t>
  </si>
  <si>
    <t>Ultrasound stimulated microbubbles have been shown to be capable of breaking up blood clots through micro-scale interactions occurring near the clot surface. However, only a small fraction of bubbles circulating in the bloodstream will be in close proximity to such boundaries, where they must be to elicit therapeutic effects. Here, the accumulation and subsequent behavior of microbubbles displaced from an overlying flow channel to a boundary under radiation forces were examined. Experimental data were acquired using a novel high speed microscopy configuration and simulations were conducted to provide insight into the accumulation process. There was broad agreement between experiments and simulations, both indicating that the size distribution and number of bubbles arriving at the boundary depended on channel flow rate, applied pressure, and bubble concentration. For example, higher flow rates and lower pressures favored the accumulation of larger bubbles relative to the native agent distribution. Moreover, bubble dynamics were dependent on the surface type, exhibiting rapid translation along agarose gel surfaces whereas on fibrin surfaces, they accumulated in localized regions inducing repetitive strain cycles. The results indicate that the process of bringing bubbles from within a vessel to a boundary is complex and should be an important consideration in the development of therapeutic applications such as sonothrombolysis.</t>
  </si>
  <si>
    <t>[Acconcia, Christopher N.; Hynynen, Kullervo; Goertz, David E.] Univ Toronto, Dept Med Biophys, Toronto, ON M5S 1A1, Canada; [Acconcia, Christopher N.; Leung, Ben Y. C.; Winch, Gordon; Wang, Julian; Hynynen, Kullervo; Goertz, David E.] Sunnybrook Res Inst, 2075 Bayview Ave, Toronto, ON M4N 3M5, Canada; [Hynynen, Kullervo] Univ Toronto, Inst Biomat &amp; Biomed Engn, Toronto, ON, Canada</t>
  </si>
  <si>
    <t>University of Toronto; University of Toronto; Sunnybrook Research Institute; Sunnybrook Health Science Center; University of Toronto</t>
  </si>
  <si>
    <t>Goertz, DE (通訊作者)， Univ Toronto, Dept Med Biophys, Toronto, ON M5S 1A1, Canada.;Goertz, DE (通訊作者)， Sunnybrook Res Inst, 2075 Bayview Ave, Toronto, ON M4N 3M5, Canada.</t>
  </si>
  <si>
    <t>goertz@sri.utoronto.ca</t>
  </si>
  <si>
    <t>Acconcia, Christopher/KVB-4258-2024</t>
  </si>
  <si>
    <t>NSERC discovery grant</t>
  </si>
  <si>
    <t>NSERC discovery grant(Natural Sciences and Engineering Research Council of Canada (NSERC))</t>
  </si>
  <si>
    <t>This work was funded by an NSERC discovery grant.</t>
  </si>
  <si>
    <t>JUL</t>
  </si>
  <si>
    <t>10.1088/1361-6560/ab2163</t>
  </si>
  <si>
    <t>IG3IO</t>
  </si>
  <si>
    <t>WOS:000473698800003</t>
  </si>
  <si>
    <t>Nosrati, R; Paudel, M; Ravi, A; Pejovic-Milic, A; Morton, G; Stanisz, GJ</t>
  </si>
  <si>
    <t>Nosrati, Reyhaneh; Paudel, Moti; Ravi, Ananth; Pejovic-Milic, Ana; Morton, Gerard; Stanisz, Greg J.</t>
  </si>
  <si>
    <t>Potential applications of the quantitative susceptibility mapping (QSM) in MR-guided radiation therapy</t>
  </si>
  <si>
    <t>MR-guided radiation therapy; quantitative susceptibility mapping (QSM); brachytherapy seeds; interstitial brachytherapy needles; obturator; fiducial marker</t>
  </si>
  <si>
    <t>ENABLED DIPOLE INVERSION; POSTIMPLANT DOSIMETRY; FIDUCIAL MARKERS; PROSTATE; RECONSTRUCTION; BRACHYTHERAPY; ACCURATE; FUSION; IMAGE; LOCALIZATION</t>
  </si>
  <si>
    <t>Magnetic resonance-guided radiation therapy (MR-GRT) offers great potential to improve radiation treatment outcomes by providing more accurate and patient-tailored therapy. Despite superior soft tissue contrast in MRI, one of the challenges towards MRI-only workflows is that the process often requires some sort of 'MR-invisible' metal-based devices. In this study, the feasibility of quantitative susceptibility mapping (QSM) for visualization of some MR-invisible radiation therapy devices was studied. Our recently proposed QSM-based algorithm for brachytherapy seed visualization was modified and the feasibility of the optimized algorithm for visualization of different devices including: brachytherapy seeds, plastic interstitial needles, CT-markers and obturators, and different types of fiducial markers in agar, prostate and meat phantoms were studied. All phantoms were scanned using 3T MR scanner with a 3D multi-echo gradient recalled echo (ME-GRE) pulse sequence. The QSM results in all phantoms were compared to CT images for spatial accuracy of the QSM. The applied post-processing algorithm was found to be insensitive to the seeds' type; also, presence of nearby calcifications had no effect on seed visualization. QSM successfully generated positive contrast for both types of investigated fiducial markers with high spatial accuracy compared to CT. Interstitial needles containing both aluminum-based CT-maker and titanium-based obturators were accurately depicted on the QSM. The proposed QSM-based technique relies on the standard MR pulse sequences and visualize the conventional MR-invisible metallic devices with CT-like positive contrast solely through post-processing. Upon in vivo validation of the technique, QSM may have the potential to replace CT for an MR-only guided radiation therapy.</t>
  </si>
  <si>
    <t>[Nosrati, Reyhaneh; Pejovic-Milic, Ana; Stanisz, Greg J.] Ryerson Univ, Dept Phys, Toronto, ON, Canada; [Nosrati, Reyhaneh; Stanisz, Greg J.] Sunnybrook Res Inst, Phys Sci Platform, Toronto, ON, Canada; [Paudel, Moti; Ravi, Ananth; Stanisz, Greg J.] Sunnybrook Hlth Sci Ctr, Dept Med Phys, Toronto, ON, Canada; [Paudel, Moti; Ravi, Ananth; Morton, Gerard] Univ Toronto, Dept Radiat Oncol, Toronto, ON, Canada; [Morton, Gerard] Sunnybrook Hlth Sci Ctr, Odette Canc Res Ctr, Toronto, ON, Canada; [Nosrati, Reyhaneh] Univ Toronto, Dept Med Biophys, Toronto, ON, Canada</t>
  </si>
  <si>
    <t>Toronto Metropolitan University; University of Toronto; Sunnybrook Health Science Center; Sunnybrook Research Institute; University of Toronto; Sunnybrook Research Institute; Sunnybrook Health Science Center; University of Toronto; University of Toronto; Sunnybrook Research Institute; Sunnybrook Health Science Center; University of Toronto</t>
  </si>
  <si>
    <t>Nosrati, R (通訊作者)， Ryerson Univ, Dept Phys, Toronto, ON, Canada.;Nosrati, R (通訊作者)， Sunnybrook Res Inst, Phys Sci Platform, Toronto, ON, Canada.;Nosrati, R (通訊作者)， Univ Toronto, Dept Med Biophys, Toronto, ON, Canada.</t>
  </si>
  <si>
    <t>reyhane.nosrati@gmail.com</t>
  </si>
  <si>
    <t>Stanisz, stanisz@sri.utoronto.ca/A-4943-2013; Pejovic-Milic, Ana/AAT-3778-2020; Stanisz, Greg/A-4943-2013</t>
  </si>
  <si>
    <t>Pejovic-Milic, Ana/0000-0002-9657-4388; Stanisz, Greg/0000-0002-9488-7612</t>
  </si>
  <si>
    <t>NSERC CGS-D3 doctoral scholarship - Prostate Cancer Canada</t>
  </si>
  <si>
    <t>R N was funded by the NSERC CGS-D3 doctoral scholarship and the study was funded by Prostate Cancer Canada funding.</t>
  </si>
  <si>
    <t>10.1088/1361-6560/ab2623</t>
  </si>
  <si>
    <t>IJ3AD</t>
  </si>
  <si>
    <t>WOS:000475775200006</t>
  </si>
  <si>
    <t>Hespeels, F; Heuskin, AC; Tabarrant, T; Scifoni, E; Kraemer, M; Chêne, G; Strivay, D; Lucas, S</t>
  </si>
  <si>
    <t>Hespeels, F.; Heuskin, A. C.; Tabarrant, T.; Scifoni, E.; Kraemer, M.; Chene, G.; Strivay, D.; Lucas, S.</t>
  </si>
  <si>
    <t>Backscattered electron emission after proton impact on gold nanoparticles with and without polymer shell coating</t>
  </si>
  <si>
    <t>proton beam; gold nanoparticle; PPAA; electron emission; TRAX; Geant4; Monte Carlo</t>
  </si>
  <si>
    <t>THIN CARBON FOILS; ENHANCEMENT; RADIOSENSITIZATION; RADIOTHERAPY; SIMULATION; PENELOPE; INCIDENT; CODE</t>
  </si>
  <si>
    <t>This work aims at measuring experimentally proton induced secondary electron energy spectra after interaction with gold nano particles (GNPs) and polymer-coated GNPs. Backscattered electron energy spectra were collected over a 0 to 1000 eV energy range using a retarding field analyzer (RFA). This paper presents the spectra obtained for proton beam energies of 0.5 and 2 MeV and diameter 2.5 and 3.8 nm GNPs. The spectra were also measured for 3.8 nm GNPs after 5 and 10 MeV proton irradiations. GNPs were deposited on a 100 nm carbon film. Each experimental spectrum was compared with dedicated simulations based on existing numerical models used in the TRAX and Geant4 Monte Carlo codes. For 100 nm carbon target, good agreement between experimental, TRAX and Geant4 simulation results can be observed. For 3.8 nm GNPs, the TRAX simulations reproduce with good agreement the electron energy spectra produced after 0.5, 2, 5 and 10 MeV proton irradiations, while Geant4 spectra display a lower secondary electron yield at low energy ( &lt;600 eV) for all the studied energies. This underestimation can mostly be explained by the 790 eV threshold applied in the condensed history model used by Geant4 which impacts the secondary electron energy distribution. Results obtained for carbon and gold targets highlight the impact of the secondary electron production threshold for proton ionization process considered in condensed history models. The experimental results demonstrate that the single interaction approach used in TRAX is adapted to reproduce secondary electron emission from GNPs. On the other hand, the standard electron generation threshold implement in G4BetheBlochModel and G4BraggModel condensed-history models used in Geant4 is not adapted to reproduce low energy electron emission in gold targets. Finally, the results highlight that the GNP coating leads to a decrease of the electron yield and mostly affects low energy electrons (&lt;500 eV) emitted from GNPs.</t>
  </si>
  <si>
    <t>[Hespeels, F.; Heuskin, A. C.; Tabarrant, T.; Lucas, S.] Univ Namur, PMR, 61 Rue Bruxelles, B-5000 Namur, Belgium; [Scifoni, E.] TIFPA INFN, Trento Inst Fundamental Phys &amp; Applicat, Via Sommar 14, I-38123 Trento, Italy; [Scifoni, E.; Kraemer, M.] GSI Helmholtzzentrum Schwerionenforsch, Biophys, Max Planck Str 1, D-64291 Darmstadt, Germany; [Chene, G.; Strivay, D.] Univ Liege, Inst Phys Nucl Atom &amp; Spect, Ctr Europeen Archeometrie, Sart Tilman B15, B-4000 Liege, Belgium</t>
  </si>
  <si>
    <t>University of Namur; Istituto Nazionale di Fisica Nucleare (INFN); Helmholtz Association; GSI Helmholtz-Center for Heavy Ion Research; Max Planck Society; University of Liege</t>
  </si>
  <si>
    <t>Lucas, S (通訊作者)， Univ Namur, PMR, 61 Rue Bruxelles, B-5000 Namur, Belgium.</t>
  </si>
  <si>
    <t>stephane.lucas@unamur.be</t>
  </si>
  <si>
    <t>Strivay, David/AAC-5690-2020; Scifoni, Emanuele/B-5277-2013; Heuskin, AnneCatherine/KZU-4442-2024</t>
  </si>
  <si>
    <t>Heuskin, Anne-Catherine/0000-0002-4960-5284; Scifoni, Emanuele/0000-0003-1851-5152; Strivay, David/0000-0001-9009-7958; Lucas, Stephane/0000-0003-3229-9855;</t>
  </si>
  <si>
    <t>Belgian Fund for Industrial and Agricultural Research (FRIA)</t>
  </si>
  <si>
    <t>Belgian Fund for Industrial and Agricultural Research (FRIA)(Fonds de la Recherche Scientifique - FNRS)</t>
  </si>
  <si>
    <t>F Hespeels is supported by the Belgian Fund for Industrial and Agricultural Research (FRIA).</t>
  </si>
  <si>
    <t>JUN</t>
  </si>
  <si>
    <t>10.1088/1361-6560/ab195f</t>
  </si>
  <si>
    <t>IC9QG</t>
  </si>
  <si>
    <t>WOS:000471317900002</t>
  </si>
  <si>
    <t>Kluth, T; Jin, B</t>
  </si>
  <si>
    <t>Kluth, Tobias; Jin, Bangti</t>
  </si>
  <si>
    <t>Enhanced reconstruction in magnetic particle imaging by whitening and randomized SVD approximation</t>
  </si>
  <si>
    <t>magnetic particle imaging; reconstruction; randomized singular value decomposition</t>
  </si>
  <si>
    <t>RELAXATION METHODS; NANOPARTICLES</t>
  </si>
  <si>
    <t>Magnetic particle imaging (MPI) is a medical imaging modality of recent origin, and it exploits the nonlinear magnetization phenomenon to recover a spatially dependent concentration of nanoparticles. In practice, image reconstruction in MPI is frequently carried out by standard Tikhonov regularization with nonnegativity constraint, which is then minimized by a Kaczmarz type method. In this work, we revisit two issues in the numerical reconstruction in MPI in the lens of inverse theory, i.e. the choice of fidelity and acceleration, and propose two algorithmic tricks, i.e. a whitening procedure to incorporate the noise statistics and accelerating Kaczmarz iteration via randomized SVD. The two tricks are straightforward to implement and easy to incorporate in existing reconstruction algorithms. Their significant potentials are illustrated by extensive numerical experiments on a publicly available dataset.</t>
  </si>
  <si>
    <t>[Kluth, Tobias] Univ Bremen, Ctr Ind Math, Bibliothekstr 5, D-28357 Bremen, Germany; [Jin, Bangti] UCL, Dept Comp Sci, Gower St, London WC1E 6BT, England</t>
  </si>
  <si>
    <t>University of Bremen; University of London; University College London</t>
  </si>
  <si>
    <t>Kluth, T (通訊作者)， Univ Bremen, Ctr Ind Math, Bibliothekstr 5, D-28357 Bremen, Germany.</t>
  </si>
  <si>
    <t>tkluth@math.uni-bremen.de; b.jin@ucl.ac.uk</t>
  </si>
  <si>
    <t>Kluth, Tobias/0000-0003-4814-142X; Jin, Bangti/0000-0002-3775-9155</t>
  </si>
  <si>
    <t>Deutsche Forschungsgemeinschaft (DFG, German Research Foundation) [281474342/GRK2224/1]; project 'MPI2' (BMBF) [05M16LBA]; EPSRC [EP/M025160/1] Funding Source: UKRI; Engineering and Physical Sciences Research Council [EP/M025160/1] Funding Source: researchfish</t>
  </si>
  <si>
    <t>Deutsche Forschungsgemeinschaft (DFG, German Research Foundation)(German Research Foundation (DFG)); project 'MPI2' (BMBF)(Federal Ministry of Education &amp; Research (BMBF)); EPSRC(UK Research &amp; Innovation (UKRI)Engineering &amp; Physical Sciences Research Council (EPSRC)); Engineering and Physical Sciences Research Council(UK Research &amp; Innovation (UKRI)Engineering &amp; Physical Sciences Research Council (EPSRC))</t>
  </si>
  <si>
    <t>The authors are grateful to three anonymous referees for their constructive comments, which have led to an improvement in the quality of the work. T Kluth acknowledges funding by the Deutsche Forschungsgemeinschaft (DFG, German Research Foundation)-project number 281474342/GRK2224/1 'Pi3:Parameter Identification-Analysis, Algorithms, Applications' and support by the project 'MPI2' (BMBF, project no.05M16LBA).</t>
  </si>
  <si>
    <t>10.1088/1361-6560/ab1a4f</t>
  </si>
  <si>
    <t>IH8LH</t>
  </si>
  <si>
    <t>Green Submitted</t>
  </si>
  <si>
    <t>WOS:000474756200001</t>
  </si>
  <si>
    <t>Le Deroff, C; Frelin, AM; Ledoux, X</t>
  </si>
  <si>
    <t>Le Deroff, C.; Frelin, A-M; Ledoux, X.</t>
  </si>
  <si>
    <t>Energy dependence of a scintillating fiber detector for preclinical dosimetry with an image guided micro-irradiator</t>
  </si>
  <si>
    <t>preclinical radiotherapy; dosimetry; plastic scintillator; energy dependence</t>
  </si>
  <si>
    <t>SMALL ANIMAL RADIOTHERAPY; PLASTIC SCINTILLATORS; RADIATION; WATER; FILM</t>
  </si>
  <si>
    <t>The dosimetry of preclinical micro-irradiators is challenging due to their millimetric beams and medium x-ray energy range. Plastic scintillator dosimeters (PSD) are good candidates for such a purpose as they provide a high spatial resolution although they show an energy dependence below 100 keV. The purpose of this study was to assess the energy dependence of a dedicated PSD (called DosiRat) for micro-irradiators dosimetry. The response of the PSD relative to air kerma was measured for different beam qualities (40-225 kV) with the X-RAD 225Cx irradiator. The corresponding energy spectra, determined by Monte Carlo simulations, allowed for correcting the differences in absorbed dose between the DosiRat material (polystyrene) and the air and therefore allowed to compare DosiRat intrinsic energy response to the Birks scintillation quenching model. The energy response of DosiRat was then assessed under preclinical conditions through percentage depth dose curves (PDD) and relative output factor (ROF) measurements in water for beam diameters ranging from 1 to 25 mm. DosiRat energy response showed a coefficient of variation of 23% from 40 to 225 kV, mainly explained by the mass energy-absorption coefficient variation between polystyrene and air. A remaining variation was shown to be caused by the quenching of the scintillation and was correctly reproduced by the Birks model (with kB = 10.27 mg MeV-1 cm(-2)). PDD and ROF measurements highlighted an energy response variation with depth and collimation up to 10%. A dose accuracy better than 1% was finally achieved with appropriate calibration and correction factors (CF), for beam collimations larger than the detector (&gt;= 2 mm diameter). DosiRat energy dependence was fully characterized in preclinical energy range and shown to be negligible with convenient calibration and corrections factors. It provided accurate dosimetry for medium energy (225 kV) and millimetric beams (down to 2.5 mm).</t>
  </si>
  <si>
    <t>[Le Deroff, C.; Frelin, A-M; Ledoux, X.] CNRS, Grand Accelerateur Natl Ions Lourds, CEA, DRF,IN2P3, Blvd Henri Becquerel, F-14076 Caen, France; [Frelin, A-M] Adv Resource Ctr Hadrontherapy Europe ARCHADE Pro, Caen, France</t>
  </si>
  <si>
    <t>CEA; Centre National de la Recherche Scientifique (CNRS); CNRS - National Institute of Nuclear and Particle Physics (IN2P3)</t>
  </si>
  <si>
    <t>Le Deroff, C (通訊作者)， CNRS, Grand Accelerateur Natl Ions Lourds, CEA, DRF,IN2P3, Blvd Henri Becquerel, F-14076 Caen, France.</t>
  </si>
  <si>
    <t>c.lederoff@rennes.unicancer.fr</t>
  </si>
  <si>
    <t>frelin, anne-marie/ABF-8770-2021</t>
  </si>
  <si>
    <t>French National Agency for Research [ANR-10-EQPX-0014]; Agence Nationale de la Recherche (ANR) [ANR-10-EQPX-0014] Funding Source: Agence Nationale de la Recherche (ANR)</t>
  </si>
  <si>
    <t>French National Agency for Research(Agence Nationale de la Recherche (ANR)); Agence Nationale de la Recherche (ANR)(Agence Nationale de la Recherche (ANR))</t>
  </si>
  <si>
    <t>This work was supported by the French National Agency for Research ANR-10-EQPX-0014. The authors would like to thank C Noblet for the X-RAD 225Cx micro-irradiator model described with GATE Monte Carlo code. Thanks also to the Centre Francois Baclesse for the loan of the water tank and the Institut Curie for the loan of the PTW 23342 ionization chamber. Finally, thanks to Jose M Fernandez-Varea for his useful advices and references for electrons stopping powers.</t>
  </si>
  <si>
    <t>10.1088/1361-6560/ab1854</t>
  </si>
  <si>
    <t>IA8II</t>
  </si>
  <si>
    <t>WOS:000469802000007</t>
  </si>
  <si>
    <t>Tao, A; Huang, R; Tao, SZ; Michalak, GJ; McCollough, CH; Leng, S</t>
  </si>
  <si>
    <t>Tao, Ashley; Huang, Richard; Tao, Shengzhen; Michalak, Gregory J.; McCollough, Cynthia H.; Leng, Shuai</t>
  </si>
  <si>
    <t>Dual-source photon counting detector CT with a tin filter: a phantom study on iodine quantification performance</t>
  </si>
  <si>
    <t>multi-energy CT; photon counting detector CT; iodine quantification; dual-source CT; spectral separation; tin filter</t>
  </si>
  <si>
    <t>COMPUTED-TOMOGRAPHY; ENERGY CT; EXPERIMENTAL FEASIBILITY; MATERIAL SEPARATION</t>
  </si>
  <si>
    <t>Photon counting detectors (PCD) can provide spectral information to enable iodine quantification through multi-energy imaging but performance is limited by current PCD technology. The purpose of this work is to evaluate iodine quantification in a phantom study using dual-source PCD-CT (DS-PCD-CT), and compare to single-source (SS)-PCD-CT and traditional DS energy integrating detector (EID)-based dual-energy CT. A multi-energy CT phantom with iodine inserts (0 to 15 mg ml(-1) concentration) was imaged on a research SS-PCD-CT scanner (CTDIvol = 18 mGy). A DS-PCD-CT was emulated by acquiring two sequential scans (CTDIvol = 9 mGy each) using tube potentials: 140 kVp/80 kVp, 140 kVp/100 kVp and 140 kVp/120 kVp. For each kVp, 1 or 2 energy bins were reconstructed to achieve either dual-energy or quadruple energy CT. In addition to these energy combinations, a Sn filter was used for the high tube potential (140 kVp) of each kVp pair. For comparison, the same phantom was also scanned on a commercially available DS-EID-CT with matched radiation dose (CTDIvol = 18 mGy). Material decomposition was performed in image space using a standard least-squares based approach to generate iodine and water-specific images. The root-mean-square-error (RMSE) measured over each insert from the iodine image was used to determine iodine accuracy. The iodine RMSE from SS-PCD (140 kVp with 2 energy bins) was 2.72 mg ml(-1). The use of a DS configuration with 1 energy bin per kVp (140 kVp/80 kVp) resulted in a RMSE of 2.29 mg ml(-1). Two energy bins per kVp further reduced iodine RMSE to 1.83 mg ml(-1). The addition of a Sn filter to the latter quadruple energy mode reduced RMSE to 1.48 mg ml(-1). RMSE for DS-PCD-CT (2 energy bins per kVp) decreased by 1.3% (Sn140 kVp/80 kVp) and 15% (Sn140 kVp/100 kVp) as compared to DS-EID-CT. DS-PCD-CT with a Sn filter improved iodine quantification as compared to both SS-PCD-CT and DS-EID-CT.</t>
  </si>
  <si>
    <t>[Tao, Ashley; Huang, Richard; Tao, Shengzhen; Michalak, Gregory J.; McCollough, Cynthia H.; Leng, Shuai] Mayo Clin, Dept Radiol, 200 First St SW, Rochester, MN 55905 USA; [Tao, Ashley] Gundersen Hlth Syst, La Crosse, WI 54601 USA; [Huang, Richard] Univ Southern Calif, Los Angeles, CA 90007 USA</t>
  </si>
  <si>
    <t>Mayo Clinic; University of Southern California</t>
  </si>
  <si>
    <t>Leng, S (通訊作者)， Mayo Clin, Dept Radiol, 200 First St SW, Rochester, MN 55905 USA.</t>
  </si>
  <si>
    <t>leng.shuai@mayo.edu</t>
  </si>
  <si>
    <t>; Tao, Ashley/AAK-7878-2020</t>
  </si>
  <si>
    <t>McCollough, Cynthia/0000-0002-5346-332X; leng, shuai/0000-0002-6453-9481;</t>
  </si>
  <si>
    <t>National Institute of Health [EB16966, C06 RR018898]</t>
  </si>
  <si>
    <t>National Institute of Health(United States Department of Health &amp; Human ServicesNational Institutes of Health (NIH) - USA)</t>
  </si>
  <si>
    <t>The project described was supported by Grant numbers EB16966 and C06 RR018898 from the National Institute of Health. The content is solely the responsibility of the authors and does not necessarily represent the official views of the National Institute of Health.</t>
  </si>
  <si>
    <t>10.1088/1361-6560/ab1c34</t>
  </si>
  <si>
    <t>IB3YW</t>
  </si>
  <si>
    <t>WOS:000470205600003</t>
  </si>
  <si>
    <t>Teimoorisichani, M; Goertzen, AL</t>
  </si>
  <si>
    <t>Teimoorisichani, Mohammadreza; Goertzen, Andrew L.</t>
  </si>
  <si>
    <t>A study of inter-crystal scatter in dual-layer offset scintillator arrays for brain-dedicated PET scanners</t>
  </si>
  <si>
    <t>dual- layer offset detectors; inter-crystal scatter; Monte Carlo simulations; parallax error; depth-of-interaction; brain PET</t>
  </si>
  <si>
    <t>4-LAYER DOI DETECTOR; HIGH-RESOLUTION; IMAGE-RECONSTRUCTION; RELATIVE OFFSET; COMPTON SCATTER; DEPTH; DESIGN; SIMULATION; CROSSTALK; SINGLE</t>
  </si>
  <si>
    <t>A dual-layer offset (DLO) detector enables depth-of-interaction (DOI) through light sharing between two layers of scintillation arrays with a single-ended readout (SER) scheme. However, the SER scheme in DLO detectors may lead to a layer misassignment when inter-crystal scattering occurs. The aim of this work is to study inter-crystal scattering and evaluate the effects of layer misidentifications in DLO detectors on the performance of scanners suitable for a brain-dedicated PET insert. The influence of layer misidentification on the coincidence response functions (CRFs) of 3 different DLO detectors with total/front/back layer thicknesses of 15/6/9 mm, 20/8/12 mm, and 25/7.5/17.5 mm and a crystal width of about 3 mm was studied through Monte Carlo simulations. To overcome layer misidentification, we studied a practical DLO detector design in which each layer can be read out independently through a discrete-layer readout (DLR) scheme where light sharing between the layers is avoided. The CRFs of the mentioned DLO detectors assuming SER and DLR were analyzed. To evaluate the effects of layer misidentification on image quality, images of a Derenzo-like phantom were also reconstructed for all DLO and their equivalent single layer PET scanners. Our analysis showed that layer misassignments due to inter-crystal scatter in DLO detectors mainly has effect on the full-width at tenth maximum of the CRFs. According to the reconstructed images of the phantom, no significant improvements in the quality of the images were seen when SER was replaced with DLR. The results suggest that layer misidentification in DLO detectors does not play an important role in the quality of the PET images.</t>
  </si>
  <si>
    <t>[Teimoorisichani, Mohammadreza; Goertzen, Andrew L.] Univ Manitoba, Dept Phys &amp; Astron, Winnipeg, MB R3T 2N2, Canada; [Goertzen, Andrew L.] Univ Manitoba, Dept Radiol, Winnipeg, MB R3E 3P4, Canada</t>
  </si>
  <si>
    <t>University of Manitoba; University of Manitoba</t>
  </si>
  <si>
    <t>Teimoorisichani, M (通訊作者)， Univ Manitoba, Dept Phys &amp; Astron, Winnipeg, MB R3T 2N2, Canada.</t>
  </si>
  <si>
    <t>teimoorm@myumanitoba.ca</t>
  </si>
  <si>
    <t>Goertzen, Andrew/B-2297-2013; Teimoorisichani, Mohammadreza/AAV-9548-2020</t>
  </si>
  <si>
    <t>, Mohammadreza/0000-0002-6250-4365</t>
  </si>
  <si>
    <t>Natural Sciences and Engineering Research Council of Canada (NSERC) [341628]; Natural Sciences and Engineering Research Council of Canada (NSERC) through a University of Manitoba Graduate Fellowship</t>
  </si>
  <si>
    <t>Natural Sciences and Engineering Research Council of Canada (NSERC)(Natural Sciences and Engineering Research Council of Canada (NSERC)); Natural Sciences and Engineering Research Council of Canada (NSERC) through a University of Manitoba Graduate Fellowship(Natural Sciences and Engineering Research Council of Canada (NSERC))</t>
  </si>
  <si>
    <t>This work was supported by the Natural Sciences and Engineering Research Council of Canada (NSERC) through Discovery Grant 341628 to AL Goertzen and through a University of Manitoba Graduate Fellowship award to M Teimoorisichani.</t>
  </si>
  <si>
    <t>10.1088/1361-6560/ab1503</t>
  </si>
  <si>
    <t>HZ6DS</t>
  </si>
  <si>
    <t>WOS:000468942900007</t>
  </si>
  <si>
    <t>Teuho, J; Han, C; Riehakainen, L; Honkaniemi, A; Tirri, M; Liljenbäck, H; Virta, J; Gu, S; Liu, S; Wan, L; Teräs, M; Roivainen, A; Xie, Q; Knuuti, J</t>
  </si>
  <si>
    <t>Teuho, J.; Han, C.; Riehakainen, L.; Honkaniemi, A.; Tirri, M.; Liljenback, H.; Virta, J.; Gu, S.; Liu, S.; Wan, L.; Teras, M.; Roivainen, A.; Xie, Q.; Knuuti, J.</t>
  </si>
  <si>
    <t>NEMA NU 4-2008 and in vivo imaging performance of RAYCAN trans-PET/CT X5 small animal imaging system</t>
  </si>
  <si>
    <t>small-animal PET/CT system; performance evaluation; NEMA; preclinical PET imaging</t>
  </si>
  <si>
    <t>INITIAL PERFORMANCE; MICROPET SCANNER; DESIGN; RESOLUTION</t>
  </si>
  <si>
    <t>The RAYCAN Trans-PET/CT X5 is a preclinical positron emission tomography and computed tomography (PET/CT) system intended for in vivo imaging of rats and mice, featuring all-digital readout electronics for PET data acquisition. The National Electrical Manufacturers Association (NEMA) NU 4-2008 performance evaluation was conducted on the RAYCAN Trans-PET/CT X5 in addition to assessing in vivo imaging performance of the system on live animals. The performance characteristics of the system were evaluated, including system spatial resolution, count rate performance, sensitivity and image quality. The system imaging performance is assessed in dynamic in vivo PET imaging. The system resolution defined as full width half maximum (FWHM) was 2.07 mm, 2.11 mm and 1.31 mm for the tangential, radial and axial resolution, respectively, at the center of the field of view. The peak noise equivalent count rate (NECR) values measured were 61 kcps at 0.19 MBq ml(-1) for the rat size phantom and 126 kcps at 1.53 MBq ml(-1) for the mouse size phantom. Scatter fractions were 24% and 14% for the rat and mouse phantom. The measured peak sensitivity of the system was 1.70%. Image quality in static imaging was deemed sufficient based on the image quality phantom study, with average activity concentration of 155 +/- 8.6 kBq ml(-1) and image uniformity of 5.57% when using two-dimensional filtered backprojection algorithm (2D-FBP). Rods in the image quality phantom were visualized easily up to 2 mm in size. In dynamic in vivo PET imaging, time-activity-curves from several regions were successfully measured, characterizing the radioactivity distribution in myocardial blood pool, liver, left ventricle and the lung. In conclusion, the RAYCAN Trans-PET/CT X5 system can be considered a suitable option for basic imaging needs in preclinical imaging.</t>
  </si>
  <si>
    <t>[Teuho, J.; Han, C.; Riehakainen, L.; Honkaniemi, A.; Tirri, M.; Liljenback, H.; Virta, J.; Roivainen, A.; Knuuti, J.] Univ Turku, Turku PET Ctr, Turku, Finland; [Teuho, J.; Han, C.; Riehakainen, L.; Honkaniemi, A.; Tirri, M.; Liljenback, H.; Virta, J.; Roivainen, A.; Knuuti, J.] Turku Univ Hosp, Turku, Finland; [Teuho, J.; Teras, M.] Turku Univ Hosp, Dept Med Phys, Div Med Imaging, Turku, Finland; [Gu, S.] RAYCAN Technol Co Ltd, Suzhou, Peoples R China; [Liu, S.] RaySolut Digital Med Imaging Co Ltd, Ezhou, Peoples R China; [Wan, L.] RayData Technol Co Ltd, Wuhan, Hubei, Peoples R China; [Tirri, M.; Teras, M.] Univ Turku, Dept Biomed, Turku, Finland; [Xie, Q.] Huazhong Univ Sci &amp; Technol, Dept Biomed Engn, Wuhan, Hubei, Peoples R China</t>
  </si>
  <si>
    <t>University of Turku; University of Turku; University of Turku; University of Turku; Huazhong University of Science &amp; Technology</t>
  </si>
  <si>
    <t>Teuho, J (通訊作者)， Univ Turku, Turku PET Ctr, Turku, Finland.;Teuho, J (通訊作者)， Turku Univ Hosp, Turku, Finland.;Teuho, J (通訊作者)， Turku Univ Hosp, Dept Med Phys, Div Med Imaging, Turku, Finland.</t>
  </si>
  <si>
    <t>jatateu@utu.fi</t>
  </si>
  <si>
    <t>Knuuti, Juhani/AAA-7472-2019; Teuho, Jarmo/LKN-5696-2024</t>
  </si>
  <si>
    <t>Knuuti, Juhani/0000-0003-3156-9593; Virta, Jenni/0000-0003-1062-8187; Liljenback, Heidi/0000-0001-9372-1584; Teuho, Jarmo/0000-0001-9401-0725; Roivainen, Anne/0000-0002-4006-7977</t>
  </si>
  <si>
    <t>Finnish Cultural Foundation, Varsinais-Suomi Regional Fund; Academy of Finland (Suomen Akatemia): Finnish Centre of Excellence in Cardiovascular and Metabolic Diseases; Academy of Finland; University of Turku; Turku University Hospital; Abo Akademi University</t>
  </si>
  <si>
    <t>Finnish Cultural Foundation, Varsinais-Suomi Regional Fund(Finnish Cultural Foundation); Academy of Finland (Suomen Akatemia): Finnish Centre of Excellence in Cardiovascular and Metabolic Diseases(Research Council of Finland); Academy of Finland(Research Council of Finland); University of Turku; Turku University Hospital; Abo Akademi University</t>
  </si>
  <si>
    <t>This work was supported in part by Finnish Cultural Foundation, Varsinais-Suomi Regional Fund and in part by the Academy of Finland (Suomen Akatemia): Finnish Centre of Excellence in Cardiovascular and Metabolic Diseases supported by the Academy of Finland, University of Turku, Turku University Hospital, and Abo Akademi University.</t>
  </si>
  <si>
    <t>10.1088/1361-6560/ab1856</t>
  </si>
  <si>
    <t>WOS:000469802000006</t>
  </si>
  <si>
    <t>Zhang, GB; Yang, ZY; Gong, L; Jiang, S; Wang, L</t>
  </si>
  <si>
    <t>Zhang, Guobin; Yang, Zhiyong; Gong, Li; Jiang, Shan; Wang, Lu</t>
  </si>
  <si>
    <t>Classification of benign and malignant lung nodules from CT images based on hybrid features</t>
  </si>
  <si>
    <t>nodule classification; lung cancer diagnosis; hybrid features; CT images; deep learning</t>
  </si>
  <si>
    <t>COMPUTER-AIDED DETECTION; PHYLOGENETIC DIVERSITY; DECISION TREE; CANCER; DIAGNOSIS; CLASSIFIERS; TOMOGRAPHY; PERFUSION; ACCURACY; NETWORKS</t>
  </si>
  <si>
    <t>The classification of benign and malignant lung nodules has great significance for the early detection of lung cancer, since early diagnosis of nodules can greatly increase patient survival. In this paper, we propose a novel classification method for lung nodules based on hybrid features from computed tomography (CT) images. The method fused 3D deep dual path network (DPN) features, local binary pattern (LBP)-based texture features and histogram of oriented gradients (HOG)-based shape features to characterize lung nodules. DPN is a convolutional neural network which integrates the advantages of aggregated residual transformations (ResNeXt) for feature reuse and a densely convolutional network (DenseNet) for exploring new features. LBP is a prominent feature descriptor for texture classification, when combining with the HOG descriptor, it can improve the classification performance considerably. To differentiate malignant nodules from benign ones, a gradient boosting machine (GBM) algorithm is employed. We evaluated the proposed method on the publicly available LUng Nodule Analysis 2016 (LUNA16) dataset with 1004 nodules, achieving an area under the receiver operating characteristic curve (AUC) of 0.9687 and accuracy of 93.78%. The promising results demonstrate that our method has strong robustness on the classification of nodule patterns by virtue of the joint use of texture features, shape features and 3D deep DPN features. The method has the potential to help radiologists to interpret diagnostic data and make decisions in clinical practice.</t>
  </si>
  <si>
    <t>[Zhang, Guobin; Yang, Zhiyong; Gong, Li; Jiang, Shan; Wang, Lu] Tianjin Univ, Sch Mech Engn, 135 Yaguan Rd, Tianjin 300350, Peoples R China</t>
  </si>
  <si>
    <t>Jiang, S (通訊作者)， Tianjin Univ, Sch Mech Engn, 135 Yaguan Rd, Tianjin 300350, Peoples R China.</t>
  </si>
  <si>
    <t>shanjmri@tju.edu.cu</t>
  </si>
  <si>
    <t>; Zhiyong, Yang/JXM-0197-2024</t>
  </si>
  <si>
    <t>Zhang, Guobin/0000-0002-9881-180X;</t>
  </si>
  <si>
    <t>National Natural Science Foundation of China [81871457, 51775368, 51811530310]; Science and Technology Project of Tianjin [18YFZCSY01300]</t>
  </si>
  <si>
    <t>National Natural Science Foundation of China(National Natural Science Foundation of China (NSFC)); Science and Technology Project of Tianjin</t>
  </si>
  <si>
    <t>This research was supported by the National Natural Science Foundation of China (Grant No. 81871457), the National Natural Science Foundation of China (Grant No. 51775368), the National Natural Science Foundation of China (Grant No. 51811530310) and the Science and Technology Project of Tianjin (Grant No. 18YFZCSY01300). We are grateful to the LUNA16 challenge organizers for their efforts in collecting and sharing chest CT scan data for comparing lung nodule detection algorithms. We gratefully acknowledge the Tianjin Medical University Cancer Institute and Hospital and the Second Hospital of Tianjin Medical University for their continuous support in collecting patient data and providing professional diagnosis.</t>
  </si>
  <si>
    <t>10.1088/1361-6560/ab2544</t>
  </si>
  <si>
    <t>KT3PQ</t>
  </si>
  <si>
    <t>WOS:000518929400001</t>
  </si>
  <si>
    <t>Granville, DA; Sutherland, JG; Belec, JG; La Russa, DJ</t>
  </si>
  <si>
    <t>Granville, Dal A.; Sutherland, Justin G.; Belec, Jason G.; La Russa, Daniel J.</t>
  </si>
  <si>
    <t>Predicting VMAT patient-specific QA results using a support vector classifier trained on treatment plan characteristics and linac QC metrics</t>
  </si>
  <si>
    <t>VMAT; patient-specific QA; machine learning; linac QC; IMRT QA</t>
  </si>
  <si>
    <t>QUALITY-ASSURANCE; IMRT; COMPLEXITY</t>
  </si>
  <si>
    <t>The use of treatment plan characteristics to predict patient-specific quality assurance (QA) measurement results has recently been reported as a strategy to help facilitate automated pre-treatment verification workflows or to provide a virtual assessment of delivery quality. The goal of this work is to investigate the potential of using treatment plan characteristics and linac performance metrics (i.e. quality control test results) in combination with machine learning techniques to predict the results of VMAT patient-specific QA measurements. Using features that describe treatment plan complexity and linac performance metrics, we trained a linear support vector classifier (SVC) to classify the results of VMAT patient-specific QA measurements. The 'targets' in this model were simple classes representing median dose difference between measured and expected dose distributions-'hot' if the median dose deviation was &gt; 1%, 'cold' if it was &lt;-1%, and 'normal' if it was within +/- 1%. A total of 1620 unique patient-specific QA measurements were available for model development and testing. 75% of the data were used to develop and cross-validate the model, and the remaining 25% were used for an independent assessment of model performance. For the model development phase, a recursive feature elimination (RFE) cross-validation technique was used to eliminate unimportant features. Model performance was assessed using receiver operator characteristic (ROC) curve metrics. Of the ten features found to be most predictive of patient-specific QA measurement results, half were derived from treatment plan characteristics and half from quality control (QC) metrics characterizing linac performance. The model achieved a micro-averaged area under the ROC curve of 0.93, and a macro-averaged area under the ROC curve of 0.88. This work demonstrates the potential of using both treatment plan characteristics and routine linac QC results in the development of machine learning models for VMAT patient-specific QA measurements.</t>
  </si>
  <si>
    <t>[Granville, Dal A.; Sutherland, Justin G.; Belec, Jason G.; La Russa, Daniel J.] Ottawa Hosp, Radiat Med Program, Ottawa, ON, Canada; [Sutherland, Justin G.; Belec, Jason G.; La Russa, Daniel J.] Univ Ottawa, Div Radiat Oncol, Dept Radiol, Ottawa, ON, Canada; [Sutherland, Justin G.; La Russa, Daniel J.] Ottawa Hosp Res Inst, Ottawa, ON, Canada</t>
  </si>
  <si>
    <t>University of Ottawa; Ottawa Hospital Research Institute; University of Ottawa; University of Ottawa; Ottawa Hospital Research Institute</t>
  </si>
  <si>
    <t>Granville, DA (通訊作者)， Ottawa Hosp, Radiat Med Program, Ottawa, ON, Canada.</t>
  </si>
  <si>
    <t>dgranville@toh.ca</t>
  </si>
  <si>
    <t>La Russa, Daniel/0000-0003-3544-6638; Granville, Dal/0000-0003-4134-0776</t>
  </si>
  <si>
    <t>MAY</t>
  </si>
  <si>
    <t>10.1088/1361-6560/ab142e</t>
  </si>
  <si>
    <t>HW3EG</t>
  </si>
  <si>
    <t>WOS:000466572600004</t>
  </si>
  <si>
    <t>Babadagli, ME; Sloboda, R; Doucette, J</t>
  </si>
  <si>
    <t>Babadagli, Mustafa Ege; Sloboda, Ron; Doucette, John</t>
  </si>
  <si>
    <t>A mixed-integer linear programming optimization model framework for capturing expert planning style in low dose rate prostate brachytherapy</t>
  </si>
  <si>
    <t>low dose rate brachytherapy; prostate; treatment planning; linear programming model</t>
  </si>
  <si>
    <t>INVERSE OPTIMIZATION; ADJOINT FUNCTIONS; SEED; IMPLANTS; UPDATE; CANCER</t>
  </si>
  <si>
    <t>Low dose rate (LDR) brachytherapy is a minimally invasive form of radiation therapy, used to treat prostate cancer, and it involves permanent implantation of radioactive sources (seeds) inside of the prostate gland. Treatment planning in brachytherapy involves a decision making process for the placement of the sources in order to deliver an effective dose of radiation to cancerous tissue in the prostate while sparing the surrounding healthy tissue. Such a decision making process can be modeled as a mixed-integer linear programming (MILP) problem. In this paper, we introduce a novel MILP optimization model framework for interstitial LDR prostate brachytherapy designed to explicitly mimic the qualities of treatment plans produced manually by expert planners. Our approach involves incorporating a unique set of clinically important constraints, called spatial constraints, into the optimization model. Computational results for an initial model reflecting clinical practice at our cancer center show that the treatment plans produced largely capture the spatial and dosimetric characteristics of manual plans created by expert planners.</t>
  </si>
  <si>
    <t>[Babadagli, Mustafa Ege; Doucette, John] Univ Alberta, Dept Mech Engn, 10-237 Donadeo Innovat Ctr Engn, Edmonton, AB T6G 1H9, Canada; [Sloboda, Ron] Univ Alberta, Dept Oncol, 11560 Univ Ave, Edmonton, AB T6G 1Z2, Canada</t>
  </si>
  <si>
    <t>University of Alberta; University of Alberta</t>
  </si>
  <si>
    <t>Sloboda, R (通訊作者)， Univ Alberta, Dept Oncol, 11560 Univ Ave, Edmonton, AB T6G 1Z2, Canada.</t>
  </si>
  <si>
    <t>rsloboda@ualberta.ca</t>
  </si>
  <si>
    <t>Killam Trusts; AITF of the University of Alberta</t>
  </si>
  <si>
    <t>We thank the Killam Trusts and AITF of the University of Alberta for financial support.</t>
  </si>
  <si>
    <t>APR</t>
  </si>
  <si>
    <t>10.1088/1361-6560/ab075c</t>
  </si>
  <si>
    <t>HQ9JM</t>
  </si>
  <si>
    <t>WOS:000462743600003</t>
  </si>
  <si>
    <t>Nikulin, P; Maus, J; Hofheinz, F; Lougovski, A; van den Hoff, J</t>
  </si>
  <si>
    <t>Nikulin, Pavel; Maus, Jens; Hofheinz, Frank; Lougovski, Alexandr; van den Hoff, Jorg</t>
  </si>
  <si>
    <t>Time efficient scatter correction for time-of-flight PET: the immediate scatter approximation</t>
  </si>
  <si>
    <t>PET; scatter correction; immediate scatter approximation; image reconstruction; TOF; SSS; TOF-SSS</t>
  </si>
  <si>
    <t>ATTENUATION CORRECTION; RECONSTRUCTION; ARTIFACTS; TOF; EXTENSION</t>
  </si>
  <si>
    <t>Utilization of time-of-flight (TOF) information allows us to improve image quality and convergence rate in iterative PET image reconstruction. In order to obtain quantitatively correct images accurate scatter correction (SC) is required that accounts for the non-uniform distribution of scatter events over the TOF bins. However, existing simplified TOF-SC algorithms frequently exhibit limited accuracy while the currently accepted reference method-the TOF extension of the single scatter simulation approach (TOF-SSS)-is computationally demanding and can substantially slow down the reconstruction. In this paper we propose and evaluate a new accelerated TOF-SC algorithm in order to improve this situation. The key idea of the algorithm is the use of an immediate scatter approximation (ISA) for scatter time distribution calculation which speeds up estimation of the required TOF scatter by a factor of up to five in comparison to TOF-SSS. The proposed approach was evaluated in dedicated phantom measurements providing challenging high activity contrast conditions as well as in representative clinical patient data sets. Our results show that ISA is a viable alternative to TOF-SSS. The reconstructed images are in excellent quantitative agreement with those obtained with TOF-SSS while overall reconstruction time can be reduced by a factor of two in whole-body studies, even when using a listmode reconstruction not optimized for speed.</t>
  </si>
  <si>
    <t>[Nikulin, Pavel; Maus, Jens; Hofheinz, Frank; Lougovski, Alexandr; van den Hoff, Jorg] Helmholtz Zentrum Dresden Rossendorf, PET Ctr, Inst Radiopharmaceut Canc Res, Dresden, Germany; [van den Hoff, Jorg] Tech Univ Dresden, Univ Hosp Carl Gustav Carus, Dept Nucl Med, Dresden, Germany</t>
  </si>
  <si>
    <t>Helmholtz Association; Helmholtz-Zentrum Dresden-Rossendorf (HZDR); Technische Universitat Dresden; Carl Gustav Carus University Hospital</t>
  </si>
  <si>
    <t>Nikulin, P (通訊作者)， Helmholtz Zentrum Dresden Rossendorf, PET Ctr, Inst Radiopharmaceut Canc Res, Dresden, Germany.</t>
  </si>
  <si>
    <t>p.nikulin@hzdr.de</t>
  </si>
  <si>
    <t>Maus, Jens/H-7346-2013</t>
  </si>
  <si>
    <t>10.1088/1361-6560/ab0e9b</t>
  </si>
  <si>
    <t>WOS:000462743600001</t>
  </si>
  <si>
    <t>Yoganathan, SA; Zhang, R</t>
  </si>
  <si>
    <t>Yoganathan, S. A.; Zhang, Rui</t>
  </si>
  <si>
    <t>An atlas-based method to predict three-dimensional dose distributions for cancer patients who receive radiotherapy</t>
  </si>
  <si>
    <t>atlas-based; dose prediction; deformable image registration; radiotherapy</t>
  </si>
  <si>
    <t>MODULATED RADIATION-THERAPY; KNOWLEDGE-BASED PREDICTION; TREATMENT PLAN QUALITY; HEAD</t>
  </si>
  <si>
    <t>Due to the complexity of advanced radiotherapy techniques, treatment planning process is usually time consuming and plan quality can vary considerably among planners and institutions. It is also impractical to generate all possible treatment plans based on available radiotherapy techniques and select the best option for a specific patient. Automatic dose prediction will be very helpful in these situations, while there were a few studies of three-dimensional (3D) dose prediction for patients who received radiotherapy. The purpose of this work was to develop a novel atlas-based method to predict 3D dose prediction and to evaluate its performance. Previously treated nineteen left-sided postmastectomy breast cancer patients and sixteen prostate cancer patients were included in this study. One patient was arbitrarily chosen as the reference for each type of cancer and all the remaining patients' computed tomography (CT) images and contours were aligned to it using deformable image registration (DIR). Deformable vector field (DVF) for each patient i (DVFi-ref ) was used to deform the original 3D dose matrix of that patient. CT scan of a test patient was also registered with the same reference patient using DIR and both direct DVF (DVFtest-ref) and inverse DVF (DVFtest-ref (-1)) were derived. Similarity of atlas patients to the test patient was determined based on the similarity of DVF( test-ref )to atlas DVFs (DVFi-ref) and appropriate weighting factors were calculated. Patients' doses in the atlas were deformed again using DvF(test-ref)(-1) to transform them from the reference patient's coordinates to the test patient's coordinates and the final 3D dose distribution for the test patient was predicted by summing the weighted individual 3D dose distributions. Performance of our method was evaluated and the results revealed that the proposed method was able to predict the 3D dose distributions accurately. The mean dose difference between clinical and predicted 3D dose distributions were 0.9 +/- 1.1 Gy and 1.9 +/- 1.2 Gy for breast and prostate plans. The proposed dose prediction method can be used to improve planning quality and facilitate plan comparisons.</t>
  </si>
  <si>
    <t>[Yoganathan, S. A.; Zhang, Rui] Louisiana State Univ, Phys &amp; Astron, Baton Rouge, LA 70803 USA; [Zhang, Rui] Mary Bird Perkins Canc Ctr, Radiat Oncol, Baton Rouge, LA 70809 USA</t>
  </si>
  <si>
    <t>Louisiana State University System; Louisiana State University</t>
  </si>
  <si>
    <t>Zhang, R (通訊作者)， Louisiana State Univ, Phys &amp; Astron, Baton Rouge, LA 70803 USA.;Zhang, R (通訊作者)， Mary Bird Perkins Canc Ctr, Radiat Oncol, Baton Rouge, LA 70809 USA.</t>
  </si>
  <si>
    <t>rzhang@lsu.edu</t>
  </si>
  <si>
    <t>; Yoganathan, SA/GYA-3861-2022</t>
  </si>
  <si>
    <t>Yoganathan, SA/0000-0002-2857-8483;</t>
  </si>
  <si>
    <t>National Institutes of Health [K22CA204464]</t>
  </si>
  <si>
    <t>National Institutes of Health(United States Department of Health &amp; Human ServicesNational Institutes of Health (NIH) - USA)</t>
  </si>
  <si>
    <t>This work was partially supported by National Institutes of Health (grant no. K22CA204464).</t>
  </si>
  <si>
    <t>10.1088/1361-6560/ab10a0</t>
  </si>
  <si>
    <t>HT3HF</t>
  </si>
  <si>
    <t>Green Accepted, Green Submitted</t>
  </si>
  <si>
    <t>WOS:000464454200002</t>
  </si>
  <si>
    <t>Bruijnen, T; Stemkens, B; Lagendijk, JJW; van den Berg, CAT; Tijssen, RHN</t>
  </si>
  <si>
    <t>Bruijnen, Tom; Stemkens, Bjorn; Lagendijk, Jan J. W.; van den Berg, Cornelis A. T.; Tijssen, Rob H. N.</t>
  </si>
  <si>
    <t>Multiresolution radial MRI to reduce IDLE time in pre-beam imaging on an MR-Linac (MR-RIDDLE)</t>
  </si>
  <si>
    <t>MR-guided radiation therapy; MRI guidance; multiresolution imaging; golden angle radial; pre-beam imaging; MR-Linac; radiation therapy workflow</t>
  </si>
  <si>
    <t>MOTION ESTIMATION; CT-SCAN; RECONSTRUCTION; THERAPIES</t>
  </si>
  <si>
    <t>Online adaptive MR-guided radiation therapy improves treatment quality at the expense of considerable longer treatment time. The treatment lengthening partially originates from the preparatory (pre-beam) MR imaging required to encode all the information needed for contour propagation, contour adaptation and replanning. MRI requires several minutes of scan time before the encoded information is converted to usable images, which results in long idle times before the first clinical tasks are performed. In this study we propose a novel imaging sequence, called MR-RIDDLE, that reduces the idle time and therefore speeds-up the workflow in online MR-guided radiation therapy. MR-RIDDLE enables multiresolution image reconstruction to commence during data acquisition where low resolution images are available within one minute, after which the data collection continuous for subsequent high-resolution image updates. We demonstrate that the low resolution images can be used to accurately propagate contours from the pre-treatment scan. For abdominothoracic tumours MR-RIDDLE inherently captures a motion-blurred representation of the mid-position, which we were able to deblur using a combination of an internal motion surrogate and auto-adaptive soft-gating filters. Our results demonstrate that MR-RIDDLE provides a robust, flexible and time-efficient strategy for pre-beam imaging, even for cases with large respiratory movements or baseline shifts within the acquisition. We anticipate that this novel concept of parallelising the MR imaging and the dinical tasks has the potential to considerably speed-up and streamline the online MR-guided radiation therapy workflow.</t>
  </si>
  <si>
    <t>[Bruijnen, Tom; Stemkens, Bjorn; Lagendijk, Jan J. W.; van den Berg, Cornelis A. T.; Tijssen, Rob H. N.] Univ Med Ctr Utrecht, Dept Radiotherapy, Utrecht, Netherlands; [Bruijnen, Tom; Stemkens, Bjorn; van den Berg, Cornelis A. T.] Univ Med Ctr Utrecht, Ctr Image Sci, Computat Imaging Grp MRI Diagnost &amp; Therapy, Utrecht, Netherlands; [Stemkens, Bjorn] MR Code BV, Zaltbommel, Netherlands</t>
  </si>
  <si>
    <t>Utrecht University; Utrecht University Medical Center; Utrecht University; Utrecht University Medical Center</t>
  </si>
  <si>
    <t>Bruijnen, T (通訊作者)， Univ Med Ctr Utrecht, Dept Radiotherapy, Utrecht, Netherlands.;Bruijnen, T (通訊作者)， Univ Med Ctr Utrecht, Ctr Image Sci, Computat Imaging Grp MRI Diagnost &amp; Therapy, Utrecht, Netherlands.</t>
  </si>
  <si>
    <t>t.bruijnen@umcutrecht.nl</t>
  </si>
  <si>
    <t>Stemkens, Bjorn/0000-0003-0488-8070; Bruijnen, Tom/0000-0002-1233-1320</t>
  </si>
  <si>
    <t>Netherlands Organization for Scientific Research (NWO) [15354]</t>
  </si>
  <si>
    <t>Netherlands Organization for Scientific Research (NWO)(Netherlands Organization for Scientific Research (NWO))</t>
  </si>
  <si>
    <t>This work is part of the research program HTSM with project number 15354, which is (partly) financed by the Netherlands Organization for Scientific Research (NWO). Bjorn Stemkens declares to be a majority shareholder of MRCode BV.</t>
  </si>
  <si>
    <t>MAR</t>
  </si>
  <si>
    <t>10.1088/1361-6560/aafd6b</t>
  </si>
  <si>
    <t>HN2AE</t>
  </si>
  <si>
    <t>WOS:000459987300001</t>
  </si>
  <si>
    <t>Kan, H; Eguchi, Y; Tsuchiya, T; Kondo, T; Kitagawa, Y; Mekata, Y; Fukuma, H; Yoshida, R; Kasai, H; Kunitomo, H; Hirose, Y; Shibamoto, Y</t>
  </si>
  <si>
    <t>Kan, Hirohito; Eguchi, Yuta; Tsuchiya, Takahiro; Kondo, Takuto; Kitagawa, Yuto; Mekata, Yuji; Fukuma, Hiroshi; Yoshida, Ryoya; Kasai, Harumasa; Kunitomo, Hiroshi; Hirose, Yasujiro; Shibamoto, Yuta</t>
  </si>
  <si>
    <t>Geometric discrepancy of image-guided radiation therapy in patients with prostate cancer without implanted fiducial markers using a commercial pseudo-CT generation method</t>
  </si>
  <si>
    <t>pseudo-CT; carcification-assisted registration; prostate cancer</t>
  </si>
  <si>
    <t>DOSE CALCULATIONS; RADIOTHERAPY; CALCIFICATIONS; TECHNOLOGIES; FEASIBILITY</t>
  </si>
  <si>
    <t>MR-only simulations provide pseudo-CT images which are segmented into 5 kinds of tissues from DIXON-based images. However, it is difficult to register pseudo-CT images to cone-beam CT (CBCT) images collected for image-guided radiation therapy (IGRT), because of the lack of contrasts among tissues. We validated gaps of IGRT between pseudo-CT or planning CT and CBCT for patients without implanted markers. We also propose calcification-assisted registration for MR-only simulation. We conducted retrospective analyses to verify the registration accuracy in 15 patients who underwent volumetric modulated arc therapy (VMAT) for prostate cancer. They underwent planning CT and pseudo-CT. Pseudo-CT images after deformable image registration (DIR) to planning CT images were rendered automatic pelvic bone matching to CBCT images. Patient positions on the pseudo-CT images after DIR were shifted on the basis of tissues around the prostate. We compared registration gaps between the images of planning CT and pseudo-CT with DIR, assuming that the tissue-based matching between the planning CT and CBCT was the gold standard. To the pseudo-CT images with DIR, calcifications detected on planning CT were added. We validated IGRT accuracy for a calcification-assisted registration. The absolute registration errors of the pseudo-CT, in comparison with the planning CT, were 0.34 +/- 0.50 (lateral), 1.3 +/- 1.3 (longitudinal), and 1.1 +/- 1.0 mm (vertical). The absolute registration errors of the pseudo-CT with calcification contouring, in comparison with the planning CT, were 0.41 +/- 1.0 (lateral), 0.87 +/- 0.92 (longitudinal), and 0.74 +/- 0.64 mm (vertical). Reduced absolute registration errors were observed in the proposed approach in the longitudinal (P &lt; 0.01) and vertical (P &lt; 0.01) dimensions when using calcification-assisted registration. The tissue-based registration using the MR-only simulation was not sufficient for use in patients with prostate cancer without implanted markers. The calcification-assisted registration might help to improve IGRT accuracy using MRI alone.</t>
  </si>
  <si>
    <t>[Kan, Hirohito; Eguchi, Yuta; Tsuchiya, Takahiro; Kondo, Takuto; Kitagawa, Yuto; Mekata, Yuji; Fukuma, Hiroshi; Yoshida, Ryoya; Kasai, Harumasa; Kunitomo, Hiroshi; Hirose, Yasujiro; Shibamoto, Yuta] Nagoya City Univ Hosp, Dept Radiol, Mizuho Ku, 1 Kawasumi,Mizuho Cho, Nagoya, Aichi 4678602, Japan</t>
  </si>
  <si>
    <t>Nagoya City University</t>
  </si>
  <si>
    <t>Kan, H (通訊作者)， Nagoya City Univ Hosp, Dept Radiol, Mizuho Ku, 1 Kawasumi,Mizuho Cho, Nagoya, Aichi 4678602, Japan.</t>
  </si>
  <si>
    <t>h.kan1208@gmail.com; ra2580@med.nagoya-cu.ac.jp; takt0826@gmail.com; rakita@med.nagoya-cu.ac.jp; ra960701@med.nagoya-cu.ac.jp; raryoya@med.nagoya-cu.ac.jp; hhkasai@gmail.com; rakunny@med.nagoya-cu.ac.jp; rahirose@med.nagoya-cu.ac.jp; yshiba@med.nagoya-cu.ac.jp</t>
  </si>
  <si>
    <t>Kunitomo, Hiroshi/AAV-5324-2021; Kan, Hirohito/LMM-8543-2024</t>
  </si>
  <si>
    <t>Kan, Hirohito/0000-0002-5688-2685</t>
  </si>
  <si>
    <t>06NTO1</t>
  </si>
  <si>
    <t>10.1088/1361-6560/ab02cc</t>
  </si>
  <si>
    <t>HO3LE</t>
  </si>
  <si>
    <t>WOS:000460823400001</t>
  </si>
  <si>
    <t>Yang, XF; Wang, TH; Lei, Y; Higgins, K; Liu, T; Shim, H; Curran, WJ; Mao, H; Nye, JA</t>
  </si>
  <si>
    <t>Yang, Xiaofeng; Wang, Tonghe; Lei, Yang; Higgins, Kristin; Liu, Tian; Shim, Hyunsuk; Curran, Walter J.; Mao, Hui; Nye, Jonathon A.</t>
  </si>
  <si>
    <t>MRI-based attenuation correction for brain PET/MRI based on anatomic signature and machine learning</t>
  </si>
  <si>
    <t>MRI; PET/MRI; attenuation correction; machine learning</t>
  </si>
  <si>
    <t>PSEUDO-CT; PROBABILISTIC ATLAS; ONLY RADIOTHERAPY; SYNTHETIC CT; PET; IMAGES; GENERATION; DISORDERS</t>
  </si>
  <si>
    <t>Deriving accurate attenuation maps for PET/MRI remains a challenging problem because MRI voxel intensities are not related to properties of photon attenuation and bone/air interfaces have similarly low signal. This work presents a learning-based method to derive patient-specific computed tomography (CT) maps from routine T1-weighted MRI in their native space for attenuation correction of brain PET. We developed a machine-learning-based method using a sequence of alternating random forests under the framework of an iterative refinement model. Anatomical feature selection is included in both training and predication stages to achieve optimal performance. To evaluate its accuracy, we retrospectively investigated 17 patients, each of which has been scanned by PET/CT and MR for brain. The PET images were corrected for attenuation on CT images as ground truth, as well as on pseudo CT (PCT) images generated from MR images. The PCT images showed mean average error of 66.1 +/- 8.5 HU, average correlation coefficient of 0.974 +/- 0.018 and average Dice similarity coefficient (DSC) larger than 0.85 for air, bone and soft tissue. The side-by-side image comparisons and joint histograms demonstrated very good agreement of PET images after correction by PCT and CT. The mean differences of voxel values in selected VOIs were less than 4%, the mean absolute difference of all active area is around 2.5%, and the mean linear correlation coefficient is 0.989 +/- 0.017 between PET images corrected by CT and PCT. This work demonstrates a novel learning-based approach to automatically generate CT images from routine T1-weighted MR images based on a random forest regression with patch-based anatomical signatures to effectively capture the relationship between the CT and MR images. Reconstructed PET images using the PCT exhibit errors well below accepted test/retest reliability of PET/CT indicating high quantitative equivalence.</t>
  </si>
  <si>
    <t>[Yang, Xiaofeng; Wang, Tonghe; Lei, Yang; Higgins, Kristin; Liu, Tian; Shim, Hyunsuk; Curran, Walter J.] Emory Univ, Dept Radiat Oncol, Atlanta, GA 30322 USA; [Shim, Hyunsuk; Mao, Hui; Nye, Jonathon A.] Emory Univ, Dept Radiol &amp; Imaging Sci, Atlanta, GA 30322 USA; [Yang, Xiaofeng; Higgins, Kristin; Liu, Tian; Shim, Hyunsuk; Curran, Walter J.; Mao, Hui] Emory Univ, Winship Canc Inst, Atlanta, GA 30322 USA</t>
  </si>
  <si>
    <t>Emory University; Emory University; Emory University</t>
  </si>
  <si>
    <t>Yang, XF (通訊作者)， Emory Univ, Dept Radiat Oncol, Atlanta, GA 30322 USA.;Yang, XF (通訊作者)， Emory Univ, Winship Canc Inst, Atlanta, GA 30322 USA.</t>
  </si>
  <si>
    <t>xyang43@emory.edu</t>
  </si>
  <si>
    <t>Lei, Yang/AAE-5089-2019; Yang, Xiaofeng/G-9479-2012; Wang, Tonghe/AAL-9431-2020</t>
  </si>
  <si>
    <t>Wang, Tonghe/0000-0001-9021-1204; Yang, Xiaofeng/0000-0001-9023-5855; Lei, Yang/0000-0002-3572-0345;</t>
  </si>
  <si>
    <t>National Cancer Institute of the National Institutes of Health [R01CA215718]; Department of Defense (DoD) Prostate Cancer Research Program (PCRP) Award [W81XWH-13-1-0269]; Emory Winship Pilot Grant</t>
  </si>
  <si>
    <t>National Cancer Institute of the National Institutes of Health(United States Department of Health &amp; Human ServicesNational Institutes of Health (NIH) - USANIH National Cancer Institute (NCI)); Department of Defense (DoD) Prostate Cancer Research Program (PCRP) Award(United States Department of Defense); Emory Winship Pilot Grant</t>
  </si>
  <si>
    <t>This research is supported in part by the National Cancer Institute of the National Institutes of Health under Award Number R01CA215718, the Department of Defense (DoD) Prostate Cancer Research Program (PCRP) Award W81XWH-13-1-0269 and Emory Winship Pilot Grant.</t>
  </si>
  <si>
    <t>JAN</t>
  </si>
  <si>
    <t>10.1088/1361-6560/aaf5e0</t>
  </si>
  <si>
    <t>HG9VV</t>
  </si>
  <si>
    <t>WOS:000455360700001</t>
  </si>
  <si>
    <t>Havariyoun, G; Vittoria, FA; Hagen, CK; Basta, D; Kallon, GK; Endrizzi, M; Massimi, L; Munro, P; Hawker, S; Smit, B; Astolfo, A; Larkin, OJ; Waltham, RM; Shah, Z; Duffy, SW; Nelan, RL; Peel, A; Suaris, T; Jones, JL; Haig, IG; Bate, D; Olivo, A</t>
  </si>
  <si>
    <t>Havariyoun, Glafkos; Vittoria, Fabio A.; Hagen, Charlotte K.; Basta, Dario; Kallon, Gibril K.; Endrizzi, Marco; Massimi, Lorenzo; Munro, Peter; Hawker, Sam; Smit, Bennie; Astolfo, Alberto; Larkin, Oliver J.; Waltham, Richard M.; Shah, Zoheb; Duffy, Stephen W.; Nelan, Rachel L.; Peel, Anthony; Suaris, Tamara; Jones, J. Louise; Haig, Ian G.; Bate, David; Olivo, Alessandro</t>
  </si>
  <si>
    <t>A compact system for intraoperative specimen imaging based on edge illumination x-ray phase contrast</t>
  </si>
  <si>
    <t>phase contrast imaging; intraoperative imaging; x-ray phase contrast imaging; CT phase contrast imaging; edge illumination phase contrast imaging; x-ray imaging</t>
  </si>
  <si>
    <t>MARGIN ASSESSMENT; BREAST; GUIDELINES; SURGERY; UK</t>
  </si>
  <si>
    <t>A significant number of patients receiving breast-conserving surgery (BCS) for invasive carcinoma and ductal carcinoma in situ (DCIS) may need reoperation following tumor-positive margins from final histopathology tests. All current intraoperative margin assessment modalities have specific limitations. As a first step towards the development of a compact system for intraoperative specimen imaging based on edge illumination x-ray phase contrast, we prove that the system?s dimensions can be reduced without affecting imaging performance. We analysed the variation in noise and contrast to noise ratio (CNR) with decreasing system length using the edge illumination x-ray phase contrast imaging setup. Two-(planar) and three-(computed tomography (CT)) dimensional imaging acquisitions of custom phantoms and a breast tissue specimen were made. Dedicated phase retrieval algorithms were used to separate refraction and absorption signals. A ?single-shot? retrieval method was also used, to retrieve thickness map images, due to its simple acquisition procedure and reduced acquisition times. Experimental results were compared to numerical simulations where appropriate. The relative contribution of dark noise signal in integrating detectors is significant for low photon count statistics acquisitions. Under constant exposure factors and magnification, a more compact system provides an increase in CNR. Superior CNR results were obtained for refraction and thickness map images when compared to absorption images. Results indicate that the ?single-shot? acquisition method is preferable for a compact CT intraoperative specimen scanner; it allows for shorter acquisition times and its combination of the absorption and refraction signals ultimately leads to a higher contrast. The first CT images of a breast specimen acquired with the compact system provided promising results when compared to those of the longer length system.</t>
  </si>
  <si>
    <t>[Havariyoun, Glafkos; Vittoria, Fabio A.; Hagen, Charlotte K.; Basta, Dario; Kallon, Gibril K.; Endrizzi, Marco; Massimi, Lorenzo; Munro, Peter; Olivo, Alessandro] UCL, Dept Med Phys &amp; Bioengn, London WC1E 6BT, England; [Hawker, Sam; Smit, Bennie; Astolfo, Alberto; Larkin, Oliver J.; Waltham, Richard M.; Haig, Ian G.; Bate, David] Tring Business Ctr, Nikon X Tek Syst, Icknield Way, Tring HP23 4JX, Herts, England; [Shah, Zoheb; Duffy, Stephen W.; Nelan, Rachel L.; Jones, J. Louise] Queen Mary Univ London, Barts &amp; London Sch Med &amp; Dent, Newark St, London E1 2AT, England; [Peel, Anthony; Suaris, Tamara; Jones, J. Louise] Barts Hlth NHS Trust, St Bartholomews Hosp, London EC1A 7BE, England; [Vittoria, Fabio A.] ENEA Radiat Protect Institue, 4 Via Martiri Monte Sole, I-40129 Bologna, Italy</t>
  </si>
  <si>
    <t>University of London; University College London; University of London; Queen Mary University London; Barts Health NHS Trust; University of London; Queen Mary University London</t>
  </si>
  <si>
    <t>Havariyoun, G (通訊作者)， UCL, Dept Med Phys &amp; Bioengn, London WC1E 6BT, England.</t>
  </si>
  <si>
    <t>glafcos.havariyoun.10@ucl.ac.uk</t>
  </si>
  <si>
    <t>; Olivo, Alessandro/C-1581-2008; Munro, Peter/B-7378-2012; Massimi, Lorenzo/AAV-9500-2020; Endrizzi, Marco/O-7463-2015</t>
  </si>
  <si>
    <t>Larkin, Oliver/0000-0003-4799-9563; Massimi, Lorenzo/0000-0001-6191-869X; Endrizzi, Marco/0000-0002-7810-2301; Olivo, Alessandro/0000-0002-7150-2951; Nelan, Rachel/0000-0002-9422-1212</t>
  </si>
  <si>
    <t>EPSRC [EP/I021884/1, EP/M028100/1]; STFC [ST/L502662/1]; Wellcome Trust [200137/Z/15/Z]; Royal Academy of Engineering under the RA Eng Research Fellowship scheme; Engineering and Physical Sciences Research Council [EP/M028100/1, EP/I021884/1] Funding Source: researchfish; Science and Technology Facilities Council [ST/L502662/1, 1352400] Funding Source: researchfish; Wellcome Trust [200137/Z/15/Z] Funding Source: Wellcome Trust; EPSRC [EP/I021884/1, EP/M028100/1] Funding Source: UKRI; STFC [ST/L502662/1] Funding Source: UKRI</t>
  </si>
  <si>
    <t>EPSRC(UK Research &amp; Innovation (UKRI)Engineering &amp; Physical Sciences Research Council (EPSRC)); STFC(UK Research &amp; Innovation (UKRI)Science &amp; Technology Facilities Council (STFC)); Wellcome Trust(Wellcome Trust); Royal Academy of Engineering under the RA Eng Research Fellowship scheme; Engineering and Physical Sciences Research Council(UK Research &amp; Innovation (UKRI)Engineering &amp; Physical Sciences Research Council (EPSRC)); Science and Technology Facilities Council(UK Research &amp; Innovation (UKRI)Science &amp; Technology Facilities Council (STFC)); Wellcome Trust(Wellcome Trust); EPSRC(UK Research &amp; Innovation (UKRI)Engineering &amp; Physical Sciences Research Council (EPSRC)); STFC(UK Research &amp; Innovation (UKRI)Science &amp; Technology Facilities Council (STFC))</t>
  </si>
  <si>
    <t>This work is funded by EPSRC (Grants EP/I021884/1 and EP/M028100/1), STFC (Grant ST/L502662/1) and by the Wellcome Trust [200137/Z/15/Z]. ME and CKH are supported by the Royal Academy of Engineering under the RA Eng Research Fellowship scheme.</t>
  </si>
  <si>
    <t>10.1088/1361-6560/ab4912</t>
  </si>
  <si>
    <t>JR0XI</t>
  </si>
  <si>
    <t>Green Published, Green Submitted, hybrid</t>
  </si>
  <si>
    <t>WOS:000499358500001</t>
  </si>
  <si>
    <t>Qin, T; Zheng, ZJ; Zhang, R; Wang, CX; Yu, W</t>
  </si>
  <si>
    <t>Qin, Tian; Zheng, Zongjian; Zhang, Rui; Wang, Chengxiang; Yu, Wei</t>
  </si>
  <si>
    <t>l0 gradient minimization for limited-view photoacoustic tomography</t>
  </si>
  <si>
    <t>photoacoustic tomography; image reconstruction; limited-view; regularization</t>
  </si>
  <si>
    <t>RECONSTRUCTION ALGORITHM; IMAGE-RECONSTRUCTION; THERMOACOUSTIC TOMOGRAPHY; OPTOACOUSTIC TOMOGRAPHY; INVERSION FORMULAS; SPHERICAL MEANS; WAVE-EQUATION; TIME-REVERSAL; TRANSFORM; MODELS</t>
  </si>
  <si>
    <t>Photoacoustic tomography (PAT) is an emerging and effective imaging technique, which offers high spatial resolution with high contrast. In particular, the acquired data is incomplete due to geometrical limitations or accelerating data acquisition by undersampling technology, thus some artifacts will be presented in the reconstructed image. To deal with limited-view PAT, we introduce a l(0) regularization scheme into PAT and propose a three-stage method. We first use the gradient descent method to obtain an initial solution, then project it onto a constrain set, and finally a proximal mapping scheme is used to further improve the reconstruction quality. Our simulation experiments on homogeneous medium are utilized to validate the effectiveness of the proposed method, and a discussion on the parameters of the proposed method is given. The experimental results reveal that the proposed method outperforms other classical methods, and it can further improve the reconstruction quality in terms of suppressing the noise and artifacts, and preserving the edge.</t>
  </si>
  <si>
    <t>[Qin, Tian] Hohai Univ, Coll Sci, Nanjing 210098, Jiangsu, Peoples R China; [Zheng, Zongjian; Zhang, Rui] Sichuan Univ Arts &amp; Sci, Dept Math, Dazhou 635000, Peoples R China; [Zhang, Rui] Chengdu Univ Technol, Coll Management Sci, Chengdu 610059, Sichuan, Peoples R China; [Wang, Chengxiang] Chongqing Normal Univ, Sch Math Sci, Chongqing 401131, Peoples R China; [Wang, Chengxiang] Univ Elect Sci &amp; Technol China, Sch Math Sci, Chengdu 611731, Sichuan, Peoples R China; [Yu, Wei] Hubei Univ Sci &amp; Technol, Sch Biomed Engn, Xianning 437100, Peoples R China</t>
  </si>
  <si>
    <t>Hohai University; Sichuan University of Arts &amp; Science; Chengdu University of Technology; Chongqing Normal University; University of Electronic Science &amp; Technology of China; Hubei University of Science &amp; Technology</t>
  </si>
  <si>
    <t>Wang, CX (通訊作者)， Chongqing Normal Univ, Sch Math Sci, Chongqing 401131, Peoples R China.;Wang, CX (通訊作者)， Univ Elect Sci &amp; Technol China, Sch Math Sci, Chengdu 611731, Sichuan, Peoples R China.;Yu, W (通訊作者)， Hubei Univ Sci &amp; Technol, Sch Biomed Engn, Xianning 437100, Peoples R China.</t>
  </si>
  <si>
    <t>chengxiangwang@cqu.edu.cn; cq_yuwei@163.com</t>
  </si>
  <si>
    <t>; yu, wei/ITV-8783-2023</t>
  </si>
  <si>
    <t>Yu, Wei/0000-0002-9683-1209;</t>
  </si>
  <si>
    <t>National Natural Science Foundation of China (NSFC) [61701174, 61801086]; Hubei Provincial Natural Science Foundation of China [2017CFB168]; Education Department of Hubei Province Science and Technology Research Project of China [Q20172803]</t>
  </si>
  <si>
    <t>National Natural Science Foundation of China (NSFC)(National Natural Science Foundation of China (NSFC)); Hubei Provincial Natural Science Foundation of China(National Natural Science Foundation of China (NSFC)); Education Department of Hubei Province Science and Technology Research Project of China</t>
  </si>
  <si>
    <t>This work was partially funded by the National Natural Science Foundation of China (NSFC) (No. 61701174 and 61801086); Hubei Provincial Natural Science Foundation of China (No. 2017CFB168); the Education Department of Hubei Province Science and Technology Research Project of China (No. Q20172803). The authors would like to thank Joyce Chelangat Bore for her careful reading and grammar correction.</t>
  </si>
  <si>
    <t>OCT</t>
  </si>
  <si>
    <t>10.1088/1361-6560/ab3704</t>
  </si>
  <si>
    <t>JA1CO</t>
  </si>
  <si>
    <t>WOS:000487555100004</t>
  </si>
  <si>
    <t>Jiang, YK; Yang, CL; Yang, PF; Hu, X; Luo, C; Xue, Y; Xu, L; Hu, XH; Zhang, LH; Wang, J; Sheng, K; Niu, TY</t>
  </si>
  <si>
    <t>Jiang, Yangkang; Yang, Chunlin; Yang, Pengfei; Hu, Xi; Luo, Chen; Xue, Yi; Xu, Lei; Hu, Xiuhua; Zhang, Luhan; Wang, Jing; Sheng, Ke; Niu, Tianye</t>
  </si>
  <si>
    <t>Scatter correction of cone-beam CT using a deep residual convolution neural network (DRCNN)</t>
  </si>
  <si>
    <t>cone-beam CT (CBCT); scatter correction; convolution neural network (CNN); residual learning framework (RLF)</t>
  </si>
  <si>
    <t>FLAT-PANEL DETECTOR; X-RAY CT; MONTE-CARLO SIMULATIONS; RADIATION-THERAPY; COMPUTED-TOMOGRAPHY; SHADING CORRECTION; PRIMARY MODULATION; TARGET; REDUCTION; ACCURACY</t>
  </si>
  <si>
    <t>Scatter correction is an essential technique to improve the image quality of cone-beam CT (CBCT). Although different scatter correction methods have been proposed in the literature, a standard solution is still being studied due to the limitations including accuracy, computation efficiency and generalization. In this paper, we propose a novel scatter correction scheme for CBCT using a deep residual convolution neural network (DRCNN) to overcome the limitations. The proposed method combines the deep convolution neural network (CNN) and the residual learning framework (RLF) to train the mapping function from the uncorrected image to the corrected image. Two residual network modules (RNMs) are built based on the RLF to improve the accuracy of the mapping function by strengthening the propagation of the gradient. The dropout operations are applied as the regularizer of the network to avoid the overfitting problem. The RMSE of the corrected images reconstructed using the DRCNN is reduced from over 200 HU to be about 20 HU. The structural similarity (SSIM) is slightly increased from 0.95 to 0.99, indicating that the proposed scheme maintains the anatomical structure. The proposed DRCNN has a higher accuracy of scatter correction than the networks without the RLF or the dropout operations. The proposed network is effective, efficient and robust as a solution to the CBCT scatter correction.</t>
  </si>
  <si>
    <t>[Jiang, Yangkang; Yang, Chunlin; Yang, Pengfei; Luo, Chen; Xue, Yi; Xu, Lei; Zhang, Luhan; Wang, Jing; Niu, Tianye] Zhejiang Univ, Sir Run Run Shaw Hosp, Sch Med, Inst Translat Med, Hangzhou 310016, Zhejiang, Peoples R China; [Hu, Xi; Hu, Xiuhua] Zhejiang Univ, Sir Run Run Shaw Hosp, Dept Radiol, Sch Med, Hangzhou 310016, Zhejiang, Peoples R China; [Sheng, Ke] Univ Calif Los Angeles, Dept Radiat Oncol, Los Angeles, CA 90024 USA</t>
  </si>
  <si>
    <t>Zhejiang University; Zhejiang University; University of California System; University of California Los Angeles</t>
  </si>
  <si>
    <t>Niu, TY (通訊作者)， Zhejiang Univ, Sir Run Run Shaw Hosp, Sch Med, Inst Translat Med, Hangzhou 310016, Zhejiang, Peoples R China.</t>
  </si>
  <si>
    <t>tyniu@zju.edu.cn</t>
  </si>
  <si>
    <t>Luo, Chen/IXW-7509-2023; jing, wang/KCZ-2144-2024; Niu, Tianye/ACN-9157-2022; Yang, Pengfei/AAJ-8451-2021; Xu, Lei/GRX-5766-2022; Xue, Yi/NIU-2926-2025; 江, 阳康/HVT-8798-2023</t>
  </si>
  <si>
    <t>Yang, Pengfei/0000-0002-5803-8859; Xue, Yi/0009-0006-8733-9155; Sheng, Ke/0000-0002-6696-5409;</t>
  </si>
  <si>
    <t>Zhejiang Provincial Natural Science Foundation of China [LR16F010001, LY17E050008]; Zhejiang University Education Foundation ZJU-Stanford Collaboration Fund; National High-tech R&amp;D Program for Young Scientists by the Ministry of Science and Technology of China [2015AA020917]; Natural Science Foundation of China (NSFC) [81871351, 81827804, 81201091, 51305257]; Zhejiang Province 151 Talents Program; Medical Health Science and Technology Project of Zhejiang Provincial Health Commission [2019RC189]</t>
  </si>
  <si>
    <t>Zhejiang Provincial Natural Science Foundation of China(Natural Science Foundation of Zhejiang Province); Zhejiang University Education Foundation ZJU-Stanford Collaboration Fund; National High-tech R&amp;D Program for Young Scientists by the Ministry of Science and Technology of China; Natural Science Foundation of China (NSFC)(National Natural Science Foundation of China (NSFC)); Zhejiang Province 151 Talents Program; Medical Health Science and Technology Project of Zhejiang Provincial Health Commission</t>
  </si>
  <si>
    <t>This work is supported by the Zhejiang Provincial Natural Science Foundation of China (Grant No. LR16F010001, LY17E050008), Zhejiang University Education Foundation ZJU-Stanford Collaboration Fund, Medical Health Science and Technology Project of Zhejiang Provincial Health Commission (Grant No. 2019RC189), National High-tech R&amp;D Program for Young Scientists by the Ministry of Science and Technology of China (Grant No. 2015AA020917), Natural Science Foundation of China (NSFC Grant No. 81871351, 81827804, 81201091, 51305257), Zhejiang Province 151 Talents Program.</t>
  </si>
  <si>
    <t>10.1088/1361-6560/ab23a6</t>
  </si>
  <si>
    <t>II7NN</t>
  </si>
  <si>
    <t>WOS:000475378800003</t>
  </si>
  <si>
    <t>Mahon, RN; Hugo, GD; Weiss, E</t>
  </si>
  <si>
    <t>Mahon, R. N.; Hugo, G. D.; Weiss, E.</t>
  </si>
  <si>
    <t>Repeatability of texture features derived from magnetic resonance and computed tomography imaging and use in predictive models for non-small cell lung cancer outcome</t>
  </si>
  <si>
    <t>radiomics; magnetic resonance imaging; computed tomography; texture features; repeatability; predictive modelling; lung cancer</t>
  </si>
  <si>
    <t>RADIOMICS FEATURES; FDG-PET; IMAGES; THERAPY</t>
  </si>
  <si>
    <t>To evaluate the repeatability of MRI and CT derived texture features and to investigate the feasibility of use in predictive single and multi-modality models for radiotherapy of non-small cell lung cancer, 59 texture features were extracted from unfiltered and wavelet filtered images. Repeatability of test-retest features from helical 4D CT scans, true fast MRI with steady state precession (TRUFISP), and volumetric interpolation breath-hold examination (VIBE) was determined by the concordance correlation coefficient (CCC). A workflow was developed to predict overall survival at 12, 18, and 24 months and tumour response at end of treatment for tumour features, and normal muscle tissue features as a control. Texture features were reduced to repeatable and stable features before clustering. Cluster representative feature selection was performed by univariate or medoid analysis before model selection. P-values were corrected for false discovery rate. Repeatable (CCC &gt;= 0.9) features were found for both tumour and normal muscle tissue: CT: 54.4% for tumour and 78.5% for normal tissue, TRUFISP: 64.4% for tumour and 67.8% for normal tissue, and VIBE: 52.6% for tumour and 72.9% for normal muscle tissue. Muscle tissue control analysis found seven significant models with six of seven models utilizing the univariate representative feature selection technique. Tumour analysis revealed 12 significant models for overall survival and none for tumour response at end of treatment. The accuracy of significant single modality was about the same for MR and CT. Multi-modality tumour models had comparable performance to single modality models. MR derived texture features may add value to predictive models and should be investigated in a larger cohort. Control analysis demonstrated that the medoid representative feature selection method may result in more robust models.</t>
  </si>
  <si>
    <t>[Mahon, R. N.; Hugo, G. D.; Weiss, E.] Virginia Commonwealth Univ, Dept Radiat Oncol, Richmond, VA 23284 USA; [Hugo, G. D.] Washington Univ, Dept Radiat Oncol, St Louis, MO 63110 USA</t>
  </si>
  <si>
    <t>Virginia Commonwealth University; Washington University (WUSTL)</t>
  </si>
  <si>
    <t>Mahon, RN (通訊作者)， Virginia Commonwealth Univ, Dept Radiat Oncol, Richmond, VA 23284 USA.</t>
  </si>
  <si>
    <t>mahonrn@vcu.edu</t>
  </si>
  <si>
    <t>Mahon, Rebecca/0000-0003-0466-2282</t>
  </si>
  <si>
    <t>NIH; NIH Cancer Center Support Grant [P30 CA016059]</t>
  </si>
  <si>
    <t>NIH(United States Department of Health &amp; Human ServicesNational Institutes of Health (NIH) - USA); NIH Cancer Center Support Grant(United States Department of Health &amp; Human ServicesNational Institutes of Health (NIH) - USANIH Division of Research Services (DRS))</t>
  </si>
  <si>
    <t>We would like to thank Dr. Julian Rosenman for valuable discussions related to the use of muscle tissue controls. We disclose the following potential conflicts of interest in the manuscript: Virginia Commonwealth University has a research agreement with Varian Medical Systems. EW and GD receive funding from NIH. EW receives royalties from UpToDate. This work was supported in part through NIH Cancer Center Support Grant P30 CA016059.</t>
  </si>
  <si>
    <t>10.1088/1361-6560/ab18d3</t>
  </si>
  <si>
    <t>WOS:000475378800007</t>
  </si>
  <si>
    <t>Li, XB; Gao, HW; Chen, ZQ; Zhang, L; Zhu, XH; Wang, SP; Peng, WJ</t>
  </si>
  <si>
    <t>Li, Xinbin; Gao, Hewei; Chen, Zhiqiang; Zhang, Li; Zhu, Xiaohua; Wang, Shengping; Peng, Weijun</t>
  </si>
  <si>
    <t>A comparative study of information retrieval in grating-based x-ray phase-contrast imaging</t>
  </si>
  <si>
    <t>x ray phase contrast imaging; grating interferometer; information retrieval</t>
  </si>
  <si>
    <t>TALBOT INTERFEROMETRY; TOMOGRAPHY</t>
  </si>
  <si>
    <t>The cosine-model analysis (CMA) method and the small angle x-ray scattering (SAXS) method are two major types of information retrieval algorithms, commonly utilized in x-ray phase-contrast imaging with a grating interferometer. However, there are significant differences between the two methods in algorithm implementation, and the existing literature has not completely revealed their intrinsic relationship. In this paper, we theoretically derive and experimentally verify the intrinsic connections between CMA and SAXS, and it is seen that SAXS can be interpreted well by the cosine-model assumption of CMA. To validate our analysis of the scattering distribution when applying the cosine model to the convolution used in SAXS, we applied a deconvolution process into CMA before using the Fourier transform to get the three contrasts. Furthermore, the principal component analysis (PCA) is introduced in this work, and two PCA-based retrieval algorithms are presented in order to simplify the iteration process of deconvolution in SAXS or to obtain absorption and dark-field signals instead of the Fourier transform in CMA. Applying a quantitative structural similarity (SSIM) index and a profile analysis to the results of an ex vivo mammography, it is proved that retrieved images via CMA and SAXS are consistent with each other (SSIM values are 1.0000, 0.9845 and 0.9767 respectively), and that the extra deconvolution process applied into CMA shows a good performance and our analytical analysis of the scattering distribution is valid when applying the cosine model to the convolution used in SAXS. Besides, it is concluded that PCA shows almost the same performance with the Fourier transform (SSIM values are 1.0000 for both absorption and dark-field images), and the simplified SAXS-analogous method works well with higher efficiency in computation and better stability relative to the original SAXS, while maintaining the similar level of image quality (SSIM values are 1.0000, 0.9839 and 0.9781 respectively).</t>
  </si>
  <si>
    <t>[Li, Xinbin; Gao, Hewei; Chen, Zhiqiang; Zhang, Li; Zhu, Xiaohua] Tsinghua Univ, Dept Engn Phys, Beijing, Peoples R China; [Li, Xinbin; Gao, Hewei; Chen, Zhiqiang; Zhang, Li; Zhu, Xiaohua] Tsinghua Univ, Key Lab Particle &amp; Radiat Imaging, Minist Educ, Beijing, Peoples R China; [Wang, Shengping; Peng, Weijun] Fudan Univ, Shanghai Canc Ctr, 270 Dongan Rd, Shanghai, Peoples R China</t>
  </si>
  <si>
    <t>Tsinghua University; Tsinghua University; Fudan University</t>
  </si>
  <si>
    <t>Chen, ZQ (通訊作者)， Tsinghua Univ, Dept Engn Phys, Beijing, Peoples R China.;Chen, ZQ (通訊作者)， Tsinghua Univ, Key Lab Particle &amp; Radiat Imaging, Minist Educ, Beijing, Peoples R China.</t>
  </si>
  <si>
    <t>czq@mail.tsinghua.edu.cn</t>
  </si>
  <si>
    <t>wang, shengping/J-3901-2014</t>
  </si>
  <si>
    <t>National Natural Science Foundations of China [11435007, 61527807]</t>
  </si>
  <si>
    <t>National Natural Science Foundations of China(National Natural Science Foundation of China (NSFC))</t>
  </si>
  <si>
    <t>This work was supported by a grant from the National Natural Science Foundations of China (No. 11435007 and No. 61527807). We are also grateful for the anonymous reviewers' valuable constructive comments and suggestions.</t>
  </si>
  <si>
    <t>10.1088/1361-6560/ab0d5a</t>
  </si>
  <si>
    <t>WOS:000471317900005</t>
  </si>
  <si>
    <t>Rigaud, B; Klopp, A; Vedam, S; Venkatesan, A; Taku, N; Simon, A; Haigron, P; de Crevoisier, R; Brock, KK; Cazoulat, G</t>
  </si>
  <si>
    <t>Rigaud, B.; Klopp, A.; Vedam, S.; Venkatesan, A.; Taku, N.; Simon, A.; Haigron, P.; de Crevoisier, R.; Brock, K. K.; Cazoulat, G.</t>
  </si>
  <si>
    <t>Deformable image registration for dose mapping between external beam radiotherapy and brachytherapy images of cervical cancer</t>
  </si>
  <si>
    <t>biomechanical deformation; brachytherapy; dose mapping; cervical cancer</t>
  </si>
  <si>
    <t>MODULATED RADIATION-THERAPY; NONRIGID REGISTRATION; INTRACAVITARY BRACHYTHERAPY; INTERFRACTIONAL VARIATION; MOTION MANAGEMENT; ORGAN MOVEMENT; ACCUMULATION; BLADDER; IMPACT; SHAPE</t>
  </si>
  <si>
    <t>For locally advanced cervical cancer (LACC), anatomy correspondence with and without BT applicator needs to be quantified to merge the delivered doses of external beam radiation therapy (EBRT) and brachytherapy (BT). This study proposed and evaluated different deformable image registration (DIR) methods for this application. Twenty patients who underwent EBRT and BT for LACC were retrospectively analyzed. Each patient had a pre-BT CT at EBRT boost (without applicator) and a CT and MRI at BT (with applicator). The evaluated DIR methods were the diffeomorphic Demons, commercial intensity and hybrid methods, and three different biomechanical models. The biomechanical models considered different boundary conditions (BCs). The impact of the BT devices insertion on the anatomy was quantified. DIR method performances were quantified using geometric criteria between the original and deformed contours. The BT dose was deformed toward the pre-CT BT by each DIR method. The impact of boundary conditions to drive the biomechanical model was evaluated based on the deformation vector field and dose differences. The GEC-ESTRO guideline dose indices were reported. Large organ displacements, deformations, and volume variations were observed between the pre-BT and BT anatomies. Rigid registration and intensity-based DIR resulted in poor geometric accuracy with mean Dice similarity coefficient (DSC) inferior to 0.57, 0.63, 0.42, 0.32, and 0.43 for the rectum, bladder, vagina, cervix and uterus, respectively. Biomechanical models provided a mean DSC of 0.96 for all the organs. By considering the cervix-uterus as one single structure, biomechanical models provided a mean DSC of 0.88 and 0.94 for the cervix and uterus, respectively. The deformed doses were represented for each DIR method. Caution should be used when performing DIR for this application as standard techniques may have unacceptable results. The biomechanical model with the cervix-uterus as one structure provided the most realistic deformations to propagate the BT dose toward the EBRT boost anatomy.</t>
  </si>
  <si>
    <t>[Rigaud, B.; Simon, A.; Haigron, P.; de Crevoisier, R.] Univ Rennes, INSERM, UMR 1099, CLCC Eugene Marquis,LTSI, F-35000 Rennes, France; [Rigaud, B.; Brock, K. K.; Cazoulat, G.] Univ Texas MD Anderson Canc Ctr, Dept Imaging Phys, Houston, TX 77030 USA; [Venkatesan, A.] Univ Texas MD Anderson Canc Ctr, Dept Diagnost Radiol, Houston, TX 77030 USA; [Klopp, A.; Taku, N.] Univ Texas MD Anderson Canc Ctr, Dept Radiat Oncol, Houston, TX 77030 USA; [Vedam, S.] Univ Texas MD Anderson Canc Ctr, Dept Radiat Phys, Houston, TX 77030 USA</t>
  </si>
  <si>
    <t>Universite de Rennes; UNICANCER; Centre Eugene Marquis; Institut National de la Sante et de la Recherche Medicale (Inserm); University of Texas System; UTMD Anderson Cancer Center; University of Texas System; UTMD Anderson Cancer Center; University of Texas System; UTMD Anderson Cancer Center; University of Texas System; UTMD Anderson Cancer Center</t>
  </si>
  <si>
    <t>Rigaud, B (通訊作者)， Univ Rennes, INSERM, UMR 1099, CLCC Eugene Marquis,LTSI, F-35000 Rennes, France.;Rigaud, B; Cazoulat, G (通訊作者)， Univ Texas MD Anderson Canc Ctr, Dept Imaging Phys, Houston, TX 77030 USA.</t>
  </si>
  <si>
    <t>bastien.rig@gmail.com; AKlopp@mdanderson.org; svedam@mdanderson.org; AVenkatesan@mdanderson.org; NTaku@mdanderson.org; antoine.simon@univ-rennes1.fr; pascal.haigron@univ-rennes1.fr; r.de-crevoisier@rennes.unicancer.fr; KKBrock@mdanderson.org; GCazoulat@mdanderson.org</t>
  </si>
  <si>
    <t>Rigaud, Bastien/ABA-8816-2021; SIMON, Antoine/N-5717-2015; Haigron, Pascal/AAR-6890-2020; de Crevoisier, Renaud/ABD-7321-2020</t>
  </si>
  <si>
    <t>Taku, Nicolette/0000-0003-2710-9404; Rigaud, Bastien/0000-0002-0038-429X; SIMON, Antoine/0000-0001-6023-6427; Venkatesan, Aradhana/0000-0002-5033-0820</t>
  </si>
  <si>
    <t>French Ligue contre le Cancer; Rennes Metropole; Helen Black Image Guided Fund; RaySearch Laboratories; Image Guided Cancer Therapy Research Program at the University of Texas MD Anderson Cancer Center</t>
  </si>
  <si>
    <t>French Ligue contre le Cancer(Ligue nationale contre le cancer); Rennes Metropole(Region Bretagne); Helen Black Image Guided Fund; RaySearch Laboratories; Image Guided Cancer Therapy Research Program at the University of Texas MD Anderson Cancer Center</t>
  </si>
  <si>
    <t>This work was partly funded by the the French Ligue contre le Cancer, Rennes Metropole, the Helen Black Image Guided Fund, and a grant from RaySearch Laboratories. This work was also supported by the Image Guided Cancer Therapy Research Program at the University of Texas MD Anderson Cancer Center.</t>
  </si>
  <si>
    <t>10.1088/1361-6560/ab1378</t>
  </si>
  <si>
    <t>WOS:000470205600007</t>
  </si>
  <si>
    <t>Guo, SJ; Zhuo, J; Li, G; Gandhi, D; Dayan, M; Fishman, P; Eisenberg, H; Melhem, ER; Gullapalli, RP</t>
  </si>
  <si>
    <t>Guo, Sijia; Zhuo, Jiachen; Li, Guang; Gandhi, Dheeraj; Dayan, Mor; Fishman, Paul; Eisenberg, Howard; Melhem, Elias R.; Gullapalli, Rao P.</t>
  </si>
  <si>
    <t>Feasibility of ultrashort echo time images using full-wave acoustic and thermal modeling for transcranial MRI-guided focused ultrasound (tcMRgFUS) planning</t>
  </si>
  <si>
    <t>transcranial MRI-guided focused ultrasound (tcMRgFUS); focused ultrasound (FUS); essential tremor (ET); ultrashort echo time (UTE) MRI; CT imaging; acoustic simulation; bio-heat transfer</t>
  </si>
  <si>
    <t>PHASE-ABERRATION CORRECTION; MAGNETIC-RESONANCE; CT; BRAIN; SUBSTITUTE; SIMULATIONS; ATTENUATION; PROPAGATION; THALAMOTOMY; THERAPY</t>
  </si>
  <si>
    <t>Transcranial MRI-guided focused ultrasound (tcMRgFUS) is increasingly used to non-invasively treat a wide variety of neurological disorders including essential tremors, Parkinson's disease, and neuropathic pain. Although this treatment is an MRI-guided procedure, the current pre-treatment screening and planning involve a CT of the head to obtain 3D skull images. These images are necessary for estimating the proportion of absorbed energy and the acoustic phase shift associated with the skull and determining the transmit energy of ultrasonic waves to create thermal lesions at a desired focal spot. Ultrashort echo time (UTE) MR sequences can capture signals from tissues such as bone which have a very short transverse relaxation time. In this manuscript, we assess the use of a UTE based sequence to image the calvarium and test the feasibility of obviating the need for CT based imaging during an MR-guided focused ultrasound therapy. We demonstrate that the segmentation of bone using UTE images leads to similar skull density ratio values as determined from CT with high correlation (r = 0.88; p &lt; 0.0001). Furthermore, through treatment specific modeling we demonstrate that the thermal profiles and focal locations are in concordance with the actual treatment plan when using the UTE based skull intensity information suggesting the possibility of replacing the CT scans with UTE based skull imaging in all tcMRgFUS procedures, potentially eliminating unnecessary radiation exposure. Overall, the results indicate that UTE MR imaging may serve as an effective and accurate alternative to CT imaging for both screening and pre-treatment planning on patients undergoing the tcMRgFUS procedure.</t>
  </si>
  <si>
    <t>[Guo, Sijia; Zhuo, Jiachen; Gandhi, Dheeraj; Melhem, Elias R.; Gullapalli, Rao P.] Univ Maryland, Sch Med, CMIT, Baltimore, MD 21201 USA; [Guo, Sijia; Zhuo, Jiachen; Li, Guang; Gandhi, Dheeraj; Melhem, Elias R.; Gullapalli, Rao P.] Univ Maryland, Sch Med, Dept Diagnost Radiol &amp; Nucl Med, Baltimore, MD 21201 USA; [Dayan, Mor] InSightec, Haifa, Israel; [Fishman, Paul] Univ Maryland, Sch Med, Dept Neurol, Baltimore, MD 21201 USA; [Eisenberg, Howard] Univ Maryland, Sch Med, Dept Neurosurg, Baltimore, MD 21201 USA</t>
  </si>
  <si>
    <t>University System of Maryland; University of Maryland Baltimore; University System of Maryland; University of Maryland Baltimore; University System of Maryland; University of Maryland Baltimore; University System of Maryland; University of Maryland Baltimore</t>
  </si>
  <si>
    <t>Gullapalli, RP (通訊作者)， Univ Maryland, Sch Med, CMIT, Baltimore, MD 21201 USA.;Gullapalli, RP (通訊作者)， Univ Maryland, Sch Med, Dept Diagnost Radiol &amp; Nucl Med, Baltimore, MD 21201 USA.</t>
  </si>
  <si>
    <t>rgullapalli@umm.edu</t>
  </si>
  <si>
    <t>Melhem, Elias/E-5205-2013</t>
  </si>
  <si>
    <t>10.1088/1361-6560/ab12f7</t>
  </si>
  <si>
    <t>HV8XA</t>
  </si>
  <si>
    <t>WOS:000466266200003</t>
  </si>
  <si>
    <t>Han, R; Uneri, A; De Silva, T; Ketcha, M; Goerres, J; Vogt, S; Kleinszig, G; Osgood, G; Siewerdsen, JH</t>
  </si>
  <si>
    <t>Han, R.; Uneri, A.; De Silva, T.; Ketcha, M.; Goerres, J.; Vogt, S.; Kleinszig, G.; Osgood, G.; Siewerdsen, J. H.</t>
  </si>
  <si>
    <t>Atlas-based automatic planning and 3D-2D fluoroscopic guidance in pelvic trauma surgery</t>
  </si>
  <si>
    <t>based registration; 3D-2D registration; active shape model; pelvic trauma; surgical planning; surgical guidance</t>
  </si>
  <si>
    <t>SCREW; SEGMENTATION; PLACEMENT; FIXATION; FRACTURE</t>
  </si>
  <si>
    <t>Percutaneous screw fixation in pelvic trauma surgery is a challenging procedure that often requires long fluoroscopic exposure times and trial-and-error insertion attempts along narrow bone corridors of the pelvis. We report a method to automatically plan surgical trajectories using preoperative CT and assist device placement by augmenting the fluoroscopic scene with planned trajectories. A pelvic shape atlas was formed from 40 CT images and used to construct a statistical shape model (SSM). Each member of the atlas included expert definition of volumetric regions representing safe trajectory within bone corridors for fixating 10 common fracture patterns. Patient-specific planning is obtained by mapping the SSM to the (un-segmented) patient CT via active shape model (ASM) registration and free-form deformation (FFD), and the resulting transformation is used to transfer the atlas trajectory volumes to the patient CT. Fluoroscopic images acquired during K-wire placement are in turn augmented with projection of the planned trajectories via 3D-2D registration. Registration performance was evaluated via leave-one-out cross-validation over the 40-member atlas, computing the root mean square error (RMSE) in pelvic surface alignment (volumetric registration error), the positive predicted value (PPV) of volumetric trajectories within bone corridors (safety of the automatically planned trajectories), and the distance between trajectories within the planned volume and the bone cortex (absence of breach). A cadaver study was conducted in which K-wires were placed under fluoroscopic guidance to validate 3D-2D registration accuracy and evaluate the potential utility of augmented fluoroscopy with planned trajectories. The leave-one-out cross-validation achieved surface RMSE of 2.2 +/- 0.3 mm after ASM registration and 1.8 +/- 0.2 mm after FFD refinement. Automatically determined surgical plans conformed within bone corridors with PPV &gt; 90% and centerline trajectory within 3-5 mm of the bone cortex. 3D-2D registration in the cadaver study achieved 0.3 +/- 0.8 mm accuracy (in-plane translation) and &lt;4 degrees accuracy (in-plane rotation). Fluoroscopic images augmented with planning data exhibited &gt;90% conformance of volumetric planning data overlay within bone, and all centerline trajectories were within safe corridors. The approach yields a method for both automatic planning of pelvic fracture fixation and augmentation of fluoroscopy for improved surgical precision and safety. The method does not require segmentation of the patient CT, operates without additional hardware (e.g. tracking systems), and is consistent with common workflow in fluoroscopically guided procedures. The approach has the potential to reduce operating time and radiation dose by minimizing trial-and-error attempts in percutaneous screw placement.</t>
  </si>
  <si>
    <t>[Han, R.; Uneri, A.; De Silva, T.; Ketcha, M.; Goerres, J.; Siewerdsen, J. H.] Johns Hopkins Univ, Dept Biomed Engn, Traylor Bldg,Room 622,720 Rutland Ave, Baltimore, MD 21205 USA; [Vogt, S.; Kleinszig, G.] Siemens Healthineers, Erlangen, Germany; [Osgood, G.] Johns Hopkins Univ Hosp, Dept Orthopaed Surg, Baltimore, MD 21287 USA</t>
  </si>
  <si>
    <t>Johns Hopkins University; Siemens AG; Johns Hopkins University; Johns Hopkins Medicine</t>
  </si>
  <si>
    <t>Siewerdsen, JH (通訊作者)， Johns Hopkins Univ, Dept Biomed Engn, Traylor Bldg,Room 622,720 Rutland Ave, Baltimore, MD 21205 USA.</t>
  </si>
  <si>
    <t>jeff.siewerdsen@jhu.edu</t>
  </si>
  <si>
    <t>Han, Runze/HPE-2056-2023</t>
  </si>
  <si>
    <t>Uneri, Ali/0000-0003-3419-1805</t>
  </si>
  <si>
    <t>NIH [R01-EB-017226]</t>
  </si>
  <si>
    <t>NIH(United States Department of Health &amp; Human ServicesNational Institutes of Health (NIH) - USA)</t>
  </si>
  <si>
    <t>This research was supported by NIH grant R01-EB-017226. Academic industry partnership is gratefully acknowledged with Siemens Healthineers (Erlangen Germany) on mobile C-arm imaging and Medtronic (Littleton MA) on O-arm imaging and registration. Thanks to Ben Ramsay for segmenting the CT images in the atlas.</t>
  </si>
  <si>
    <t>10.1088/1361-6560/ab1456</t>
  </si>
  <si>
    <t>HW7IF</t>
  </si>
  <si>
    <t>WOS:000466862700001</t>
  </si>
  <si>
    <t>Smyth, G; Evans, PM; Bamber, JC; Mandeville, HC; Moore, AR; Welsh, LC; Saran, FH; Bedford, JL</t>
  </si>
  <si>
    <t>Smyth, Gregory; Evans, Philip M.; Bamber, Jeffrey C.; Mandeville, Henry C.; Moore, A. Rollo; Welsh, Liam C.; Saran, Frank H.; Bedford, James L.</t>
  </si>
  <si>
    <t>Dosimetric accuracy of dynamic couch rotation during volumetric modulated arc therapy (DCR-VMAT) for primary brain tumours</t>
  </si>
  <si>
    <t>non-coplanar; trajectory; VMAT; dose reconstruction; log file; verification</t>
  </si>
  <si>
    <t>RADIOCHROMIC FILM DOSIMETRY; PARTIAL BREAST IRRADIATION; QUALITY-ASSURANCE; MOTION; OPTIMIZATION; RADIOTHERAPY; DELIVERY; TRAJECTORIES; IMPROVES</t>
  </si>
  <si>
    <t>Radiotherapy treatment plans using dynamic couch rotation during volumetric modulated arc therapy (DCR-VMAT) reduce the dose to organs at risk (OARs) compared to coplanar VMAT, while maintaining the dose to the planning target volume (PTV). This paper seeks to validate this finding with measurements. DCR-VMAT treatment plans were produced for five patients with primary brain tumours and delivered using a commercial linear accelerator (linac). Dosimetric accuracy was assessed using point dose and radiochromic film measurements. Linac-recorded mechanical errors were assessed by extracting deviations from log files for multi-leaf collimator (MLC), couch, and gantry positions every 20 ms. Dose distributions, reconstructed from every fifth log file sample, were calculated and used to determine deviations from the treatment plans. Median (range) treatment delivery times were 125 s (123-133 s) for DCR-VMAT, compared to 78 s (64-130 s) for coplanar VMAT. Absolute point doses were 0.8% (0.6%-1.7%) higher than prediction. For coronal and sagittal films, respectively, 99.2% (96.7%-100%) and 98.1% (92.9%-99.0%) of pixels above a 20% low dose threshold reported gamma &lt;1 for 3% and 3 mm criteria. Log file analysis showed similar gantry rotation root-mean-square error (RMSE) for VMAT and DCR-VMAT. Couch rotation RMSE for DCR-VMAT was 0.091 degrees (0.086-0.102 degrees). For delivered dose reconstructions, 100% of pixels above a 5% low dose threshold reported gamma &lt;1 for 2% and 2 mm criteria in all cases. DCR-VMAT, for the primary brain tumour cases studied, can be delivered accurately using a commercial linac.</t>
  </si>
  <si>
    <t>[Smyth, Gregory; Bamber, Jeffrey C.; Moore, A. Rollo; Bedford, James L.] Inst Canc Res, Joint Dept Phys, London, England; [Smyth, Gregory; Evans, Philip M.; Bamber, Jeffrey C.; Moore, A. Rollo; Bedford, James L.] Royal Marsden NHS Fdn Trust, London, England; [Evans, Philip M.] Univ Surrey, Ctr Vis Speech &amp; Signal Proc, Guildford, Surrey, England; [Evans, Philip M.] Natl Phys Lab, Hampton Rd, Teddington, Middx, England; [Mandeville, Henry C.; Welsh, Liam C.; Saran, Frank H.] Royal Marsden NHS Fdn Trust, London, England</t>
  </si>
  <si>
    <t>University of London; Institute of Cancer Research - UK; Royal Marsden NHS Foundation Trust; Royal Marsden NHS Foundation Trust; University of Surrey; National Physical Laboratory - UK; Royal Marsden NHS Foundation Trust</t>
  </si>
  <si>
    <t>Smyth, G (通訊作者)， Inst Canc Res, Joint Dept Phys, London, England.;Smyth, G (通訊作者)， Royal Marsden NHS Fdn Trust, London, England.</t>
  </si>
  <si>
    <t>greg.smyth@icr.ac.uk</t>
  </si>
  <si>
    <t>Smyth, Gregory/I-5668-2013; Mandeville, Henry/AFR-6377-2022; Evans, Philip/A-6257-2009; Bamber, Jeffrey/B-8839-2014</t>
  </si>
  <si>
    <t>Smyth, Gregory/0000-0002-9931-3562; Mandeville, Henry/0000-0001-6820-8578; Evans, Philip/0000-0002-8102-6581; Saran, Frank/0000-0002-3448-5064; Moore, Rollo/0000-0002-0073-9193; Bamber, Jeffrey/0000-0001-9436-1832</t>
  </si>
  <si>
    <t>National Institute for Health Research (NIHR) Biomedical Research Centre at The Royal Marsden NHS Foundation Trust; Institute of Cancer Research; Cancer Research UK [C33589/A19727]; Cancer Research UK [19727] Funding Source: researchfish; Versus Arthritis; Cancer Research UK [21993] Funding Source: researchfish</t>
  </si>
  <si>
    <t>National Institute for Health Research (NIHR) Biomedical Research Centre at The Royal Marsden NHS Foundation Trust(Royal Society of New ZealandMarsden Fund (NZ)); Institute of Cancer Research; Cancer Research UK(Cancer Research UK); Cancer Research UK(Cancer Research UK); Versus Arthritis; Cancer Research UK(Versus ArthritisCancer Research UK)</t>
  </si>
  <si>
    <t>We thank Carole Meehan and Richard Trouncer for providing TrueBeam commissioning data and David Bernstein for providing MATLAB scripts to access linac log file parameters. This paper represents independent research funded by the National Institute for Health Research (NIHR) Biomedical Research Centre at The Royal Marsden NHS Foundation Trust and The Institute of Cancer Research. The views expressed are those of the authors and not necessarily those of the NHS, the NIHR or the Department of Health and Social Care. Research at The Institute of Cancer Research is also supported by Cancer Research UK under Program C33589/A19727.</t>
  </si>
  <si>
    <t>08NT01</t>
  </si>
  <si>
    <t>10.1088/1361-6560/ab0a8e</t>
  </si>
  <si>
    <t>KT3NA</t>
  </si>
  <si>
    <t>Green Published, Green Accepted, hybrid</t>
  </si>
  <si>
    <t>WOS:000518922300001</t>
  </si>
  <si>
    <t>Nouizi, F; Kwong, TC; Ruiz, J; Cho, J; Chan, YW; Ikemura, K; Erkol, H; Sampathkumaran, U; Gulsen, G</t>
  </si>
  <si>
    <t>Nouizi, Farouk; Kwong, Tiffany C.; Ruiz, Jessica; Cho, Jaedu; Chan, Yu-Wen; Ikemura, Kenji; Erkol, Hakan; Sampathkumaran, Uma; Gulsen, Gultekin</t>
  </si>
  <si>
    <t>A thermo-sensitive fluorescent agent based method for excitation light leakage rejection for fluorescence molecular tomography</t>
  </si>
  <si>
    <t>fluorescence molecular tomography; excitation light leakage; biomedical imaging; optical imaging</t>
  </si>
  <si>
    <t>NEWTONS OPTIMIZATION SCHEME; OPTICAL TOMOGRAPHY; QUANTITATIVE ACCURACY; RESOLUTION; RECONSTRUCTION; NANOCAPSULES; ABSORPTION; MODEL</t>
  </si>
  <si>
    <t>Fluorescence molecular tomography (FMT) is widely used in preclinical oncology research. FMT is the only imaging technique able to provide 3D distribution of fluorescent probes within thick highly scattering media. However, its integration into clinical medicine has been hampered by its low spatial resolution caused by the undetermined and ill-posed nature of its reconstruction algorithm. Another major factor degrading the quality of FMT images is the large backscattered excitation light component leaking through the rejection filters and coinciding with the weak fluorescent signal arising from a low tissue fluorescence concentration. In this paper, we present a new method based on the use of a novel thermo-sensitive fluorescence probe. In fact, the excitation light leakage is accurately estimated from a set of measurements performed at different temperatures and then is corrected for in the tomographic data. The obtained results show a considerable improvement in both spatial resolution and quantitative accuracy of FMT images due to the proper correction of fluorescent signals.</t>
  </si>
  <si>
    <t>[Nouizi, Farouk; Kwong, Tiffany C.; Ruiz, Jessica; Cho, Jaedu; Chan, Yu-Wen; Gulsen, Gultekin] Univ Calif Irvine, Tu &amp; Yuen Ctr Funct Oncoimaging, Dept Radiol Sci, Irvine, CA 92697 USA; [Ikemura, Kenji] Albert Einstein Coll Med, Montefiore Med Ctr, Dept Pathol, Bronx, NY 10467 USA; [Erkol, Hakan] Bogazici Univ, Dept Phys, TR-34342 Istanbul, Turkey; [Sampathkumaran, Uma] InnoSense LLC, 2531 West 237th St,Suite 12, Torrance, CA 90505 USA</t>
  </si>
  <si>
    <t>University of California System; University of California Irvine; Yeshiva University; Montefiore Medical Center; Albert Einstein College of Medicine; Bogazici University</t>
  </si>
  <si>
    <t>Nouizi, F (通訊作者)， Univ Calif Irvine, Tu &amp; Yuen Ctr Funct Oncoimaging, Dept Radiol Sci, Irvine, CA 92697 USA.</t>
  </si>
  <si>
    <t>fnouizi@uci.edu</t>
  </si>
  <si>
    <t>Nouizi, Farouk/J-6919-2019</t>
  </si>
  <si>
    <t>Fulbright grant; National Institutes of Health (NIH) [R01EB008716, R33CA120175, P30CA062203, R21CA170955]; Ruth L Kirschstein National Research Service Award (F31) [F31CA171915-01A1]; Susan G Komen Foundation [KG101442]; National Cancer Institute [P30CA062203] Funding Source: NIH RePORTER</t>
  </si>
  <si>
    <t>Fulbright grant; National Institutes of Health (NIH)(United States Department of Health &amp; Human ServicesNational Institutes of Health (NIH) - USA); Ruth L Kirschstein National Research Service Award (F31); Susan G Komen Foundation(Susan G. Komen Breast Cancer Foundation); National Cancer Institute(United States Department of Health &amp; Human ServicesNational Institutes of Health (NIH) - USANIH National Cancer Institute (NCI))</t>
  </si>
  <si>
    <t>This research is supported in part by Fulbright grant awarded to Farouk Nouizi, National Institutes of Health (NIH) R01EB008716, R33CA120175, P30CA062203, R21CA170955, Ruth L Kirschstein National Research Service Award (F31) F31CA171915-01A1, and Susan G Komen Foundation training grant: KG101442.</t>
  </si>
  <si>
    <t>FEB</t>
  </si>
  <si>
    <t>10.1088/1361-6560/aaf96d</t>
  </si>
  <si>
    <t>HJ0HT</t>
  </si>
  <si>
    <t>WOS:000456840500006</t>
  </si>
  <si>
    <t>Klein, V; Davidea, M; Wald, LL; Schad, LR; Guérin, B</t>
  </si>
  <si>
    <t>Klein, Valerie; Davidea, Mathias; Wald, Lawrence L.; Schad, Lothar R.; Guerin, Bastien</t>
  </si>
  <si>
    <t>Sensitivity analysis of neurodynamic and electromagnetic simulation parameters for robust prediction of peripheral nerve stimulation</t>
  </si>
  <si>
    <t>peripheral nerve stimulation; magnetostimulation thresholds; sensitivity analysis; electromagnetic field simulation; neurodynamic model; EM exposure safety; MRI gradient coil switching</t>
  </si>
  <si>
    <t>MAGNETOSTIMULATION THRESHOLDS; DIELECTRIC-PROPERTIES; BIOLOGICAL TISSUES; GLOBAL SAR; BODY; MODELS; FIELDS; SAFETY; POWER</t>
  </si>
  <si>
    <t>Peripheral nerve stimulation (PNS) has become an important limitation for fast MR imaging using the latest gradient hardware. We have recently developed a simulation framework to predict PNS thresholds and stimulation locations in the body for arbitrary coil geometries to inform the gradient coil optimization process. Our approach couples electromagnetic field simulations in realistic body models to a neurodynamic model of peripheral nerve fibers. In this work, we systematically analyze the impact of key parameters on the predicted PNS thresholds to assess the robustness of the simulation results. We analyze the sensitivity of the simulated thresholds to variations of the most important simulation parameters, including parameters of the electromagnetic field simulations (dielectric tissue properties, body model size, position, spatial resolution, and coil model discretization) and parameters of the neurodynamic simulation (length of the simulated nerves, position of the nerve model relative to the extracellular potential, temporal resolution of the nerve membrane dynamics). We found that for the investigated setup, the subject-dependent parameters (e.g. tissue properties or body size) can affect PNS prediction by up to similar to 26% when varied in a natural range. This is in accordance with the standard deviation of similar to 30% reported in human subject studies. Parameters related to numerical aspects can cause significant simulation errors (&gt;30%), if not chosen cautiously. However, these perturbations can be controlled to yield errors below 5% for all investigated parameters without an excessive increase in computation time. Our sensitivity analysis shows that patient-specific parameter fluctuations yield PNS threshold variations similar to the variations observed in experimental PNS studies. This may become useful to estimate population-average PNS thresholds and understand their standard deviation. Our analysis indicates that the simulated PNS thresholds are numerically robust, which is important for ranking different MRI gradient coil designs or assessing different PNS mitigation strategies.</t>
  </si>
  <si>
    <t>[Klein, Valerie; Davidea, Mathias; Schad, Lothar R.] Heidelberg Univ, Med Fac Mannheim, Comp Assisted Clin Med, Heidelberg, Germany; [Davidea, Mathias; Wald, Lawrence L.; Guerin, Bastien] Massachusetts Gen Hosp, Dept Radiol, Martinos Ctr Biomed Imaging, Charlestown, MA USA; [Wald, Lawrence L.; Guerin, Bastien] Harvard Med Sch, Boston, MA USA; [Wald, Lawrence L.] Harvard MIT, Div Hlth Sci &amp; Technol, Cambridge, MA USA</t>
  </si>
  <si>
    <t>Ruprecht Karls University Heidelberg; Harvard University; Harvard University Medical Affiliates; Massachusetts General Hospital; Harvard University; Harvard Medical School; Harvard University; Massachusetts Institute of Technology (MIT)</t>
  </si>
  <si>
    <t>Klein, V (通訊作者)， Heidelberg Univ, Med Fac Mannheim, Comp Assisted Clin Med, Heidelberg, Germany.</t>
  </si>
  <si>
    <t>valerie.klein@medma.uni-heidelberg.de</t>
  </si>
  <si>
    <t>Wald, Lawrence/D-4151-2009</t>
  </si>
  <si>
    <t>Klein, Valerie/0000-0002-7600-6172</t>
  </si>
  <si>
    <t>National Institute of Biomedical Imaging and Bioengineering; National Institute of Mental Health of the National Institutes of Health [R00EB019482, R24MH106053, U01EB025121, U01EB025162, P41EB015896]; National Institute of Neurological Disorders and Stroke [U01EB025162] Funding Source: NIH RePORTER</t>
  </si>
  <si>
    <t>National Institute of Biomedical Imaging and Bioengineering(United States Department of Health &amp; Human ServicesNational Institutes of Health (NIH) - USANIH National Institute of Biomedical Imaging &amp; Bioengineering (NIBIB)); National Institute of Mental Health of the National Institutes of Health(United States Department of Health &amp; Human ServicesNational Institutes of Health (NIH) - USANIH National Institute of Mental Health (NIMH)); National Institute of Neurological Disorders and Stroke(United States Department of Health &amp; Human ServicesNational Institutes of Health (NIH) - USANIH National Institute of Neurological Disorders &amp; Stroke (NINDS))</t>
  </si>
  <si>
    <t>Research reported in this publication was supported by the National Institute of Biomedical Imaging and Bioengineering, and the National Institute of Mental Health of the National Institutes of Health under award numbers R00EB019482, R24MH106053, U01EB025121, U01EB025162, and P41EB015896. The content is solely the responsibility of the authors and does not necessarily represent the official views of the National Institutes of Health.</t>
  </si>
  <si>
    <t>10.1088/1361-6560/aaf308</t>
  </si>
  <si>
    <t>HF2PL</t>
  </si>
  <si>
    <t>WOS:000454078500003</t>
  </si>
  <si>
    <t>Valentinuzzi, D; Simoncic, U; Ursic, K; Vrankar, M; Turk, M; Jeraj, R</t>
  </si>
  <si>
    <t>Valentinuzzi, Damijan; Simoncic, Urban; Ursic, Katja; Vrankar, Martina; Turk, Marusa; Jeraj, Robert</t>
  </si>
  <si>
    <t>Predicting tumour response to anti-PD-1 immunotherapy with computational modelling</t>
  </si>
  <si>
    <t>computational model; anti-PD-1; immunotherapy; MHC class I; PD-L1; B16 melanoma; immunotherapy modelling</t>
  </si>
  <si>
    <t>IMMUNE CHECKPOINT INHIBITORS; T-CELL INFILTRATION; MHC CLASS-I; PD-L1 EXPRESSION; CANCER-IMMUNOTHERAPY; ACQUIRED-RESISTANCE; SOLID TUMORS; MELANOMA; PEMBROLIZUMAB; BLOCKADE</t>
  </si>
  <si>
    <t>Cancer immunotherapy is a rapidly developing field, with numerous drugs and therapy combinations waiting to be tested in pre-clinical and clinical settings. However, the costly and time-consuming trial-and-error approach to development of new treatment paradigms creates a research bottleneck, motivating the development of complementary approaches. Computational modelling is a compelling candidate for this task, however, difficulties associated with the validation of such models limit their use in pre-clinical and clinical settings. Here we propose a bottom-up deterministic computational model to simulate tumour response to treatment with anti-programmed-death-1 antibodies (anti-PD-1). The model was built with validation in mind, and so contains minimum number of parameters, and only four free parameters. Moreover, all model parameters can be measured experimentally. Free parameters were tuned by fitting the model to experimental data from the literature, using B16-F10 murine melanoma implanted into wild type (C57BL/6), as well as into immunodeficient (NSG) mice strains, and treated with anti-PD-1 antibodies. The model's predictive ability was verified on two independent datasets from literature with different but well-known inputs. To identify possible biomarkers of response to anti-PD-1 immunotherapy, sensitivity study of key model parameters was performed. Good agreement between the simulated tumour growth curves and the experimental data was achieved, with mean relative deviations in the range of 13%-20%. Our sensitivity study demonstrated that major histocompatibility complex (MHC) class I expression was the only parameter able to clearly discriminate responders from non-responders to anti-PD-1 therapy. Additionally, the results of sensitivity studies suggest that MHC class I expression might affect the predictive ability of other biomarkers that are currently used in the clinics, such as PD-1 ligand (PD-L1) expression. Interestingly, our model predicts the best response to anti-PD-1 therapy for subjects with moderate PD-L1 values. Such computational models show promise to support, guide and accelerate future immunotherapy research.</t>
  </si>
  <si>
    <t>[Valentinuzzi, Damijan; Simoncic, Urban; Jeraj, Robert] Jozef Stefan Inst, Ljubljana, Slovenia; [Valentinuzzi, Damijan; Simoncic, Urban; Turk, Marusa; Jeraj, Robert] Univ Ljubljana, Fac Math &amp; Phys, Ljubljana, Slovenia; [Ursic, Katja; Vrankar, Martina] Inst Oncol Ljubljana, Ljubljana, Slovenia; [Jeraj, Robert] Univ Wisconsin, Dept Med Phys, 1530 Med Sci Ctr, Madison, WI 53706 USA</t>
  </si>
  <si>
    <t>Slovenian Academy of Sciences &amp; Arts (SASA); Jozef Stefan Institute; University of Ljubljana; Institute of Oncology - Slovenia; University of Wisconsin System; University of Wisconsin Madison</t>
  </si>
  <si>
    <t>Valentinuzzi, D (通訊作者)， Jozef Stefan Inst, Ljubljana, Slovenia.;Valentinuzzi, D (通訊作者)， Univ Ljubljana, Fac Math &amp; Phys, Ljubljana, Slovenia.</t>
  </si>
  <si>
    <t>damijan.valentinuzzi@ijs.si</t>
  </si>
  <si>
    <t>Valentinuzzi, Damijan/0000-0003-1397-3170; Jeraj, Robert/0000-0002-2192-2931</t>
  </si>
  <si>
    <t>10.1088/1361-6560/aaf96c</t>
  </si>
  <si>
    <t>HH9NK</t>
  </si>
  <si>
    <t>WOS:000456065500002</t>
  </si>
  <si>
    <t>Tanaka, H; Chiu, SW; Watanabe, T; Kaoku, S; Yamaguchi, T</t>
  </si>
  <si>
    <t>Tanaka, Hiroki; Chiu, Shih-Wei; Watanabe, Takanori; Kaoku, Setsuko; Yamaguchi, Takuhiro</t>
  </si>
  <si>
    <t>Computer-aided diagnosis system for breast ultrasound images using deep learning</t>
  </si>
  <si>
    <t>computer-aided diagnosis; deep learning; convolutional neural network; ultrasonography; breast cancer</t>
  </si>
  <si>
    <t>CANCER; CLASSIFICATION; LESIONS; RISK; RADIOLOGISTS; MAMMOGRAPHY; SONOGRAPHY; WOMEN</t>
  </si>
  <si>
    <t>The purpose of this study was to develop a computer-aided diagnosis (CAD) system for the classification of malignant and benign masses in the breast using ultrasonography based on a convolutional neural network (CNN), a state-of-the-art deep learning technique. We explored the regions for the correct classification by generating a heat map that presented the important regions used by the CNN for human malignancy/benign classification. Clinical data was obtained from a large-scale clinical trial previously conducted by the Japan Association of Breast and Thyroid Sonology. Images of 1536 breast masses (897 malignant and 639 benign) confirmed by pathological examinations were collected, with each breast mass captured from various angles using an ultrasound (US) imaging probe. We constructed an ensemble network by combining two CNN models (VGG19 and ResNet152) fine-tuned on balanced training data with augmentation and used the mass-level classification method to enable the CNN to classify a given mass using all views. For an independent test set consisting of 154 masses (77 malignant and 77 benign), our network showed outstanding classification performance with a sensitivity of 90.9% (95% confidence interval 84.5-97.3), a specificity of 87.0% (79.5-94.5), and area under the curve (AUC) of 0.951 (0.916-0.987) compared to that of the two CNN models. In addition, our study indicated that the breast masses themselves were not detected by the CNN as important regions for correct mass classification. Collectively, this CNN-based CAD system is expected to assist doctors by improving the diagnosis of breast cancer in clinical practice.</t>
  </si>
  <si>
    <t>[Tanaka, Hiroki; Chiu, Shih-Wei; Yamaguchi, Takuhiro] Tohoku Univ, Grad Sch Med, Div Biostat, Sendai, Miyagi, Japan; [Watanabe, Takanori] Sendai Med Ctr, Natl Hosp Org, Dept Breast Surg, Sendai, Miyagi, Japan; [Kaoku, Setsuko] Osaka Natl Hosp, Natl Hosp Org, Dept Ultrason, Osaka, Osaka, Japan</t>
  </si>
  <si>
    <t>Tohoku University; Osaka National Hospital</t>
  </si>
  <si>
    <t>Tanaka, H (通訊作者)， Tohoku Univ, Grad Sch Med, Div Biostat, Sendai, Miyagi, Japan.</t>
  </si>
  <si>
    <t>hirotaro-tnk@med.tohoku.ac.jp</t>
  </si>
  <si>
    <t>10.1088/1361-6560/ab5093</t>
  </si>
  <si>
    <t>KT1IO</t>
  </si>
  <si>
    <t>WOS:000518765200003</t>
  </si>
  <si>
    <t>Jung, H; Shen, CY; Gonzalez, Y; Albuquerque, K; Jia, X</t>
  </si>
  <si>
    <t>Jung, Hyunuk; Shen, Chenyang; Gonzalez, Yesenia; Albuquerque, Kevin; Jia, Xun</t>
  </si>
  <si>
    <t>Deep-learning assisted automatic digitization of interstitial needles in 3D CT image based high dose-rate brachytherapy of gynecological cancer</t>
  </si>
  <si>
    <t>deep learning; interstitial needle; applicator digitization; high dose rate</t>
  </si>
  <si>
    <t>TIME</t>
  </si>
  <si>
    <t>Digitization of interstitial needles is a complicated and tedious process for the treatment planning of 3D CT image based interstitial high dose-rate brachytherapy (HDRBT) of gynecological cancer. We developed a deep-learning assisted auto-digitization method for interstitial needles. The digitization method consisted of two steps. The first step used a deep neural network with a U-net structure to segment all needles from CT images. The second step simultaneously clustered the segmented voxels into different needle groups and generated the needle central trajectories by solving an optimization problem. We evaluated the effectiveness of the developed method in ten interstitial HDRBT patient cases that were not used in the training of the U-net. Average number of needles per case was 20.7. For the segmentation step, average Dice similarity coefficient between automatic and manual segmentation was 0.93. For the digitization step, Hausdorff distance between needle trajectories determined by our method and manually by qualified medical physicists was similar to 0.71 mm on average and mean difference of tip positions was similar to 0.63 mm, which were considered acceptable for HDRBT treatment planning. It took similar to 5 min to complete the digitization process of an interstitial HDRBT case. The achieved accuracy and efficiency made our method clinically attractive.</t>
  </si>
  <si>
    <t>[Jung, Hyunuk; Shen, Chenyang; Gonzalez, Yesenia; Jia, Xun] Univ Texas Southwestern Med Ctr Dallas, Med Artificial Intelligence &amp; Automat MAIA Lab, Dallas, TX 75235 USA; [Jung, Hyunuk; Shen, Chenyang; Gonzalez, Yesenia; Jia, Xun] Univ Texas Southwestern Med Ctr Dallas, Innovat Technol Radiotherapy Computat &amp; Hardware, Dallas, TX 75235 USA; [Jung, Hyunuk; Shen, Chenyang; Gonzalez, Yesenia; Albuquerque, Kevin; Jia, Xun] Univ Texas Southwestern Med Ctr Dallas, Dept Radiat Oncol, Dallas, TX 75235 USA</t>
  </si>
  <si>
    <t>University of Texas System; University of Texas Southwestern Medical Center; University of Texas System; University of Texas Southwestern Medical Center; University of Texas System; University of Texas Southwestern Medical Center</t>
  </si>
  <si>
    <t>Jia, X (通訊作者)， Univ Texas Southwestern Med Ctr Dallas, Med Artificial Intelligence &amp; Automat MAIA Lab, Dallas, TX 75235 USA.;Jia, X (通訊作者)， Univ Texas Southwestern Med Ctr Dallas, Innovat Technol Radiotherapy Computat &amp; Hardware, Dallas, TX 75235 USA.;Jia, X (通訊作者)， Univ Texas Southwestern Med Ctr Dallas, Dept Radiat Oncol, Dallas, TX 75235 USA.</t>
  </si>
  <si>
    <t>Xun.Jia@UTSouthwestern.edu</t>
  </si>
  <si>
    <t>; Shen, Chenyang/I-2144-2019; Gonzalez, Yesenia/AAK-5857-2020</t>
  </si>
  <si>
    <t>Shen, Chenyang/0000-0001-6490-6555; Gonzalez, Yesenia/0000-0002-0945-6771;</t>
  </si>
  <si>
    <t>10.1088/1361-6560/ab3fcb</t>
  </si>
  <si>
    <t>KT1II</t>
  </si>
  <si>
    <t>WOS:000518764400003</t>
  </si>
  <si>
    <t>Iborra, A; González, AJ; González-Montoro, A; Bousse, A; Visvikis, D</t>
  </si>
  <si>
    <t>Iborra, A.; Gonzalez, A. J.; Gonzalez-Montoro, A.; Bousse, A.; Visvikis, D.</t>
  </si>
  <si>
    <t>Ensemble of neural networks for 3D position estimation in monolithic PET detectors</t>
  </si>
  <si>
    <t>positron-emission tomography; monolithic PET detectors; ensemble of neural networks; Monte Carlo generated training; interaction position determination; depth of interaction determination</t>
  </si>
  <si>
    <t>SCINTILLATOR CRYSTALS; LYSO; PERFORMANCE; SIMULATION; HEAD; SIPM</t>
  </si>
  <si>
    <t>We propose an ensemble of multilayer feedforward neural networks to estimate the 3D position of photoelectric interactions in monolithic detectors. The ensemble is trained with data generated from optical Monte Carlo simulations only. The originality of our approach is to exploit simulations to obtain reference data, in combination with a variability reduction that the network ensembles offer, thus, removing the need of extensive per-detector calibration measurements. This procedure delivers an ensemble valid for any detector of the same design. We show the capability of the ensemble to solve the 3D positioning problem through testing four different detector designs with Monte Carlo data, measurements from physical detectors and reconstructed images from the MindView scanner. Network ensembles allow the detector to achieve a 2-2.4 mm FWHM, depending on its design, and the associated reconstructed images present improved SNR, CNR and SSIM when compared to those based on the MindView built-in positioning algorithm.</t>
  </si>
  <si>
    <t>[Iborra, A.; Bousse, A.; Visvikis, D.] Univ Bretagne Occidentale, Lab Med Informat Proc LaTIM, INSERM, UMR 1101, Brest, France; [Gonzalez, A. J.; Gonzalez-Montoro, A.] Univ Politecn Valencia, CSIC, I3M, Ctr Mixto, Valencia, Spain</t>
  </si>
  <si>
    <t>Institut National de la Sante et de la Recherche Medicale (Inserm); Universite de Bretagne Occidentale; Consejo Superior de Investigaciones Cientificas (CSIC); Universitat Politecnica de Valencia; CSIC-UPV-CIEMAT - Instituto de Instrumentacion para Imagen Molecular (I3M)</t>
  </si>
  <si>
    <t>Iborra, A (通訊作者)， Univ Bretagne Occidentale, Lab Med Informat Proc LaTIM, INSERM, UMR 1101, Brest, France.</t>
  </si>
  <si>
    <t>amadeo.iborra.carreres@gmail.com</t>
  </si>
  <si>
    <t>Iborra, Amadeo/M-4656-2016; Martinez, Antonio/G-8126-2016; Bousse, Alexandre/I-2653-2019; Gonzalez Montoro, Andrea/G-9672-2016; Visvikis, Dimitris/AAM-7868-2021; Gonzalez Martinez, Antonio Javier/G-8126-2016</t>
  </si>
  <si>
    <t>Iborra, Amadeo/0000-0002-5632-1052; Gonzalez Montoro, Andrea/0000-0002-7319-4278; VISVIKIS, Dimitris/0000-0003-0831-3637; Bousse, Alexandre/0000-0003-0815-0604; Gonzalez Martinez, Antonio Javier/0000-0001-6742-5626</t>
  </si>
  <si>
    <t>10.1088/1361-6560/ab3b86</t>
  </si>
  <si>
    <t>KA7CD</t>
  </si>
  <si>
    <t>WOS:000505953700004</t>
  </si>
  <si>
    <t>Liu, YZ; Lei, Y; Wang, YN; Shafai-Erfani, G; Wang, TH; Tian, SB; Patel, P; Jani, AB; McDonald, M; Curran, WJ; Liu, T; Zhou, J; Yang, XF</t>
  </si>
  <si>
    <t>Liu, Yingzi; Lei, Yang; Wang, Yinan; Shafai-Erfani, Ghazal; Wang, Tonghe; Tian, Sibo; Patel, Pretesh; Jani, Ashesh B.; McDonald, Mark; Curran, Walter J.; Liu, Tian; Zhou, Jun; Yang, Xiaofeng</t>
  </si>
  <si>
    <t>Evaluation of a deep learning-based pelvic synthetic CT generation technique for MRI-based prostate proton treatment planning</t>
  </si>
  <si>
    <t>MRI-only treatment planning; proton therapy; prostate; synthetic CT</t>
  </si>
  <si>
    <t>CONVOLUTIONAL NEURAL-NETWORK; RADIATION-THERAPY; PSEUDO-CT; ATTENUATION CORRECTION; ONLY RADIOTHERAPY; GEOMETRIC DISTORTION; ELECTRON-DENSITY; BRAIN; IMAGE; UNCERTAINTIES</t>
  </si>
  <si>
    <t>The purpose of this work is to validate the application of a deep learning-based method for pelvic synthetic CT (sCT) generation that can be used for prostate proton beam therapy treatment planning. We propose to integrate dense block minimization into 3D cycle-consistent generative adversarial networks (cycleGAN) framework to effectively learn the nonlinear mapping between MRI and CT pairs. A cohort of 17 patients with co-registered CT and MR pairs were used to test the deep learning-based sCT generation method by leave-one-out cross-validation. Image quality between the sCT and CT images, gamma analysis passing rate, dose-volume metrics, distal range displacement, and the individual pencil beam Bragg peak shift between sCT- and CT-based proton plans were evaluated. The average mean absolute error (MAE) was 51.32 +/- 16.91 HU. The relative differences of the statistics of the PTV dose-volume histogram (DVH) metrics in between sCT and CT were generally less than 1%. Mean values of dose difference, absolute dose difference (in percent of the prescribed dose) were -0.07% +/- 0.07% and 0.23% +/- 0.08%. Mean gamma analysis pass rate of 1 mm/1%, 2 mm/2%, 3 mm/3% criteria with 10% dose threshold were 92.39% +/- 5.97%, 97.95% +/- 2.95% and 98.97% +/- 1.62% respectively. The median, mean and standard deviation of absolute maximum range differences were 0.09 cm and 0.23 +/- 0.25 cm. The median and mean Bragg peak shifts among the 17 patients were 0.09 cm and 0.18 +/- 0.07 cm. The image similarity, dosimetric and distal range agreement between sCT and original CT suggests the feasibility of further development of an MRI-only workflow for prostate proton radiotherapy.</t>
  </si>
  <si>
    <t>[Liu, Yingzi; Lei, Yang; Wang, Yinan; Shafai-Erfani, Ghazal; Wang, Tonghe; Tian, Sibo; Patel, Pretesh; Jani, Ashesh B.; McDonald, Mark; Curran, Walter J.; Liu, Tian; Zhou, Jun; Yang, Xiaofeng] Emory Univ, Dept Radiat Oncol, Atlanta, GA 30322 USA; [Liu, Yingzi; Lei, Yang; Wang, Yinan; Shafai-Erfani, Ghazal; Wang, Tonghe; Tian, Sibo; Patel, Pretesh; Jani, Ashesh B.; McDonald, Mark; Curran, Walter J.; Liu, Tian; Zhou, Jun] Emory Univ, Winship Canc Inst, Atlanta, GA 30322 USA</t>
  </si>
  <si>
    <t>Emory University; Emory University</t>
  </si>
  <si>
    <t>Yang, XF (通訊作者)， Emory Univ, Dept Radiat Oncol, Atlanta, GA 30322 USA.</t>
  </si>
  <si>
    <t>xiaofeng.yang@emory.edu</t>
  </si>
  <si>
    <t>Yang, Xiaofeng/G-9479-2012; Lei, Yang/AAE-5089-2019; Wang, Tonghe/AAL-9431-2020</t>
  </si>
  <si>
    <t>Yang, Xiaofeng/0000-0001-9023-5855; Lei, Yang/0000-0002-3572-0345; Tian, Sibo/0000-0001-5018-4854; Zhou, Jun/0000-0002-6078-9424; Wang, Tonghe/0000-0001-9021-1204</t>
  </si>
  <si>
    <t>National Cancer Institute of the National Institutes of Health [R01CA215718]; Emory Winship Cancer Institute pilot grant</t>
  </si>
  <si>
    <t>National Cancer Institute of the National Institutes of Health(United States Department of Health &amp; Human ServicesNational Institutes of Health (NIH) - USANIH National Cancer Institute (NCI)); Emory Winship Cancer Institute pilot grant</t>
  </si>
  <si>
    <t>This research was supported in part by the National Cancer Institute of the National Institutes of Health under Award Number R01CA215718, and Emory Winship Cancer Institute pilot grant.</t>
  </si>
  <si>
    <t>10.1088/1361-6560/ab41af</t>
  </si>
  <si>
    <t>JS3ZV</t>
  </si>
  <si>
    <t>WOS:000500247900022</t>
  </si>
  <si>
    <t>Modregger, P; Meganck, J; Hagen, CK; Massirni, L; Olivo, A; Endrizzi, M</t>
  </si>
  <si>
    <t>Modregger, Peter; Meganck, Jeff; Hagen, Charlotte K.; Massirni, Lorenzo; Olivo, Alessandro; Endrizzi, Marco</t>
  </si>
  <si>
    <t>Improved iterative tomographic reconstruction for x-ray imaging with edge-illumination</t>
  </si>
  <si>
    <t>x-ray phase contrast imaging; edge illumination; iterative tomographic reconstruction</t>
  </si>
  <si>
    <t>PHASE</t>
  </si>
  <si>
    <t>Iterative tomographic reconstruction has been established as a viable alternative for data analysis in phase-sensitive x-ray imaging based on the edge-illumination principle. However, previously published approaches did not account for drifts of optical elements during a scan, which can lead to artefacts. Up to now, the strategy to reduce these artefacts was to acquire additional intermediate flat field images, which were used to correct the sinograms. Here, we expand the theoretical model to take these effects into account and demonstrate a significant reduction of (ring)-artefacts in the final reconstructions, while allowing for a significant reduction of scan time and dose. We further improve the model by including the capability to reconstruct combined absorption and phase contrast slices, which we experimentally demonstrate to deliver improved contrast to noise ratios compared to previously employed single shot approaches.</t>
  </si>
  <si>
    <t>[Modregger, Peter; Hagen, Charlotte K.; Massirni, Lorenzo; Olivo, Alessandro; Endrizzi, Marco] UCL, Dept Med Phys &amp; Bioengn, Gower St, London WC1E 6BT, England; [Meganck, Jeff] Discovery &amp; Analyt Solut, Res &amp; Dev, 68 Elm St, Hopkinton, MA 01748 USA</t>
  </si>
  <si>
    <t>University of London; University College London</t>
  </si>
  <si>
    <t>Modregger, P (通訊作者)， UCL, Dept Med Phys &amp; Bioengn, Gower St, London WC1E 6BT, England.</t>
  </si>
  <si>
    <t>p.modregger@ucl.ac.uk</t>
  </si>
  <si>
    <t>Olivo, Alessandro/C-1581-2008; Endrizzi, Marco/O-7463-2015</t>
  </si>
  <si>
    <t>Endrizzi, Marco/0000-0002-7810-2301; Massimi, Lorenzo/0000-0001-6191-869X; Modregger, Peter/0000-0002-2648-6403; Olivo, Alessandro/0000-0002-7150-2951</t>
  </si>
  <si>
    <t>Royal Academy of Engineering under the RA Eng Research Fellowship scheme; EPSRC [EP/M028100/1] Funding Source: UKRI; Engineering and Physical Sciences Research Council [EP/M028100/1] Funding Source: researchfish</t>
  </si>
  <si>
    <t>Royal Academy of Engineering under the RA Eng Research Fellowship scheme; EPSRC(UK Research &amp; Innovation (UKRI)Engineering &amp; Physical Sciences Research Council (EPSRC)); Engineering and Physical Sciences Research Council(UK Research &amp; Innovation (UKRI)Engineering &amp; Physical Sciences Research Council (EPSRC))</t>
  </si>
  <si>
    <t>ME was supported by the Royal Academy of Engineering under the RA Eng Research Fellowship scheme.</t>
  </si>
  <si>
    <t>10.1088/1361-6560/ab439d</t>
  </si>
  <si>
    <t>Green Published, hybrid</t>
  </si>
  <si>
    <t>WOS:000500247900008</t>
  </si>
  <si>
    <t>Ariño-Estrada, G; Mitchell, GS; Kim, H; Du, JW; Kwon, SI; Cirignano, LJ; Shah, KS; Cherry, SR</t>
  </si>
  <si>
    <t>Arino-Estrada, Gerard; Mitchell, Gregory S.; Kim, Hadong; Du, Junwei; Kwon, Sun Il; Cirignano, Leonard J.; Shah, Kanai S.; Cherry, Simon R.</t>
  </si>
  <si>
    <t>First Cerenkov charge-induction (CCI) TlBr detector forTOF-PET and proton range verification</t>
  </si>
  <si>
    <t>TlBr; TOF-PET; Cerenkov; CCI TlBr; PGI</t>
  </si>
  <si>
    <t>Thallium bromide (TlBr) is a semiconductor material and, simultaneously, a good Cerenkov radiator. The performance of a TlBr detector that integrates two different readouts, the charge induction readout and the detection of Cerenkov light, was evaluated. A TlBr detector with dimensions of 4 x 4 x 5 mm(3), with a monolithic cathode and an anode segmented into strips, was manufactured. One of the bare and polished 4 x 4 min(2) faces of the detector was coupled to a silicon photomultiplier (SiPM) to read out the Cerenkov light. Simultaneous timing and energy resolutions of &lt;400 ps full width at half maximum (FWHM) and similar to 8.5% at 511 keV were measured using the Cerenkov detection and charge induction readouts, respectively. A coincidence time resolution of 330 ps was obtained when selecting Cerenkov events with amplitudes above 70 mV. The combination of both readouts showed the potential to resolve the depth-of-interaction (DOI) positioning, based on the improvement of energy resolution when selecting events with similar electron drift times. This manuscript sets the stage for a new family of semiconductor detectors that combine charge induction readout with the Cerenkov light detection. Such detectors can provide, simultaneously, outstanding timing, energy, and spatial resolution, and will be an excellent fit for applications that require the detection of high-energy gamma photons with high timing accuracy, such as time-of-flight positron emission tomography (TOF-PET) and prompt gamma imaging (PGI) to assess the particle range in hadron therapy.</t>
  </si>
  <si>
    <t>[Arino-Estrada, Gerard; Mitchell, Gregory S.; Du, Junwei; Kwon, Sun Il; Cherry, Simon R.] Univ Calif Davis, Dept Biomed Engn, Davis, CA 95616 USA; [Kim, Hadong; Cirignano, Leonard J.; Shah, Kanai S.] Radiat Monitoring Devices Inc, Watertown, MA 02172 USA</t>
  </si>
  <si>
    <t>University of California System; University of California Davis; Radiation Monitoring Devices</t>
  </si>
  <si>
    <t>Ariño-Estrada, G (通訊作者)， Univ Calif Davis, Dept Biomed Engn, Davis, CA 95616 USA.</t>
  </si>
  <si>
    <t>garino@ucdavis.edu</t>
  </si>
  <si>
    <t>Arino-Estrada, Gerard/I-2589-2019; Du, Junwei/J-9226-2015; Cherry, Simon/IAN-7507-2023; Kwon, Sun Il/B-3854-2019</t>
  </si>
  <si>
    <t>Arino-Estrada, Gerard/0000-0002-6411-191X; Kwon, Sun Il/0000-0002-1810-2123</t>
  </si>
  <si>
    <t>NIH [R01 CA183994, R35 CA197608, R03 EB025533]; UC Davis Academic Federation Innovative Developmental Award</t>
  </si>
  <si>
    <t>NIH(United States Department of Health &amp; Human ServicesNational Institutes of Health (NIH) - USA); UC Davis Academic Federation Innovative Developmental Award</t>
  </si>
  <si>
    <t>This work was supported by NIH grants R01 CA183994, R35 CA197608 and R03 EB025533, and a UC Davis Academic Federation Innovative Developmental Award. The authors would like to thank Dr Armin Kolb and Aaron Selfridge for helpful discussions, and Hamamatsu Photonics K.K. for graciously providing the SiPM samples.</t>
  </si>
  <si>
    <t>10.1088/1361-6560/ab35c4</t>
  </si>
  <si>
    <t>IT7YC</t>
  </si>
  <si>
    <t>WOS:000483095200001</t>
  </si>
  <si>
    <t>Li, SL; Xu, PP; Li, B; Chen, LY; Zhou, ZG; Hao, HX; Duan, YY; Folker, M; Ma, JH; Huang, SY; Jiang, S; Wang, J</t>
  </si>
  <si>
    <t>Li, Shulong; Xu, Panpan; Li, Bin; Chen, Liyuan; Zhou, Zhiguo; Hao, Hongxia; Duan, Yingying; Folker, Michael; Ma, Jianhua; Huang, Shiying; Jiang, Steve; Wang, Jing</t>
  </si>
  <si>
    <t>Predicting lung nodule malignancies by combining deep convolutional neural network and handcrafted features</t>
  </si>
  <si>
    <t>lung nodule malignancy; convolutional neural network; handcrafted feature; fusion algorithm; radiomics</t>
  </si>
  <si>
    <t>COMPUTER-AIDED DETECTION; SUPPORT TENSOR MACHINE; DISTANT FAILURE; RADIOMICS MODEL; FDG-PET; CANCER; CLASSIFICATION; DIAGNOSIS; IMAGES; SEGMENTATION</t>
  </si>
  <si>
    <t>To predict lung nodule malignancy with a high sensitivity and specificity for low dose CT (LDCT) lung cancer screening, we propose a fusion algorithm that combines handcrafted features (HF) into the features learned at the output layer of a 3D deep convolutional neural network (CNN). First, we extracted twenty-nine HF, including nine intensity features, eight geometric features, and twelve texture features based on grey-level co-occurrence matrix (GLCM). We then trained 3D CNNs modified from three 2D CNN architectures (AlexNet,VGG-16 Net and Multi-crop Net) to extract the CNN features learned at the output layer. For each 3D CNN, the CNN features combined with the 29 HF were used as the input for the support vector machine (SVM) coupled with the sequential forward feature selection (SFS) method to select the optimal feature subset and construct the classifiers. The fusion algorithm takes full advantage of the HF and the highest level CNN features learned at the output layer. It can overcome the disadvantage of the HF that may not fully reflect the unique characteristics of a particular lesion by combining the intrinsic CNN features. Meanwhile, it also alleviates the requirement of a large scale annotated dataset for the CNNs based on the complementary of HF. The patient cohort includes 431 malignant nodules and 795 benign nodules extracted from the LIDC/IDRI database. For each investigated CNN architecture, the proposed fusion algorithm achieved the highest AUC, accuracy, sensitivity, and specificity scores among all competitive classification models.</t>
  </si>
  <si>
    <t>[Li, Shulong; Li, Bin; Duan, Yingying; Ma, Jianhua] Southern Med Univ, Sch Biomed Engn, Guangdong Prov Key Lab Med Image Proc, Guangzhou 510515, Guangdong, Peoples R China; [Xu, Panpan] Longgang Dist Peoples Hosp, Shenzhen 518172, Peoples R China; [Chen, Liyuan; Zhou, Zhiguo; Folker, Michael; Jiang, Steve; Wang, Jing] Univ Texas Southwestern Med Ctr Dallas, Dept Radiat Oncol, Dallas, TX 75235 USA; [Hao, Hongxia] Xidian Univ, Sch Comp Sci &amp; Technol, Xian 710071, Shaanxi, Peoples R China; [Huang, Shiying] Southern Med Univ, Sch Tradit Chinese Med, Guangzhou 510515, Guangdong, Peoples R China</t>
  </si>
  <si>
    <t>Southern Medical University - China; Longgang District People's Hospital, Shenzhen; University of Texas System; University of Texas Southwestern Medical Center; Xidian University; Southern Medical University - China</t>
  </si>
  <si>
    <t>Wang, J (通訊作者)， Univ Texas Southwestern Med Ctr Dallas, Dept Radiat Oncol, Dallas, TX 75235 USA.</t>
  </si>
  <si>
    <t>jing.wang@utsouthwestern.edu</t>
  </si>
  <si>
    <t>Zhou, Zhiguo/S-4260-2018; Hao, Hongxia/AAO-7462-2020; Chen, Liyuan/AAF-3864-2020; Wang, Jing/N-7332-2019; Li, Bin/LUY-7795-2024; Jiang, Steve/GRO-3951-2022; Li, Shulong/AAK-9054-2020</t>
  </si>
  <si>
    <t>Wang, Jing/0000-0002-8491-4146; Li, Shulong/0000-0002-7466-4366;</t>
  </si>
  <si>
    <t>American Cancer Society [ACS-IRG-02-196]; US National Institutes of Health [R01 EB 020366]; National Natural Science Foundation of China (NSFC) [11771456, U1708261]</t>
  </si>
  <si>
    <t>American Cancer Society(American Cancer Society); US National Institutes of Health(United States Department of Health &amp; Human ServicesNational Institutes of Health (NIH) - USA); National Natural Science Foundation of China (NSFC)(National Natural Science Foundation of China (NSFC))</t>
  </si>
  <si>
    <t>This work was partly supported by the American Cancer Society (ACS-IRG-02-196), the US National Institutes of Health R01 EB 020366, and the National Natural Science Foundation of China (NSFC, 11771456 and U1708261). The authors would like to thank Dr Jonathan Feinberg for editing the manuscript.</t>
  </si>
  <si>
    <t>10.1088/1361-6560/ab326a</t>
  </si>
  <si>
    <t>IV8II</t>
  </si>
  <si>
    <t>Green Submitted, Green Accepted</t>
  </si>
  <si>
    <t>WOS:000484508700005</t>
  </si>
  <si>
    <t>Jean, E; Delage, MÉ; Beaulieu, L</t>
  </si>
  <si>
    <t>Jean, Emilie; Delage, Marie-Eve; Beaulieu, Luc</t>
  </si>
  <si>
    <t>Investigation of the quinine sulfate dihydrate spectral properties and its effects on Cherenkov dosimetry</t>
  </si>
  <si>
    <t>cherenkov radiation; dosimetry; external beam radiation therapy; fluorescence; quinine sulfate dihydrate; spectral properties</t>
  </si>
  <si>
    <t>Recent studies have proposed that adding quinine to water while performing Cherenkov volumetric dosimetry improves the skewed percent depth dose measurement. The aim of this study was to quantify the ability of quinine to convert directional Cherenkov emission to isotropic fluorescence and evaluate its contribution to the total emitted light. Aqueous solutions of quinine were prepared with distilled water at various concentrations (0.01-1.2 gl(-1)). The solutions were irradiated with photon beams at 6 and 23 MV. The dependence of the light produced as a function of sample concentration was studied using a spectrometer with a fixed integration time. Spectral measurements of the luminescent solution and the blank solution (distilled water only) were taken to deconvolve the Cherenkov and quinine contribution to the overall emission spectrum. Using a CCD camera, intensity profiles were obtained for the blank and the 1.00 gl(-1) solutions to compare them with the dose predicted by a treatment planning system. The luminescent intensity of the samples was found to follow a logarithmic trend as a function of the quinine concentration. Based on the spectral deconvolution of the 1.00 gl(-1) solution, 52.4% +/- 0.7% and 52.7% +/- 0.7% of the signal in the visible range results from the quinine emission at 6 and 23 MV, respectively. The remaining fraction of the spectrum is due to the Cherenkov light that has not been converted. The fraction of the Cherenkov emission produced between 250 nm and 380 nm in the water and that was absorbed by the fluorophore reached 24.8% and 9.4% respectively at 6 and 23 MV. X-ray stimulated fluorescence of the quinine was then proven to be the principal cause to the increased total light output compared to the water-only signal. This new information reinforces the direct correlation of the solution intensity to the dose deposition.</t>
  </si>
  <si>
    <t>[Jean, Emilie; Delage, Marie-Eve; Beaulieu, Luc] Univ Laval, Dept Phys Genie Phys &amp; Opt, Quebec City, PQ, Canada; [Jean, Emilie; Delage, Marie-Eve; Beaulieu, Luc] Univ Laval, Ctr Rech Canc, Quebec City, PQ, Canada; [Jean, Emilie; Delage, Marie-Eve; Beaulieu, Luc] Univ Laval, CHU Quebec, Ctr Rech, Quebec City, PQ, Canada</t>
  </si>
  <si>
    <t>Laval University; Laval University; Laval University; Laval University Hospital</t>
  </si>
  <si>
    <t>Beaulieu, L (通訊作者)， Univ Laval, Dept Phys Genie Phys &amp; Opt, Quebec City, PQ, Canada.;Beaulieu, L (通訊作者)， Univ Laval, Ctr Rech Canc, Quebec City, PQ, Canada.;Beaulieu, L (通訊作者)， Univ Laval, CHU Quebec, Ctr Rech, Quebec City, PQ, Canada.</t>
  </si>
  <si>
    <t>luc.beaulieu@phy.ulaval.ca</t>
  </si>
  <si>
    <t>Beaulieu, Luc/A-6803-2009</t>
  </si>
  <si>
    <t>Beaulieu, Luc/0000-0003-0429-6366</t>
  </si>
  <si>
    <t>Natural Sciences and Engineering Research Council of Canada (NSERC) [435510-2013]; Canadian Foundation for Innovation John R. Evans Leader Funds (CFI JELF) [35633]</t>
  </si>
  <si>
    <t>Natural Sciences and Engineering Research Council of Canada (NSERC)(Natural Sciences and Engineering Research Council of Canada (NSERC)); Canadian Foundation for Innovation John R. Evans Leader Funds (CFI JELF)</t>
  </si>
  <si>
    <t>This work was financed by the Natural Sciences and Engineering Research Council of Canada (NSERC) Discovery grants #435510-2013, and by the Canadian Foundation for Innovation John R. Evans Leader Funds (CFI JELF #35633).</t>
  </si>
  <si>
    <t>10.1088/1361-6560/ab2827</t>
  </si>
  <si>
    <t>WOS:000480292700014</t>
  </si>
  <si>
    <t>Freedman, JN; Bainbridge, HE; Nill, S; Collins, DJ; Kachelriess, M; Leach, MO; McDonald, F; Oelfke, U; Wetscherek, A</t>
  </si>
  <si>
    <t>Freedman, Joshua N.; Bainbridge, Hannah E.; Nill, Simeon; Collins, David J.; Kachelriess, Marc; Leach, Martin O.; McDonald, Fiona; Oelfke, Uwe; Wetscherek, Andreas</t>
  </si>
  <si>
    <t>Synthetic 4D-CT of the thorax for treatment plan adaptation on MR-guided radiotherapy systems</t>
  </si>
  <si>
    <t>4D MRI; radiotherapy treatment planning; MR-guided radiotherapy; pseudo CT; synthetic CT</t>
  </si>
  <si>
    <t>STEREOTACTIC BODY RADIOTHERAPY; COMPUTED-TOMOGRAPHY; DOSIMETRIC EVALUATION; RADIATION-THERAPY; MAGNETIC-FIELD; CT-SCAN; LUNG; RECONSTRUCTION; IMAGES; SEGMENTATION</t>
  </si>
  <si>
    <t>MR-guided radiotherapy treatment planning utilises the high soft-tissue contrast of MRI to reduce uncertainty in delineation of the target and organs at risk. Replacing 4D-CT with MRI-derived synthetic 4D-CT would support treatment plan adaptation on hybrid MR-guided radiotherapy systems for inter- and intrafractional differences in anatomy and respiration, whilst mitigating the risk of CT to MRI registration errors. Three methods were devised to calculate synthetic 4D and midposition (time-weighted mean position of the respiratory cycle) CT from 4D-T1w and Dixon MRI. The first approach employed intensity-based segmentation of Dixon MRI for bulk-density assignment (sCT(D)). The second step added spine density information using an atlas of CT and Dixon MRI (sCT(DS)). The third iteration used a polynomial function relating Hounsfield units and normalised T1w image intensity to account for variable lung density (sCT(DSL)). Motion information in 4D-T1w MRI was applied to generate synthetic CT in midposition and in twenty respiratory phases. For six lung cancer patients, synthetic 4D-CT was validated against 4D-CT in midposition by comparison of Hounsfield units and dose-volume metrics. Dosimetric differences found by comparing sCT(D,DS,DSL) and CT were evaluated using a Wilcoxon signed-rank test (p = 0.05). Compared to sCT(D) and sCT(DS), planning on sCT(DSL) significantly reduced absolute dosimetric differences in the planning target volume metrics to less than 98 cGy (1.7% of the prescribed dose) on average. When comparing sCT(D)(SL), and CT, average radiodensity differences were within 97 Hounsfield units and dosimetric differences were significant only for the planning target volume D99% metric. All methods produced clinically acceptable results for the organs at risk in accordance with the UK SABR consensus guidelines and the LungTech EORTC phase II trial. The overall good agreement between sCT(DSL) and CT demonstrates the feasibility of employing synthetic 4D-CT for plan adaptation on hybrid MR-guided radiotherapy systems.</t>
  </si>
  <si>
    <t>[Freedman, Joshua N.; Nill, Simeon; Oelfke, Uwe; Wetscherek, Andreas] Inst Canc Res, Joint Dept Phys, London, England; [Freedman, Joshua N.; Nill, Simeon; Collins, David J.; Leach, Martin O.; Oelfke, Uwe; Wetscherek, Andreas] Royal Marsden NHS Fdn Trust, London, England; [Freedman, Joshua N.; Collins, David J.; Leach, Martin O.] Inst Canc Res, CR UK Canc Imaging Ctr, London, England; [Bainbridge, Hannah E.; McDonald, Fiona] Royal Marsden NHS Fdn Trust, Dept Radiotherapy, London, England; [Kachelriess, Marc] German Canc Res Ctr, Med Phys Radiol, Heidelberg, Germany</t>
  </si>
  <si>
    <t>Royal Marsden NHS Foundation Trust; University of London; Institute of Cancer Research - UK; Royal Marsden NHS Foundation Trust; Royal Marsden NHS Foundation Trust; University of London; Institute of Cancer Research - UK; Royal Marsden NHS Foundation Trust; Helmholtz Association; German Cancer Research Center (DKFZ)</t>
  </si>
  <si>
    <t>Leach, MO (通訊作者)， Royal Marsden NHS Fdn Trust, London, England.;Leach, MO (通訊作者)， Inst Canc Res, CR UK Canc Imaging Ctr, London, England.</t>
  </si>
  <si>
    <t>Martin.Leach@icr.ac.uk</t>
  </si>
  <si>
    <t>; leach, martin/C-2248-2008</t>
  </si>
  <si>
    <t>Collins, David/0000-0001-8281-1496; Bainbridge, Hannah/0000-0003-4441-7740; leach, martin/0000-0002-0756-5368; Wetscherek, Andreas/0000-0003-4799-2193; Oelfke, Uwe/0000-0003-2309-0814</t>
  </si>
  <si>
    <t>NHS; Royal Marsden NHS Foundation Trust; CR UK Cancer Imaging Centre grant [C1060/A16464]; CR UK programme [C33589/A19727, C347/A18365, C309/A20926, C7224/A23275]; Cancer Research UK [16464, 19727, 19908] Funding Source: researchfish</t>
  </si>
  <si>
    <t>NHS; Royal Marsden NHS Foundation Trust(Royal Society of New ZealandMarsden Fund (NZ)); CR UK Cancer Imaging Centre grant; CR UK programme; Cancer Research UK(Cancer Research UK)</t>
  </si>
  <si>
    <t>We thank Siemens Healthineers, in particular Alto Stemmer, for providing us with the nonproduct radial MRI sequence and for giving us access to the spherical harmonic coefficients of the MAGNETOM Aera. We also thank Nina Tunariu, Dow-Mu Koh and Alex Dunlop for their help with data acquisition and image analysis. We acknowledge NHS funding to the NIHR Biomedical Research Centre and the Clinical Research Facility at The Institute of Cancer Research and The Royal Marsden NHS Foundation Trust and the CR UK Cancer Imaging Centre grant C1060/A16464. We acknowledge funding from CR UK programme grants C33589/A19727, and project grants C347/A18365, C309/A20926 and C7224/A23275. Martin O Leach is an NIHR Emeritus Senior Investigator.</t>
  </si>
  <si>
    <t>10.1088/1361-6560/ab0dbb</t>
  </si>
  <si>
    <t>hybrid, Green Published</t>
  </si>
  <si>
    <t>WOS:000468942900005</t>
  </si>
  <si>
    <t>Strigari, L; Minosse, S; D'Alessio, D; Farina, L; Cavagnaro, M; Cassano, B; Pinto, R; Vallati, G; Lopresto, V</t>
  </si>
  <si>
    <t>Strigari, L.; Minosse, S.; D'Alessio, D.; Farina, L.; Cavagnaro, M.; Cassano, B.; Pinto, R.; Vallati, G.; Lopresto, V.</t>
  </si>
  <si>
    <t>Microwave thermal ablation using CT-scanner for predicting the variation of ablated region over time: advantages and limitations</t>
  </si>
  <si>
    <t>microwave thermal ablation; temperature prediction; CT imaging; treatment planning</t>
  </si>
  <si>
    <t>EX-VIVO RADIOFREQUENCY; X-RAY CT; TISSUE SHRINKAGE; COMPUTED-TOMOGRAPHY; DIELECTRIC-PROPERTIES; BOVINE LIVER; TEMPERATURE; THERMOMETRY; MODELS</t>
  </si>
  <si>
    <t>This study aims at investigating in real-time the structural and dynamical changes occurring in an ex vivo tissue during a microwave thermal ablation (MTA) procedure. The experimental set-up was based on ex vivo liver tissue inserted in a dedicated box, in which 3 fibre-optic (FO) temperature probes were introduced to measure the temperature increase over time. Computed tomography (CT) imaging technique was exploited to experimentally study in real-time the Hounsfield Units (HU) modification occurring during MTA. The collected image data were processed with a dedicated MATLAB tool, developed to analyse the FO positions and HU modifications from the CT images acquired over time before and during the ablation procedures. The radial position of a FO temperature probe (rFO) and the value of HU in the region of interest (ROI) containing the probe (HUo), along with the corresponding value of HU in the contralateral ROI with respect to the MTA antenna applicator (HUc), were determined and registered over time during and after the MTA procedure. Six experiments were conducted to confirm results. The correlation between temperature and the above listed predictors was investigated using univariate and multivariate analysis. At the multivariate analysis, the time, rFO and HUc resulted significant predictive factors of the logarithm of measured temperature. The correlation between predicted and measured temperatures was 0.934 (p &lt; 0.001). The developed tool allows identifying and registering the image-based parameters useful for predicting the temperature variation over time in each investigated voxel by taking into consideration the HU variation.</t>
  </si>
  <si>
    <t>[Strigari, L.; Minosse, S.; D'Alessio, D.] IFO, IRCCS Regina Elena Natl Canc Inst, Lab Med Phys &amp; Expert Syst, Via Elio Chianesi 53, I-00144 Rome, Italy; [Farina, L.] Natl Univ Ireland Galway, Translat Med Device Lab, Galway, Ireland; [Farina, L.] Natl Univ Ireland Galway, CURAM, Galway, Ireland; [Cavagnaro, M.] Sapienza Univ Rome, Dept Informat Engn Elect &amp; Telecommun, Via Eudossiana 18, I-00184 Rome, Italy; [Cassano, B.] Bambino Gesu Pediat Hosp, IRCCS, Med Phys Unit, Piazza S Onofrio 4, I-00165 Rome, Italy; [Pinto, R.; Lopresto, V.] Italian Natl Agcy New Technol Energy &amp; Sustainabl, Div Hlth Protect Technol, Via Anguillarese 301, I-00123 Rome, Italy; [Vallati, G.] IFO, IRCCS Regina Elena Natl Canc Inst, Radiol Dept, Via Elio Chianesi 53, I-00144 Rome, Italy; [Strigari, L.] St Orsola Malpighi Univ Hosp, Dept Med Phys, Via Massarenti 9, I-40138 Bologna, Italy</t>
  </si>
  <si>
    <t>IRCCS Istituti Fisioterapici Ospitalieri (IFO); Ollscoil na Gaillimhe-University of Galway; Ollscoil na Gaillimhe-University of Galway; Sapienza University Rome; IRCCS Bambino Gesu; Italian National Agency New Technical Energy &amp; Sustainable Economics Development; Italian National Agency New Technical Energy &amp; Sustainable Economics Development; IRCCS Istituti Fisioterapici Ospitalieri (IFO); IRCCS Azienda Ospedaliero-Universitaria di Bologna</t>
  </si>
  <si>
    <t>Strigari, L (通訊作者)， IFO, IRCCS Regina Elena Natl Canc Inst, Lab Med Phys &amp; Expert Syst, Via Elio Chianesi 53, I-00144 Rome, Italy.;Strigari, L (通訊作者)， St Orsola Malpighi Univ Hosp, Dept Med Phys, Via Massarenti 9, I-40138 Bologna, Italy.</t>
  </si>
  <si>
    <t>lidia.strigari@ifo.gov.it</t>
  </si>
  <si>
    <t>; Cassano, Bartolomeo/AAB-5223-2020; Cavagnaro, Marta/AAD-2087-2021; Vallati, Giulio/AAQ-1690-2020; Minosse, Silvia/C-1167-2017; Strigari, Lidia/B-9352-2017</t>
  </si>
  <si>
    <t>Minosse, Silvia/0000-0002-9921-6287; Lopresto, Vanni/0000-0002-9517-6994; Farina, Laura/0000-0002-1571-8037; Cassano, Bartolomeo/0000-0001-5747-8230; Strigari, Lidia/0000-0003-4293-2298</t>
  </si>
  <si>
    <t>10.1088/1361-6560/ab1a67</t>
  </si>
  <si>
    <t>WOS:000470205600005</t>
  </si>
  <si>
    <t>Hofmann, T; Fochi, A; Parodi, K; Pinto, M</t>
  </si>
  <si>
    <t>Hofmann, T.; Fochi, A.; Parodi, K.; Pinto, M.</t>
  </si>
  <si>
    <t>Prediction of positron emitter distributions for range monitoring in carbon ion therapy: an analytical approach</t>
  </si>
  <si>
    <t>carbon ion therapy; range verification; PET imaging; convolution</t>
  </si>
  <si>
    <t>PET VERIFICATION; IN-BEAM; PROTON; IMPLEMENTATION; EMISSION; NUCLEI; FLUKA; MODEL</t>
  </si>
  <si>
    <t>Range verification is one of the most relevant tasks in ion beam therapy. In the case of carbon ion therapy, positron emission tomography (PET) is the most widely used method for this purpose, which images the beta(+)-activation following nuclear interactions of the ions with the tissue nuclei. Since the positron emitter activity profile is not directly proportional to the dose distribution, until today only its comparison to a prediction of the PET profile allows for treatment verification. Usually, this prediction is obtained from time-consuming Monte Carlo simulations of high computational effort, which impacts the clinical workflow. To solve this issue in proton therapy, a convolution approach was suggested to predict positron emitter activity profiles from depth dose distributions analytically. In this work, we introduce an approach to predict positron emitter distributions from depth dose profiles in carbon ion therapy. While the distal fall-off position of the positron emitter profile is predicted from a convolution approach similar to the one suggested for protons, additional analytical functions are introduced to describe the characteristics of the positron emitter distribution in tissue. The feasibility of this approach is demonstrated with monoenergetic depth dose profiles and spread out Bragg peaks in homogeneous and heterogeneous phantoms. In all cases, the positron emitter profile is predicted with high precision and the distal fall-off position is reproduced with millimeter accuracy.</t>
  </si>
  <si>
    <t>[Hofmann, T.; Fochi, A.; Parodi, K.; Pinto, M.] Ludwig Maximilians Univ Munchen, Dept Med Phys, Coulombwall 1, D-85748 Garching, Germany</t>
  </si>
  <si>
    <t>University of Munich</t>
  </si>
  <si>
    <t>Pinto, M (通訊作者)， Ludwig Maximilians Univ Munchen, Dept Med Phys, Coulombwall 1, D-85748 Garching, Germany.</t>
  </si>
  <si>
    <t>Marco.Pinto@physik.uni-muenchen.de</t>
  </si>
  <si>
    <t>Pinto, Marco/B-5362-2019</t>
  </si>
  <si>
    <t>Pinto, Marco/0000-0001-6835-2561</t>
  </si>
  <si>
    <t>DFG Munich-Centre for Advanced Photonics (MAP)</t>
  </si>
  <si>
    <t>The authors would like to thank the DFG Munich-Centre for Advanced Photonics (MAP) for financial support.</t>
  </si>
  <si>
    <t>10.1088/1361-6560/ab17f9</t>
  </si>
  <si>
    <t>HZ1UN</t>
  </si>
  <si>
    <t>WOS:000468634900002</t>
  </si>
  <si>
    <t>Tsiamas, P; Brown, SL; Chetty, IJ; Kim, JH; Isrow, D</t>
  </si>
  <si>
    <t>Tsiamas, P.; Brown, S. L.; Chetty, I. J.; Kim, J. H.; Isrow, D.</t>
  </si>
  <si>
    <t>Dosimetric evaluation and beam characterization of pair production enhanced radiotherapy (PPER) with the use of organometallics</t>
  </si>
  <si>
    <t>organometallics; Monte Carlo; dose enhancement</t>
  </si>
  <si>
    <t>GOLD NANOPARTICLES; DOSE ENHANCEMENT; X-RAYS; ENERGY; BRACHYTHERAPY; RADIOSENSITIZATION; DNA</t>
  </si>
  <si>
    <t>The current study evaluates dosimetric and spectral effects when platinum (Pt)-based chemotherapeutics and less toxic tungstophosphoric-acid (TPA) organometallics are present during x-ray radiotherapy. We hypothesize that the use of high energy photon beams (i.e. 18 MV) will increase absorbed dose due to increased pair production from high-Z elements and thus result in additional tumor cell kill. EGSnrc code was used to examine the contribution of pair production to dose in the presence of the high-Z material (TPA, Pt mixtures and tungsten, W) as a function of beam energy. Variables included different concentrations (100 mu molar, 1 mmolar), depths (5 mm, 10 cm), thicknesses (5 mm, 5 cm) and energies (6, 18 MV). Overall, for the deeper depth, the 511 keV photon fluence increase was up 31% (18 MV-1 mmolar) while at 6 MV it was between 10%-11% depending on the concentration. For the shallower depth, 18 MV fluence increase was up 14.6% (1 mmolar) and 18.6% (1 mmolar) for the 6 MV. The dose enhancement effect due to pair production was up 25%-30% and a total 33%-58% depending on the depth. The benefit related to pair production was more for 18 MV and under conditions that simulated a realistic clinical setup. While part of the effect could be attributed to photoabsorption, a significant contribution of dose could result from pair production. Experimental clonogenic survival assay was consistent with the theory in that the low dose shoulder region of a cell survival curve was reduced using TPA and 18 MV compared with TPA and 6 MV or compared with no TPA and 18 MV; RBE was approximately 2 at the dose commonly used in conventional fractionated clinical radiotherapy. This suggests a potential new strategy for dose enhancement based on pair production using higher energy beamlines.</t>
  </si>
  <si>
    <t>[Tsiamas, P.; Brown, S. L.; Chetty, I. J.; Kim, J. H.; Isrow, D.] Henry Ford Hosp, Dept Radiat Oncol, Detroit, MI 48202 USA</t>
  </si>
  <si>
    <t>Henry Ford Health System; Henry Ford Hospital</t>
  </si>
  <si>
    <t>Isrow, D (通訊作者)， Henry Ford Hosp, Dept Radiat Oncol, Detroit, MI 48202 USA.</t>
  </si>
  <si>
    <t>disrow@med.miami.edu</t>
  </si>
  <si>
    <t>Tsiamas, Panagiotis/AAH-5622-2020</t>
  </si>
  <si>
    <t>10.1088/1361-6560/ab103a</t>
  </si>
  <si>
    <t>HS0GZ</t>
  </si>
  <si>
    <t>WOS:000463540400002</t>
  </si>
  <si>
    <t>George, J; Giannoni, L; Meng, LJ</t>
  </si>
  <si>
    <t>George, J.; Giannoni, L.; Meng, L. J.</t>
  </si>
  <si>
    <t>Energy-modulated x-ray fluorescence and luminescence emissions from therapeutic nanoparticles</t>
  </si>
  <si>
    <t>XFCT; XLCT; X-PDT</t>
  </si>
  <si>
    <t>PHOTODYNAMIC THERAPY; CANCER</t>
  </si>
  <si>
    <t>In this study, we have investigated the possibility of modulating x-ray fluorescence (XF) and x-ray luminescence (XL) emissions from therapeutic nanoparticles (NPs) by fine-tuning the energy of incident x-rays from benchtop x-ray sources. We have carried out detailed experimental studies to determine the strength of XF and XL emissions from Y2O3:Eu3+ and LaF3:Tb3+ NPs being irradiated with x-rays from benchtop x-ray sources operated with different tube-voltages and coupled to various filter configurations. These studies demonstrated that low-energy x-rays with average energy at around 10-15 keV are the most efficient to stimulate XL emission from the Y2O3 :Eu3+ and LaF3:Tb3+ NPs. The efficiency falls quickly when x-ray energies go above or below the optimum energy range. As one would expect, x-rays with average energy just above the corresponding absorption edge of the target metal would be the most efficient in inducing XF emission. In this study, we have also demonstrated that one could fine-tune the incident x-ray energy to modulate the XL and XF emissions, such as (a) selectively inducing either XL or XF emission from the same type of NPs, (b) inducing preferential XL activation of Y2O3:Eu3+ over LaF3:Eu3+ or controlling the ratio of XL activation of these two types of NPs, and (c) introducing preferential XF emission from one type of NPs over the other. As a potential application, one could optimize the energy-characteristics of the incident x-rays to facilitate multiplexed combinatorial delivery of photodynamic therapy (X-PDT), where different agents could be administrated and then selectively activated in user-defined spatial and temporal patterns to fulfill combinatorial therapeutic effects. The understanding gained through this study could prove critical for enhancing the therapeutic delivery in X-PDT, and for attaining high-quality x-ray fluorescence computed tomography (XFCT) and x-ray luminescence computed tomography (XLCT) images while minimizing the x-ray dose to the sample.</t>
  </si>
  <si>
    <t>[George, J.; Giannoni, L.; Meng, L. J.] Univ Illinois, Dept Nucl Plasma &amp; Radiol Engn, Talbot Lab 111E, 104 S Wright St, Urbana, IL 61822 USA</t>
  </si>
  <si>
    <t>University of Illinois System; University of Illinois Urbana-Champaign</t>
  </si>
  <si>
    <t>Meng, LJ (通訊作者)， Univ Illinois, Dept Nucl Plasma &amp; Radiol Engn, Talbot Lab 111E, 104 S Wright St, Urbana, IL 61822 USA.</t>
  </si>
  <si>
    <t>ljmeng@illinois.edu</t>
  </si>
  <si>
    <t>; Giannoni, Luca/ABE-9245-2021</t>
  </si>
  <si>
    <t>Giannoni, Luca/0000-0001-6846-7414;</t>
  </si>
  <si>
    <t>10.1088/1361-6560/aaeec3</t>
  </si>
  <si>
    <t>HJ8HP</t>
  </si>
  <si>
    <t>WOS:000457439100005</t>
  </si>
  <si>
    <t>Myziukh, N; Guerrero, T; Sakthivel, G; Solis, D; Nair, G; Guerra, R; Castillo, E</t>
  </si>
  <si>
    <t>Myziukh, Nicholas; Guerrero, Thomas; Sakthivel, Gukan; Solis, David, Jr.; Nair, Girish; Guerra, Rudy; Castillo, Edward, Jr.</t>
  </si>
  <si>
    <t>Pulmonary blood mass dynamics on 4DCT during tidal breathing</t>
  </si>
  <si>
    <t>4DCT; perfusion; computed tomography; lungs; haemodynamics; pulmonary perfusion; pulmonary</t>
  </si>
  <si>
    <t>LUNG; FLOW; VOLUME; VENTILATION; DEFORMATION; DENSITY</t>
  </si>
  <si>
    <t>We previously reported that apparent lung mass varies across the phases of 4D computed tomography (4DCT) images. We hypothesize that these variations correspond to the physiologic changes in pulmonary perfusion induced during normal tidal breathing, and should therefore be present in every breathing patient. In this study, we characterize and quantify the respiratory induced variation in pulmonary blood mass (Delta PBM) on 89 patients treated with stereotactic body radiotherapy. Delta PBM was computed from the treatment planning helical 4DCT images of each patient. Conversion from Hounsfield Units (HU) to density and mass per voxel was made using the density calibration curve, applied to the lung parenchyma volume within each phase. A difference in the lung mass with breathing was found for all cases, as was a substantial individual variation in lung volume. We found that the Delta PBM increased during inhalation, and decreased during exhalation. A significant correlation between the individual Delta PBM and tidal volume was observed; Delta PBM increased with tidal volume. We further evaluated the anatomic distribution of Delta PBM variation comparing the central versus peripheral lung, cranial versus caudal, dependent versus non-dependent lung. Our observations regarding spatial distribution of the Delta PBM agree with previously reported differences among similar regions for the supine patient. These results show that a variation in pulmonary mass during respiration is apparent on 4DCT and suggest that these variations reflect respiratory induced changes in the pulmonary perfusion. Therefore, the 4DCT derived respiratory induced Delta PBM signal can provide further insight into the pulmonary circulation and advance the overall understanding and diagnosis of human health and disease.</t>
  </si>
  <si>
    <t>[Myziukh, Nicholas; Guerrero, Thomas; Solis, David, Jr.; Castillo, Edward, Jr.] Beaumont Hlth, Dept Radiat Oncol, Royal Oak, MI 48073 USA; [Nair, Girish] Beaumont Hlth, Div Pulm &amp; Crit Care Med, Royal Oak, MI USA; [Myziukh, Nicholas; Castillo, Edward, Jr.] Wayne State Univ, Sch Med, Detroit, MI 48201 USA; [Guerrero, Thomas; Sakthivel, Gukan] Oakland Univ, William Beaumont Sch Med, Rochester Hills, MI 48309 USA; [Castillo, Edward, Jr.] Rice Univ, Dept Computat &amp; Appl Math, Houston, TX USA; [Guerra, Rudy] Rice Univ, Dept Stat, Houston, TX 77251 USA</t>
  </si>
  <si>
    <t>Beaumont Health; Beaumont Health; Wayne State University; Oakland University; Rice University; Rice University</t>
  </si>
  <si>
    <t>Guerrero, T (通訊作者)， Beaumont Hlth, Dept Radiat Oncol, Royal Oak, MI 48073 USA.;Guerrero, T (通訊作者)， Oakland Univ, William Beaumont Sch Med, Rochester Hills, MI 48309 USA.</t>
  </si>
  <si>
    <t>thomas.guerrero@beaumont.edu</t>
  </si>
  <si>
    <t>Nair, Girish/AAF-5843-2021</t>
  </si>
  <si>
    <t>Solis, David/0000-0002-9431-2720; Nair, Girish B./0000-0002-9696-4263</t>
  </si>
  <si>
    <t>Beaumont Research Institute; Department of Radiation Oncology</t>
  </si>
  <si>
    <t>We most sincerely thank the Beaumont Research Institute and Department of Radiation Oncology who provided support for this project. The authors also wish to acknowledge Evan Porter and Ina Marie Sala for their assistance in the preparation of this manuscript.</t>
  </si>
  <si>
    <t>10.1088/1361-6560/aaff7b</t>
  </si>
  <si>
    <t>HM0KG</t>
  </si>
  <si>
    <t>WOS:000459135900002</t>
  </si>
  <si>
    <t>Slopsema, RL; Mamalui, M; Bolling, J; Flampouri, S; Yeung, D; Li, Z; Rutenberg, MS; Dagan, R</t>
  </si>
  <si>
    <t>Slopsema, R. L.; Mamalui, M.; Bolling, J.; Flampouri, S.; Yeung, D.; Li, Z.; Rutenberg, M. S.; Dagan, R.</t>
  </si>
  <si>
    <t>Can CT imaging improve targeting accuracy in clip-based proton therapy of ocular melanoma?</t>
  </si>
  <si>
    <t>proton therapy; uveal melanoma; CT imaging; eye treatments; choroidal melanoma</t>
  </si>
  <si>
    <t>EYE</t>
  </si>
  <si>
    <t>To evaluate the benefit of adding CT imaging to the simulation process of clip-based proton therapy of ocular melanomas. For thirty ocular melanoma cases, the clip position in the eye model was determined based on orthogonal radiographs as well as on a CT image set. The geometrical shift of the clips between the standard simulation process and standard simulation process with addition of CT imaging (CTguided) was determined. The dosimetric impact was evaluated by developing treatment plans based on both the standard-process model and the CT-guided model. In 40% of the studied cases, the difference in clip position between eye models created with and without CT was less than 0.5 mm. This difference was more than 1 mm in 17% of cases. The dosimetric impact of shifts below 1 mm was low because these shifts did not exceed the planning margins. For the four cases with a shift of more than 1 mm a reduction in target coverage (Delta V99%) of -3% to -6% was observed. Changes in macula and optic-disc mean dose of up to 16% and 35% of the prescribed dose were seen when these structures abutted the target. Adding CT imaging to the simulation process is beneficial in select cases where discrepancies between the eye model and ophthalmology measurements occur or where a critical structure is located close to the target and improved localization accuracy is wanted. For the majority of patients, addition of CT imaging does not result in quantifiable changes in dosimetry. Nevertheless, CT imaging is a valuable tool in the quality control of the modeling and treatment-planning process of clip-based eye treatments.</t>
  </si>
  <si>
    <t>[Slopsema, R. L.; Mamalui, M.; Flampouri, S.; Yeung, D.; Li, Z.; Rutenberg, M. S.; Dagan, R.] Univ Florida, Hlth Proton Therapy Inst, 2015 North Jefferson St, Jacksonville, FL 32206 USA; [Bolling, J.] Mayo Sch Med, Dept Ophthalmol, 4500 San Pablo Rd, Jacksonville, FL 32224 USA</t>
  </si>
  <si>
    <t>State University System of Florida; University of Florida; Mayo Clinic</t>
  </si>
  <si>
    <t>Slopsema, RL (通訊作者)， Univ Florida, Hlth Proton Therapy Inst, 2015 North Jefferson St, Jacksonville, FL 32206 USA.</t>
  </si>
  <si>
    <t>roelf.slopsema@gmail.com</t>
  </si>
  <si>
    <t>Rutenberg, Michael/B-1882-2019</t>
  </si>
  <si>
    <t>10.1088/1361-6560/aaf9c9</t>
  </si>
  <si>
    <t>WOS:000456840500009</t>
  </si>
  <si>
    <t>Gjesteby, L; Shan, HM; Yang, QS; Xi, Y; Jin, YN; Giantsoudi, D; Paganetti, H; De Man, B; Wang, G</t>
  </si>
  <si>
    <t>Gjesteby, Lars; Shan, Hongming; Yang, Qingsong; Xi, Yan; Jin, Yannan; Giantsoudi, Drosoula; Paganetti, Harald; De Man, Bruno; Wang, Ge</t>
  </si>
  <si>
    <t>A dual-stream deep convolutional network for reducing metal streak artifacts in CT images</t>
  </si>
  <si>
    <t>x-ray computed tomography; machine learning; metal artifact reduction; proton therapy; deep learning</t>
  </si>
  <si>
    <t>LOW-DOSE CT; COMPUTED-TOMOGRAPHY; REDUCTION; RECONSTRUCTION; PROJECTIONS</t>
  </si>
  <si>
    <t>Machine learning and deep learning are rapidly finding applications in the medical imaging field. In this paper, we address the long-standing problem of metal artifacts in computed tomography (CT) images by training a dual-stream deep convolutional neural network for streak removal. While many metal artifact reduction methods exist, even state-of-the-art algorithms fall short in some clinical applications. Specifically, proton therapy planning requires high image quality with accurate tumor volumes to ensure treatment success. We explore a dual-stream deep network structure with residual learning to correct metal streak artifacts after a first-pass by a state-of-the-art interpolation-based algorithm, NMAR. We provide the network with a mask of the streaks in order to focus attention on those areas. Our experiments compare a mean squared error loss function with a perceptual loss function to emphasize preservation of image features and texture. Both visual and quantitative metrics are used to assess the resulting image quality for metal implant cases. Success may be due to the duality of information processing, with one network stream performing local structure correction, while the other stream provides an attention mechanism to destreak effectively. This study shows that image-domain deep learning can be highly effective for metal artifact reduction (MAR), and highlights the benefits and drawbacks of different loss functions for solving a major CT reconstruction challenge.</t>
  </si>
  <si>
    <t>[Gjesteby, Lars; Shan, Hongming; Yang, Qingsong; Xi, Yan; Wang, Ge] Rensselaer Polytech Inst, Dept Biomed Engn, Biomed Imaging Ctr, Troy, NY 12180 USA; [Jin, Yannan; De Man, Bruno] Gen Elect Global Res Ctr, Niskayuna, NY 12309 USA; [Giantsoudi, Drosoula; Paganetti, Harald] Massachusetts Gen Hosp, Dept Radiat Oncol, Boston, MA 02114 USA; [Giantsoudi, Drosoula; Paganetti, Harald] Harvard Med Sch, Boston, MA 02114 USA</t>
  </si>
  <si>
    <t>Rensselaer Polytechnic Institute; General Electric; Harvard University; Harvard University Medical Affiliates; Massachusetts General Hospital; Harvard University; Harvard Medical School</t>
  </si>
  <si>
    <t>Wang, G (通訊作者)， Rensselaer Polytech Inst, Dept Biomed Engn, Biomed Imaging Ctr, Troy, NY 12180 USA.</t>
  </si>
  <si>
    <t>ge-wang@ieee.org</t>
  </si>
  <si>
    <t>; Shan, Hongming/AAG-3878-2019; Wang, Ge/AAH-8592-2020</t>
  </si>
  <si>
    <t>Wang, Ge/0000-0002-2656-7705; Shan, Hongming/0000-0002-0604-3197; De Man, Bruno/0000-0001-7250-3406</t>
  </si>
  <si>
    <t>10.1088/1361-6560/ab4e3e</t>
  </si>
  <si>
    <t>JR0XB</t>
  </si>
  <si>
    <t>WOS:000499357800001</t>
  </si>
  <si>
    <t>Nielsen, JS; Edmund, JM; Van Leemput, K</t>
  </si>
  <si>
    <t>Nielsen, Jonathan Scharff; Edmund, Jens Morgenthaler; Van Leemput, Koen</t>
  </si>
  <si>
    <t>Magnetic resonance-based computed tomography metal artifact reduction using Bayesian modelling</t>
  </si>
  <si>
    <t>computed tomography metal artifact reduction; medical imaging; Bayesian modelling; medical image analysis; radiotherapy; expectation-maximization</t>
  </si>
  <si>
    <t>MRI-ONLY RADIOTHERAPY; ITERATIVE RECONSTRUCTION; PSEUDO-CT; ATTENUATION CORRECTION; MAXIMUM-LIKELIHOOD; ALGORITHM; GENERATION; IMPACT; RANGE; HEAD</t>
  </si>
  <si>
    <t>Metal artifact reduction (MAR) algorithms reduce the errors caused by metal implants in x-ray computed tomography (CT) images and are an important part of error management in radiotherapy. A promising MAR approach is to leverage the information in magnetic resonance (MR) images that can be acquired for organ or tumor delineation. This is however complicated by the ambiguous relationship between CT values and conventional-sequence MR intensities as well as potential co-registration issues. In order to address these issues, this paper proposes a self-tuning Bayesian model for MR-based MAR that combines knowledge of the MR image intensities in local spatial neighborhoods with the information in an initial, corrupted CT reconstructed using filtered back projection. We demonstrate the potential of the resulting model in three widely-used MAR scenarios: image inpainting, sinogram inpainting and model-based iterative reconstruction. Compared to conventional alternatives in a retrospective study on nine head-and-neck patients with CT and T1-weighted MR scans, we find improvements in terms of image quality and quantitative CT value accuracy within each scenario. We conclude that the proposed model provides a versatile way to use the anatomical information in a co-acquired MR scan to boost the performance of MAR algorithms.</t>
  </si>
  <si>
    <t>[Nielsen, Jonathan Scharff; Van Leemput, Koen] Tech Univ Denmark, Dept Hlth Technol, DK-2820 Lyngby, Denmark; [Nielsen, Jonathan Scharff; Edmund, Jens Morgenthaler] Univ Copenhagen, Gentofte &amp; Herlev Hosp, Dept Oncol, Radiotherapy Res Unit, DK-2730 Herlev, Denmark; [Edmund, Jens Morgenthaler] Univ Copenhagen, Niels Bohr Inst, DK-2100 Copenhagen, Denmark; [Van Leemput, Koen] Harvard Med Sch, Martinos Ctr Biomed Imaging, Massachusetts Gen Hosp, Dept Radiol, Boston, MA 02114 USA</t>
  </si>
  <si>
    <t>Technical University of Denmark; University of Copenhagen; University of Copenhagen; Niels Bohr Institute; Harvard University; Harvard University Medical Affiliates; Massachusetts General Hospital; Harvard Medical School</t>
  </si>
  <si>
    <t>Nielsen, JS (通訊作者)， Tech Univ Denmark, Dept Hlth Technol, DK-2820 Lyngby, Denmark.;Nielsen, JS (通訊作者)， Univ Copenhagen, Gentofte &amp; Herlev Hosp, Dept Oncol, Radiotherapy Res Unit, DK-2730 Herlev, Denmark.</t>
  </si>
  <si>
    <t>jonathanscharff2@gmail.com</t>
  </si>
  <si>
    <t>; Nielsen, Jonathan Scharff/JRY-3608-2023; Van Leemput, Koen/A-9197-2009</t>
  </si>
  <si>
    <t>Nielsen, Jonathan Scharff/0000-0001-9884-9886; Van Leemput, Koen/0000-0001-6466-5309</t>
  </si>
  <si>
    <t>European Union's Horizon 2020 research and innovation programme under the Marie Sklodowska-Curie Grant [765148]; Danish Council for Independent Research [DFF-6111-00291]; NIH National Institute on Aging [R21AG050122]; Danish Centre for Particle Therapy (KB Grant) [R125-A7753]; Herlev and Gentofte Hospital Research Council</t>
  </si>
  <si>
    <t>European Union's Horizon 2020 research and innovation programme under the Marie Sklodowska-Curie Grant(Marie Curie Actions); Danish Council for Independent Research(Det Frie Forskningsrad (DFF)); NIH National Institute on Aging(United States Department of Health &amp; Human ServicesNational Institutes of Health (NIH) - USANIH National Institute on Aging (NIA)); Danish Centre for Particle Therapy (KB Grant); Herlev and Gentofte Hospital Research Council</t>
  </si>
  <si>
    <t>This project has received funding from the European Union's Horizon 2020 research and innovation programme under the Marie Sklodowska-Curie Grant agreement No 765148, the Danish Council for Independent Research under Grant No. DFF-6111-00291, the NIH National Institute on Aging under Grant No. R21AG050122, the Danish Centre for Particle Therapy (KB Grant R125-A7753) and Herlev and Gentofte Hospital Research Council.</t>
  </si>
  <si>
    <t>10.1088/1361-6560/ab5b70</t>
  </si>
  <si>
    <t>WOS:000513009900012</t>
  </si>
  <si>
    <t>Bauer, J; Tessonnier, T; Debus, J; Parodi, K</t>
  </si>
  <si>
    <t>Bauer, J.; Tessonnier, T.; Debus, J.; Parodi, K.</t>
  </si>
  <si>
    <t>Offline imaging of positron emitters induced by therapeutic helium, carbon and oxygen ion beams with a full-ring PET/CT scanner: experiments in reference targets</t>
  </si>
  <si>
    <t>offline PET; ion therapy; in vivo treatment verification; positron emitter yield</t>
  </si>
  <si>
    <t>CLINICAL-APPLICATION; EMISSION-TOMOGRAPHY; RANGE VERIFICATION; PROTON THERAPY; IMPLEMENTATION; SIMULATIONS; IRRADIATION; NUCLEI; O-16; C-12</t>
  </si>
  <si>
    <t>In vivo verification of light ion therapy based on positron-emission tomography (PET) imaging of irradiation induced patient activation relies on activity predictions from Monte-Carlo (MC) or analytical computational engines for comparison to the measurements. In order to achieve the necessary accuracy, experimental data are indispensable for the validation of the calculation models. For this we irradiated thick reference targets with mono-energetic helium, carbon and oxygen ion beams and measured the resulting material activation offline with a commercial full-ring PET/CT scanner located nearby the treatment room. Acquired PET data were analysed over time to separate the activity contribution of different radionuclides. Determined production yields were compared to published findings obtained from in-beam activation measurements with a limited-angle double-head PET camera. In addition, we investigated the time-dependence of the measured radionuclide-specific contributions and of the distal activity range, as well as the lateral spread of the activity signal as a function of beam penetration depth. We present radionuclide-specific depth-resolved activity distributions and production yields for the radionuclides , and , dominating irradiation-induced patient activation. We observe systematically lower production yields with a ratio between the dual-head and our full-ring PET measurements of, on average, 1.7 and 1.3 for the oxygen and carbon beam irradiations, and 1.7 (2.1) for the high (low) energy helium beam irradiations. Findings on the temporal development of the activity range confirm the expectation, with the oxygen beam induced signal being the most sensitive scenario. The experimental data reported in this work, acquired with a state-of-the-art full ring PET scanner, provide a comprehensive and consistent basis for the benchmarking of PET signal calculation engines. In particular, they can support a fine-tuning of the underlying physics models used by the respective implementation and therefore improve the accuracy of PET-based therapy verifications at current and future treatment facilities.</t>
  </si>
  <si>
    <t>[Bauer, J.; Tessonnier, T.; Debus, J.; Parodi, K.] Univ Hosp, Heidelberg Ion Beam Therapy Ctr HIT, Dept Radiat Oncol, Heidelberg, Germany; [Bauer, J.; Debus, J.] HIRO, Natl Ctr Radiat Res Oncol NCRO, Heidelberg, Germany; [Tessonnier, T.] Ctr Francois Baclesse, Radiat Oncol Med Phys Dept, Caen, France; [Parodi, K.] Ludwig Maximilians Univ Munchen, Dept Med Phys, Munich, Germany</t>
  </si>
  <si>
    <t>Ruprecht Karls University Heidelberg; UNICANCER; Centre Francois Baclesse; University of Munich</t>
  </si>
  <si>
    <t>Bauer, J (通訊作者)， Univ Hosp, Heidelberg Ion Beam Therapy Ctr HIT, Dept Radiat Oncol, Heidelberg, Germany.;Bauer, J (通訊作者)， HIRO, Natl Ctr Radiat Res Oncol NCRO, Heidelberg, Germany.</t>
  </si>
  <si>
    <t>julia.bauer@med.uni-heidelberg.de</t>
  </si>
  <si>
    <t>; Bauer, Julia/AGG-5334-2022</t>
  </si>
  <si>
    <t>Bauer, Julia/0000-0002-7944-3757;</t>
  </si>
  <si>
    <t>German Federal Ministry for Research and Education [01IB08002F, 01IB13001G]; German Research Foundation (DFG) [KFO214]</t>
  </si>
  <si>
    <t>German Federal Ministry for Research and Education(Federal Ministry of Education &amp; Research (BMBF)); German Research Foundation (DFG)(German Research Foundation (DFG))</t>
  </si>
  <si>
    <t>The authors would like to thank W Chen and C Gianoli for their assistance with the helium ion beam irradiations, and S Brons for his helpful support and technical advice concerning the conduction of the experiments and the discussion of the dose calibration. JB acknowledges funding from the German Federal Ministry for Research and Education (Grant agreement No. 01IB08002F and 01IB13001G), TT from the German Research Foundation (DFG, Grant agreement No. KFO214).</t>
  </si>
  <si>
    <t>10.1088/1361-6560/ab48b4</t>
  </si>
  <si>
    <t>JR0WM</t>
  </si>
  <si>
    <t>WOS:000499356300001</t>
  </si>
  <si>
    <t>Ehrhardt, MJ; Markiewicz, P; Schönlieb, CB</t>
  </si>
  <si>
    <t>Ehrhardt, Matthias J.; Markiewicz, Pawel; Schonlieb, Carola-Bibiane</t>
  </si>
  <si>
    <t>Faster PET reconstruction with non-smooth priors by randomization and preconditioning</t>
  </si>
  <si>
    <t>positron emission tomography; convex optimization; randomized optimization; non-smooth optimization; total variation; anatomical priors</t>
  </si>
  <si>
    <t>RAY CT RECONSTRUCTION; IMAGE-RECONSTRUCTION; COMPUTED-TOMOGRAPHY; CONVEX-OPTIMIZATION; ORDERED SUBSETS; ALGORITHM; PENALTIES; FRAMEWORK</t>
  </si>
  <si>
    <t>Uncompressed clinical data from modern positron emission tomography (PET) scanners are very large, exceeding 350 million data points (projection bins). The last decades have seen tremendous advancements in mathematical imaging tools many of which lead to non-smooth (i.e. non-differentiable) optimization problems which are much harder to solve than smooth optimization problems. Most of these tools have not been translated to clinical PET data, as the state-of-the-art algorithms for non-smooth problems do not scale well to large data. In this work, inspired by big data machine learning applications, we use advanced randomized optimization algorithms to solve the PET reconstruction problem for a very large class of non-smooth priors which includes for example total variation, total generalized variation, directional total variation and various different physical constraints. The proposed algorithm randomly uses subsets of the data and only updates the variables associated with these. While this idea often leads to divergent algorithms, we show that the proposed algorithm does indeed converge for any proper subset selection. Numerically, we show on real PET data (FDG and florbetapir) from a Siemens Biograph mMR that about ten projections and backprojections are sufficient to solve the MAP optimisation problem related to many popular non-smooth priors; thus showing that the proposed algorithm is fast enough to bring these models into routine clinical practice.</t>
  </si>
  <si>
    <t>[Ehrhardt, Matthias J.] Univ Bath, Inst Math Innovat, Bath BA2 7JU, Avon, England; [Markiewicz, Pawel] UCL, Ctr Med Image Comp, London WC1E 6BT, England; [Schonlieb, Carola-Bibiane] Univ Cambridge, Dept Appl Math &amp; Theoret Phys, Cambridge CB3 0WA, England</t>
  </si>
  <si>
    <t>University of Bath; University of London; University College London; University of Cambridge</t>
  </si>
  <si>
    <t>Ehrhardt, MJ (通訊作者)， Univ Bath, Inst Math Innovat, Bath BA2 7JU, Avon, England.</t>
  </si>
  <si>
    <t>m.ehrhardt@bath.ac.uk</t>
  </si>
  <si>
    <t>Ehrhardt, Matthias/I-1670-2019</t>
  </si>
  <si>
    <t>Ehrhardt, Matthias/0000-0001-8523-353X; Schonlieb, Carola-Bibiane/0000-0003-0099-6306</t>
  </si>
  <si>
    <t>Leverhulme Trust project 'Breaking the non-convexity barrier'; EPSRC [EP/M00483X/1, EP/N014588/1, EP/M020533/1]; Cantab Capital Institute for the Mathematics of Information; CHiPS (Horizon 2020 RISE project grant); NoMADS (Horizon 2020 RISE project grant); Alan Turing Institute; EPSRC [EP/N014588/1, EP/M00483X/1, EP/M020533/1] Funding Source: UKRI; Engineering and Physical Sciences Research Council [EP/N014588/1, EP/M00483X/1, EP/M020533/1] Funding Source: researchfish</t>
  </si>
  <si>
    <t>Leverhulme Trust project 'Breaking the non-convexity barrier'(Leverhulme Trust); EPSRC(UK Research &amp; Innovation (UKRI)Engineering &amp; Physical Sciences Research Council (EPSRC)); Cantab Capital Institute for the Mathematics of Information; CHiPS (Horizon 2020 RISE project grant); NoMADS (Horizon 2020 RISE project grant); Alan Turing Institute; EPSRC(UK Research &amp; Innovation (UKRI)Engineering &amp; Physical Sciences Research Council (EPSRC)); Engineering and Physical Sciences Research Council(UK Research &amp; Innovation (UKRI)Engineering &amp; Physical Sciences Research Council (EPSRC))</t>
  </si>
  <si>
    <t>MJE and C-BS acknowledge support from Leverhulme Trust project 'Breaking the non-convexity barrier', EPSRC Grant 'EP/M00483X/1', EPSRC centre 'EP/N014588/1', the Cantab Capital Institute for the Mathematics of Information, and from CHiPS and NoMADS (Horizon 2020 RISE project grants). In addition, MJE acknowledges support from the EPSRC platform Grant 'EP/M020533/1'. Moreover, C-BS is thankful for support by the Alan Turing Institute. In addition, all authors gratefully acknowledge the hardware donation by the NVIDIA Corporation.</t>
  </si>
  <si>
    <t>10.1088/1361-6560/ab3d07</t>
  </si>
  <si>
    <t>JR0WP</t>
  </si>
  <si>
    <t>Green Published, hybrid, Green Submitted</t>
  </si>
  <si>
    <t>WOS:000499356600001</t>
  </si>
  <si>
    <t>Jain, S; Yoon, SW; Zhang, XF; Adamson, J; Floyd, S; Oldham, M</t>
  </si>
  <si>
    <t>Jain, Sagarika; Yoon, Suk W.; Zhang, Xiaofeng; Adamson, Justus; Floyd, Scott; Oldham, Mark</t>
  </si>
  <si>
    <t>Evaluation of UVA emission from x-ray megavoltage-irradiated tissues and phantoms</t>
  </si>
  <si>
    <t>Cherenkov; radiation therapy; UVA imaging; RECA; psoralen</t>
  </si>
  <si>
    <t>PSORALEN PHOTOBIOLOGY; PHOTOCHEMOTHERAPY; THERAPY; CELLS</t>
  </si>
  <si>
    <t>RECA (Radiotherapy enhanced with Cherenkov photo-activation) is a proposed treatment where the anti-cancer drug psoralen is photo-activated in situ by UVA (Ultraviolet A, 320?400?nm) Cherenkov light (CL) produced directly by the treatment beam itself. In this study, we develop a UVA-imaging technique to quantify relative UVA CL produced by bulk tissues and other phantoms upon clinical x-ray megavoltage irradiation. UVA CL emission (320?400?nm) was quantified in tissue samples of porcine and poultry and in two kinds of solid waters (SW): brown (Virtual Waters, Standard Imaging, WI) and white (Diagnostic Therapy, CIRS, VA), and in 1% agarose gels variously doped with absorbing dye. Quantification was achieved through cumulative imaging of the samples placed in a dark, light-blocking chamber during irradiation on a Varian 21 EX accelerator. UVA imaging required a specialized high-sensitivity cooled camera equipped with UVA lenses and a filter. At 15 MV, white SW emitted , and less UVA than chicken breast, pork loin and pork belly, respectively. Similar under-response was observed at 6 MV. Brown SW had less UVA emission than white SW at 15 MV, and negligible emission at 6 MV. Agarose samples (1% by weight) doped with 250 ppm India ink exhibited equivalent UVA CL emission to chicken breast (within 8%). The results confirm that for the same absorbed dose, SW emits less UVA light than the tissue samples, indicating that prior in vitro studies utilizing SW as the CL-generating source may have underestimated the RECA therapeutic effect. Agarose doped with 250 ppm India ink is a convenient tissue-equivalent phantom for further work.</t>
  </si>
  <si>
    <t>[Jain, Sagarika; Yoon, Suk W.] Duke Univ, Med Phys Grad Program, Durham, NC 27710 USA; [Zhang, Xiaofeng] Duke Univ, Med Ctr Radiol, Durham, NC USA; [Adamson, Justus; Floyd, Scott; Oldham, Mark] Duke Univ, Med Ctr Radiat Oncol, Durham, NC USA</t>
  </si>
  <si>
    <t>Duke University; Duke University; Duke University</t>
  </si>
  <si>
    <t>Jain, S (通訊作者)， Duke Univ, Med Phys Grad Program, Durham, NC 27710 USA.</t>
  </si>
  <si>
    <t>sj238@duke.edu</t>
  </si>
  <si>
    <t>; Adamson, Justus/AAM-5335-2021</t>
  </si>
  <si>
    <t>Yoon, Suk Whan Paul/0000-0002-0313-8131; floyd, scott/0000-0002-8067-2426</t>
  </si>
  <si>
    <t>NCI NIH HHS [P30 CA014236] Funding Source: Medline</t>
  </si>
  <si>
    <t>NCI NIH HHS(United States Department of Health &amp; Human ServicesNational Institutes of Health (NIH) - USANIH National Cancer Institute (NCI))</t>
  </si>
  <si>
    <t>10.1088/1361-6560/ab4333</t>
  </si>
  <si>
    <t>JT2GH</t>
  </si>
  <si>
    <t>WOS:000500813700001</t>
  </si>
  <si>
    <t>Roberts, NF; Williams, M; Holloway, L; Metcalfe, P; Oborn, BM</t>
  </si>
  <si>
    <t>Roberts, Natalia F.; Williams, Matthew; Holloway, Lois; Metcalfe, Peter; Oborn, Bradley M.</t>
  </si>
  <si>
    <t>4D Monte Carlo dose calculations for pre-treatment quality assurance of VMAT SBRT: a phantom-based feasibility study</t>
  </si>
  <si>
    <t>4D dose calculation; Monte Carlo; dynamic thorax phantom; VMAT SBRT</t>
  </si>
  <si>
    <t>STEREOTACTIC BODY RADIOTHERAPY; MODULATED ARC THERAPY; RADIOCHROMIC FILM DOSIMETRY; TIME TUMOR TRACKING; RESPIRATORY MOTION; RADIATION-THERAPY; LUNG; IMPACT; COMPENSATION; SIMULATION</t>
  </si>
  <si>
    <t>Volumetric arc therapy (VMAT) for lung stereotactic body radiotherapy (SBRT) is challenging due to both breathing-induced motion and the dynamic components of the linear accelerator. In this study, a 4D Monte Carlo (4DMC) dose calculation method for VMAT SBRT is proposed and the feasibility of the method is evaluated. A rigidly-moving lung phantom was imaged using four dimensional computed tomography (4DCT). VMAT SBRT plans were generated on the average intensity projection dataset using the internal target volume (ITV) strategy (ITV-plan) and a single phase to simulate a dynamic treatment-couch tracking technique (TRACKING-plan). 4DMC simulations were performed and compared to 3D Monte Carlo (3DMC) and 3D- and 4D- calculations in the treatment planning system using the adaptive convolution (AC) algorithm. Dose metrics calculated for the ITV-plan showed an overestimation with 3D adaptive convolution (3DAC) for D (GTV) by 3.5% and by 2.0% for 3DMC, both compared to 4DMC. The TRACKING-plan D (GTV) calculated with the 3DAC method overestimated by 2.0% compared with 4DMC. Deviations between the calculation methods for D-mean (Lung) and D (PTV) were minimal. For both plans, measurements were taken with EBT3 film inside the phantom tumour. EBT3 film profiles showed good agreement with 4DMC for the TRACKING-plan giving a gamma pass rate of 97.2% for 3%/3?mm global and for 3DAC compared with measured, 95.8%. Whereas for the ITV-plan, the 3D profiles varied from film in the ITV periphery region with a pass rates of 50% and 48.6% for 3DAC and 3DMC, respectively. 4DMC agreed more closely to measurements for this plan with a pass rate of 95.8%. We have proposed an accurate method to perform 4D dose calculations for pre-treatment quality assurance of VMAT SBRT. The method was compared to experimental measurements and for both plans, 4DMC dose agreed with measurements more closely than other evaluated dose calculation methods. This study has demonstrated the feasibility of this 4DMC method.</t>
  </si>
  <si>
    <t>[Roberts, Natalia F.; Holloway, Lois; Metcalfe, Peter; Oborn, Bradley M.] Univ Wollongong, Ctr Med Radiat Phys, Wollongong, NSW, Australia; [Roberts, Natalia F.; Holloway, Lois] Ctr Oncol Educ &amp; Res Translat CONCERT, Wollongong, NSW, Australia; [Roberts, Natalia F.; Holloway, Lois; Metcalfe, Peter] Ingham Inst Appl Med Res, Liverpool, NSW, Australia; [Williams, Matthew; Oborn, Bradley M.] Wollongong Hosp, ICCC, Wollongong, NSW, Australia; [Holloway, Lois] Liverpool &amp; Macarthur Canc Care Centres, Dept Med Phys, Liverpool, NSW, Australia; [Holloway, Lois] Univ New South Wales, South Western Sydney Clin Sch, Liverpool, NSW, Australia; [Holloway, Lois] Univ Sydney, Inst Med Phys, Camperdown, NSW, Australia</t>
  </si>
  <si>
    <t>University of Wollongong; Ingham Institute for Applied Medical Research; Wollongong Hospital; University of New South Wales Sydney; University of Sydney</t>
  </si>
  <si>
    <t>Roberts, NF (通訊作者)， Univ Wollongong, Ctr Med Radiat Phys, Wollongong, NSW, Australia.;Roberts, NF (通訊作者)， Ctr Oncol Educ &amp; Res Translat CONCERT, Wollongong, NSW, Australia.;Roberts, NF (通訊作者)， Ingham Inst Appl Med Res, Liverpool, NSW, Australia.</t>
  </si>
  <si>
    <t>nr593@uowmail.edu.au</t>
  </si>
  <si>
    <t>; Metcalfe, Peter/D-4040-2014</t>
  </si>
  <si>
    <t>Holloway, Lois/0000-0003-4337-2165; Metcalfe, Peter/0000-0002-6820-0055</t>
  </si>
  <si>
    <t>Australian Government Research Training Program Scholarship; Centre for Oncology Education and Research Translation; Cancer Council NSW Grant [APP1128336]</t>
  </si>
  <si>
    <t>Australian Government Research Training Program Scholarship(Australian GovernmentDepartment of Industry, Innovation and Science); Centre for Oncology Education and Research Translation; Cancer Council NSW Grant(Cancer Council New South Wales)</t>
  </si>
  <si>
    <t>The authors would like to thank Dr Jeremy Booth from Royal North Shore Hospital for loaning the SBRT insert of the phantom. The author NR receives scholarship support from the Australian Government Research Training Program Scholarship and the Centre for Oncology Education and Research Translation. The authors PM and BO acknowledge funding from Cancer Council NSW Grant APP1128336.</t>
  </si>
  <si>
    <t>21NT01</t>
  </si>
  <si>
    <t>10.1088/1361-6560/ab3fd0</t>
  </si>
  <si>
    <t>JH7SO</t>
  </si>
  <si>
    <t>WOS:000492968600001</t>
  </si>
  <si>
    <t>Carlino, A; Böhlen, T; Vatnitsky, S; Grevillot, L; Osorio, J; Dreindl, R; Palmans, H; Stock, M; Kragl, G</t>
  </si>
  <si>
    <t>Carlino, A.; Boehlen, T.; Vatnitsky, S.; Grevillot, L.; Osorio, J.; Dreindl, R.; Palmans, H.; Stock, M.; Kragl, G.</t>
  </si>
  <si>
    <t>Commissioning of pencil beam and Monte Carlo dose engines for non-isocentric treatments in scanned proton beam therapy</t>
  </si>
  <si>
    <t>TPS commissioning; proton beam therapy; Monte Carlo algorithm; pencil beam algorithm; non-isocentric treatments</t>
  </si>
  <si>
    <t>SYSTEM; RADIOTHERAPY; IMPLEMENTATION; VERIFICATION; VALIDATION; ALGORITHM; ACCURACY; DELIVERY</t>
  </si>
  <si>
    <t>This work describes the dosimetric commissioning of the treatment planning system (TPS) RayStation v6.1 from RaySearch Laboratories (Stockholm, Sweden) for a synchrotron-based scanned proton beam delivery with isocentric and non-isocentric setups at MedAustron. Focus was on the comparison of the pencil beam (PBv4.1) and Monte Carlo (MCv4.0) calculation algorithms. Commissioning of dose calculations was done first for 1D/2D dose delivery where the performance of the beam model in reproducing dosimetric properties for the delivery of single static pencil beams and mono-energetic layers with multiple spots was evaluated. The commissioning for 3D beam delivery employed test cases with increasing complexity: from box-shaped fields in homogeneous phantoms to the introduction of oblique incidences and inhomogeneities. Dose calculations were compared to the measured data for different air gaps and using beams with and without range shifter (RaShi). Depth-dose curves and spot shape comparisons showed good agreement of the results obtained with PBv4.1 and MCv4.0 algorithms at isocentric setup for open beam configurations (without RaShi). Comparison of transverse dose profiles for lateral heterogeneities at different depths showed better performance of the MCv4.0 algorithm in comparison to the PBv4.1 algorithm. In the case of 3D delivery comparisons of measured and TPS-calculated dose with MCv4.0 algorithm in box-shaped fields in water showed an average agreement within 2%. The results for dose calculations with the PBv4.1 algorithm showed larger deviations for beams with RaShi at all evaluated air gaps (from 64.8 cm to 14.8 cm). Our results suggest that the MCv4.0 algorithm shall be used in clinics for final dose calculation when beams with RaShi are used especially in the presence of large air gaps, inclined patient surface and lateral inhomogeneities. The detailed stepwise methodology implemented for the RayStation commissioning in this work could serve as further guidance for other facilities introducing a new TPS for proton beam therapy.</t>
  </si>
  <si>
    <t>[Carlino, A.; Boehlen, T.; Vatnitsky, S.; Grevillot, L.; Osorio, J.; Dreindl, R.; Palmans, H.; Stock, M.; Kragl, G.] EBG MedAustron GmbH, Marie Curie Str 5, A-2700 Wiener Neustadt, Austria; [Boehlen, T.] PSI, Villigen, Switzerland; [Palmans, H.] Natl Phys Lab, Hampton Rd, Teddington TW11 0LW, Middx, England</t>
  </si>
  <si>
    <t>EBG MedAustron; Swiss Federal Institutes of Technology Domain; Paul Scherrer Institute; National Physical Laboratory - UK</t>
  </si>
  <si>
    <t>Carlino, A (通訊作者)， EBG MedAustron GmbH, Marie Curie Str 5, A-2700 Wiener Neustadt, Austria.</t>
  </si>
  <si>
    <t>antonio.carlino@medaustron.at</t>
  </si>
  <si>
    <t>; Böhlen, Till/AEV-5189-2022; Stock, Markus/I-5881-2012; Palmans, Hugo/AAO-8257-2020; Grevillot, Loic/MBH-9197-2025</t>
  </si>
  <si>
    <t>Grevillot, Loic/0000-0003-3433-9582; Stock, Markus/0000-0001-7510-7759; Palmans, Hugo/0000-0002-0235-5118; Bohlen, Till Tobias/0000-0001-7408-0187;</t>
  </si>
  <si>
    <t>17NT01</t>
  </si>
  <si>
    <t>10.1088/1361-6560/ab3557</t>
  </si>
  <si>
    <t>IT7XX</t>
  </si>
  <si>
    <t>WOS:000483094700001</t>
  </si>
  <si>
    <t>Gomà, C; Sterpin, E</t>
  </si>
  <si>
    <t>Goma, Carles; Sterpin, Edmond</t>
  </si>
  <si>
    <t>Monte Carlo calculation of beam quality correction factors in proton beams using PENH</t>
  </si>
  <si>
    <t>radiation dosimetry; proton therapy; beam quality correction factors; Monte Carlo simulation</t>
  </si>
  <si>
    <t>IONIZATION-CHAMBER DOSIMETRY; MV PHOTON; SIMULATION; PENELOPE; K(Q); CONFIGURATION; CONSISTENCY; ALGORITHM; TRANSPORT</t>
  </si>
  <si>
    <t>This work calculates beam quality correction factors (k(Q)) in both modulated and unmodulated proton beams using the Monte Carlo (MC) code PENH. The latest ICRU 90 recommendations on key data for ionizing-radiation dosimetry were adopted to calculate the electronic stopping powers and to select the mean energy to create an ion pair in dry air (W-air). For modulated proton beams, k(Q) factors were calculated in the middle of a spread-out Bragg peak, while for monoenergetic proton beams they were calculated at the entrance region. Fifteen ionization chambers were simulated. The k(Q) factors calculated in this work were found to agree within 0.8% or better with the experimental data reported in the literature. For some ionization chambers, the simulation of proton nuclear interactions were found to have an effect on the k(Q) factors of up to 1%; while for some others, perturbation factors were found to differ from unity by more than 1%. In addition, the combined standard uncertainty in the MC calculated k(Q) factors in proton beams was estimated to be of the order of 1%. Thus, the results of this work seem to indicate that: (i) the simulation of proton nuclear interactions should be included in the MC calculation of k(Q) factors in proton beams, (ii) perturbation factors in proton beams should not be neglected, and (iii) the detailed MC simulation of ionization chambers allows for an accurate and precise calculation of k(Q) factors in clinical proton beams.</t>
  </si>
  <si>
    <t>[Goma, Carles; Sterpin, Edmond] Katholieke Univ Leuven, Lab Expt Radiotherapy, Dept Oncol, Leuven, Belgium; [Goma, Carles] Hosp Clin Barcelona, Dept Radiat Oncol, Barcelona, Spain; [Sterpin, Edmond] Catholic Univ Louvain, Ctr Mol Imaging Radiotherapy &amp; Oncol, Inst Rech Expt &amp; Clin, Brussels, Belgium</t>
  </si>
  <si>
    <t>KU Leuven; University of Barcelona; Hospital Clinic de Barcelona; Universite Catholique Louvain</t>
  </si>
  <si>
    <t>Gomà, C (通訊作者)， Katholieke Univ Leuven, Lab Expt Radiotherapy, Dept Oncol, Leuven, Belgium.;Gomà, C (通訊作者)， Hosp Clin Barcelona, Dept Radiat Oncol, Barcelona, Spain.</t>
  </si>
  <si>
    <t>goma@clinic.cat</t>
  </si>
  <si>
    <t>; Sterpin, Edmond/H-5021-2011; Sterpin, Edmond/AAS-3795-2021</t>
  </si>
  <si>
    <t>Goma, Carles/0000-0003-0336-390X; Sterpin, Edmond/0000-0001-9764-546X;</t>
  </si>
  <si>
    <t>European Metrology Programme for Innovation and Research (EMPIR) [16NRM03]; European Union; Research Foundation-Flanders (FWO); Flemish Government-department EWI</t>
  </si>
  <si>
    <t>European Metrology Programme for Innovation and Research (EMPIR); European Union(European Union (EU)); Research Foundation-Flanders (FWO)(FWO); Flemish Government-department EWI</t>
  </si>
  <si>
    <t>This work is part of the RTNORM research project, funded by the European Metrology Programme for Innovation and Research (EMPIR), Grant No. 16NRM03, an initiative co-funded by the European Union's Horizon 2020 research and innovation programme and the EMPIR Participating States. The computational resources and services were provided by the VSC (Flemish Supercomputer Center), funded by the Research Foundation-Flanders (FWO) and the Flemish Government-department EWI.</t>
  </si>
  <si>
    <t>10.1088/1361-6560/ab3b94</t>
  </si>
  <si>
    <t>IY4PB</t>
  </si>
  <si>
    <t>Green Accepted, hybrid</t>
  </si>
  <si>
    <t>WOS:000486374400003</t>
  </si>
  <si>
    <t>Pouymayou, B; Balermpas, P; Riesterer, O; Guckenberger, M; Unkelbach, J</t>
  </si>
  <si>
    <t>Pouymayou, Bertrand; Balermpas, Panagiotis; Riesterer, Oliver; Guckenberger, Matthias; Unkelbach, Jan</t>
  </si>
  <si>
    <t>A Bayesian network model of lymphatic tumor progression for personalized elective CTV definition in head and neck cancers</t>
  </si>
  <si>
    <t>CTV; Bayesian network; head and neck cancer; lymph nodes; elective nodal irradiation</t>
  </si>
  <si>
    <t>SQUAMOUS-CELL-CARCINOMA; NORMATIVE EXPERT-SYSTEMS; NODE METASTASES; TARGET VOLUMES; NCIC CTG; RADIOTHERAPY; DELINEATION; OROPHARYNGEAL; HKNPCSG; DAHANCA</t>
  </si>
  <si>
    <t>Many tumors including head and neck squamous cell carcinoma (HNSCC) spread along the lymphatic network. Current imaging modalities can only detect sufficiently large metastases. Therefore, adjacent lymph node levels (LNL) are irradiated electively since they may harbor microscopic tumors. We apply Bayesian Networks (BN) to model lymphatic tumor progression. The model can subsequently be used to personalize the risk estimation of microscopic lymph node metastases in newly diagnosed patients based on their distribution of macroscopic metastases. A BN is a graphical representation of a joint probability distribution. We represent LNLs by binary random variables corresponding to the BN nodes. Each LNL is associated with a hidden microscopic state and an observed macroscopic state (e.g. F-18-FDG-PET/CT imaging). The primary tumor is represented by network input nodes. We demonstrate the concept for early T-stage oropharyngeal carcinomas and their spread to ipsilateral lymph node levels (LNL) Ib to IV. We show that the BN parameters can be efficiently learnt by merging pathology findings on microscopic tumor progression (which is limited to a few published studies) and imaging data on macroscopic tumor progression such as CT and F-18-FDG-PET (which are widely available in clinical practice). The trained network can be used to quantify how the distribution of macroscopic metastases impacts the probability of microscopic involvement of the remaining LNLs. The analysis suggests that the risk of microscopic involvement of level IV exceeds 5% only if level III harbors metastases. Excluding level IV from the elective CTV for other patients would reduce the integral dose delivered to the patient and potentially reduce acute and late side effects.</t>
  </si>
  <si>
    <t>[Pouymayou, Bertrand; Balermpas, Panagiotis; Riesterer, Oliver; Guckenberger, Matthias; Unkelbach, Jan] Univ Spital Zurich, Dept Radiat Oncol, Zurich, Switzerland</t>
  </si>
  <si>
    <t>University of Zurich; University Zurich Hospital</t>
  </si>
  <si>
    <t>Pouymayou, B (通訊作者)， Univ Spital Zurich, Dept Radiat Oncol, Zurich, Switzerland.</t>
  </si>
  <si>
    <t>bertrand.pouymayou@usz.ch</t>
  </si>
  <si>
    <t>; Guckenberger, Matthias/AAX-4994-2020</t>
  </si>
  <si>
    <t>Pouymayou, Bertrand/0000-0002-8060-7827; Balermpas, Panagiotis/0000-0001-5261-6446; Unkelbach, Jan/0000-0002-4275-990X; Guckenberger, Matthias/0000-0002-7146-9071</t>
  </si>
  <si>
    <t>Clinical Research Priority Program of the University of Zurich</t>
  </si>
  <si>
    <t>This work was supported by the Clinical Research Priority Program of the University of Zurich for the 'Artificial Intelligence in Oncological Imaging'.</t>
  </si>
  <si>
    <t>10.1088/1361-6560/ab2a18</t>
  </si>
  <si>
    <t>IS0PD</t>
  </si>
  <si>
    <t>WOS:000481852600003</t>
  </si>
  <si>
    <t>Dolly, SR; Lou, Y; Anastasio, MA; Li, H</t>
  </si>
  <si>
    <t>Dolly, Steven R.; Lou, Yang; Anastasio, Mark A.; Li, Hua</t>
  </si>
  <si>
    <t>Task-based image quality assessment in radiation therapy: initial characterization and demonstration with computer-simulation study</t>
  </si>
  <si>
    <t>task-based image quality assessment; radiation therapy; learning-based stochastic object models; geometric attribute distribution model; therapeutic operating characteristic curve</t>
  </si>
  <si>
    <t>TUMOR-CONTROL PROBABILITY; PROSTATE-CANCER; NORMAL TISSUE; OBJECTIVE ASSESSMENT; OPTIMIZATION; RADIOTHERAPY; TARGET; IMRT; INFORMATION; PARAMETERS</t>
  </si>
  <si>
    <t>In the majority of current radiation therapy (RT) applications, image quality is still assessed subjectively or by utilizing physical measures. A novel theory that applies objective task-based image quality assessment in radiation therapy (IQA-in-RT) was recently proposed, in which the area under the therapeutic operating characteristic curve (AUTOC) was employed as the figure-of-merit (FOM) for evaluating RT effectiveness. Although theoretically more appealing than conventional subjective or physical measures, a comprehensive implementation and evaluation of this novel task-based IQA-in-RT theory is required for its further application in improving clinical RT. In this work, a practical and modular IQA-in-RT framework is presented for implementing this theory for the assessment of imaging components on the basis of RT treatment outcomes. Computer-simulation studies are conducted to demonstrate the feasibility and utility of the proposed IQA-in-RT framework in optimizing x-ray computed tomography (CT) pre-treatment imaging, including the optimization of CT imaging dose and image reconstruction parameters. The potential advantages of optimizing imaging components in the RT workflow by use of the AUTOC as the FOM are also compared against those of other physical measures. The results demonstrate that optimization using the AUTOC leads to selecting different parameters from those indicated by physical measures, potentially improving RT performance. The sources of systemic randomness and bias that affect the determination of the AUTOC are also analyzed. The presented work provides a practical solution for the further investigation and analysis of the task-based IQA-in-RT theory and advances its applications in improving RT clinical practice and cancer patient care.</t>
  </si>
  <si>
    <t>[Dolly, Steven R.] SSM Hlth Canc Care, St Louis, MO USA; [Lou, Yang] Facebook Real Lab, Redmond, WA USA; [Anastasio, Mark A.; Li, Hua] Univ Illinois, Dept BioEngn, Urbana, IL 61820 USA; [Li, Hua] Carle Fdn Hosp, Carle Canc Ctr, Urbana, IL 61801 USA</t>
  </si>
  <si>
    <t>Facebook Inc; University of Illinois System; University of Illinois Urbana-Champaign</t>
  </si>
  <si>
    <t>Anastasio, MA; Li, H (通訊作者)， Univ Illinois, Dept BioEngn, Urbana, IL 61820 USA.;Li, H (通訊作者)， Carle Fdn Hosp, Carle Canc Ctr, Urbana, IL 61801 USA.</t>
  </si>
  <si>
    <t>maa@illinois.edu; huali19@illinois.edu</t>
  </si>
  <si>
    <t>Li, Hua/0000-0002-5629-2247</t>
  </si>
  <si>
    <t>[NIH R01EB020604]; [R01EB023045]; [R01NS102213]; [R21CA223799]</t>
  </si>
  <si>
    <t>; ; ;</t>
  </si>
  <si>
    <t>This work was supported in part by award NIH R01EB020604, R01EB023045, R01NS102213, and R21CA223799.</t>
  </si>
  <si>
    <t>10.1088/1361-6560/ab2dc5</t>
  </si>
  <si>
    <t>IK4AN</t>
  </si>
  <si>
    <t>WOS:000476529600004</t>
  </si>
  <si>
    <t>Lee, BQ; Abbotth, EM; Able, S; Thompson, JM; Hill, MA; Kartsonaki, C; Vallis, KA; Falzone, N</t>
  </si>
  <si>
    <t>Lee, Boon Q.; Abbotth, Elliot M.; Able, Sarah; Thompson, James M.; Hill, Mark A.; Kartsonaki, Christiana; Vallis, Katherine A.; Falzone, Nadia</t>
  </si>
  <si>
    <t>Radiosensitivity of colorectal cancer to 90Y and the radiobiological implications for radioembolisation therapy</t>
  </si>
  <si>
    <t>colorectal cancer; Y-90 SIRT; radioembolisation; radiobiology; dosimetry</t>
  </si>
  <si>
    <t>RELATIVE BIOLOGICAL EFFECTIVENESS; LIVER METASTASES; DOSIMETRY; RADIOEMBOLIZATION; Y-90-MICROSPHERES; RADIOTHERAPY; CELLS</t>
  </si>
  <si>
    <t>Approximately 50% of all colorectal cancer (CRC) patients will develop metastasis to the liver. Y-90 selective internal radiation therapy (SIRT) is an established treatment for metastatic CRC. There is still a fundamental lack of understanding regarding the radiobiology underlying the dose response. This study was designed to determine the radiosensitivity of two CRC cell lines (DLD-1 and HT-29) to Y-90 beta(-) radiation exposure, and thus the relative effectiveness of Y-90 SIRT in relation to external beam radiotherapy (EBRT). A Y-90-source dish was sandwiched between culture dishes to irradiate DLD-1 or HT-29 cells for a period of 6 d. Cell survival was determined by clonogenic assay. Dose absorbed per Y-90 disintegration was calculated using the PENELOPE Monte Carlo code. PENELOPE simulations were benchmarked against relative dose measurements using EBT3 GAFchromic (TM) film. Statistical regression based on the linear-quadratic model was used to determine the radiosensitivity parameters alpha and beta using R. These results were compared to radiosensitivity parameters determined for 6 MV clinical x-rays and Cs-137 gamma-ray exposure. Equivalent dose of EBRT in 2 Gy (EQD2) and 10 Gy (EQD10) fractions were derived for Y-90 dose. HT-29 cells were more radioresistant than DLD-1 for all treatment modalities. Radiosensitivity parameters determined for 6 MV x-rays and Cs-137 gamma-ray were equivalent for both cell lines. The alpha/beta ratio for Y-90 beta(-) -particle exposure was over an order of magnitude higher than the other two modalities due to protraction of dose delivery. Consequently, an Y-90 SIRT absorbed dose of 60 Gy equates to an EQD2 of 28.7 and 54.5 Gy and an EQD 10 of 17.6 and 19.3 Gy for DLD-1 and HT-29 cell lines, respectively. We derived radiosensitivity parameters for two CRC cell lines exposed to Y-90 beta(-) -particles, 6 MV x-rays, and Cs-137 gamma-ray irradiation. These radiobiological parameters are critical to understanding the dose response of CRC lesions and ultimately informs the efficacy of Y-90 SIRT relative to other radiation therapy modalities.</t>
  </si>
  <si>
    <t>[Lee, Boon Q.; Abbotth, Elliot M.; Able, Sarah; Thompson, James M.; Hill, Mark A.; Vallis, Katherine A.; Falzone, Nadia] Univ Oxford, CRUK MRC Oxford Inst Radiat Oncol, Dept Oncol, Oxford, England; [Kartsonaki, Christiana] Univ Oxford, Nuffield Dept Populat Hlth, Oxford, England</t>
  </si>
  <si>
    <t>University of Oxford; University of Oxford</t>
  </si>
  <si>
    <t>Lee, BQ; Falzone, N (通訊作者)， Univ Oxford, CRUK MRC Oxford Inst Radiat Oncol, Dept Oncol, Oxford, England.</t>
  </si>
  <si>
    <t>boon.lee@oncology.ox.ac.uk; nadia.falzone@oncology.ox.ac.uk</t>
  </si>
  <si>
    <t>; Lee, Boon/B-8879-2015; Hill, Mark/V-6041-2019; Abbott, Elliot/H-6844-2019</t>
  </si>
  <si>
    <t>Vallis, Katherine/0000-0003-4672-5683; Able, Sarah/0000-0001-7868-9635; Abbott, Elliot/0000-0002-9317-5728; Hill, Mark Antony/0000-0002-6894-7829;</t>
  </si>
  <si>
    <t>Cancer Research UK (CRUK) [C5255/A15935]; Medical Research Council (MRC) [MC_PC_12004]; MRC [MC_PC_12004, MC_U142760473] Funding Source: UKRI; Cancer Research UK [22906] Funding Source: researchfish; Medical Research Council [MC_U142760473, MC_PC_12004] Funding Source: researchfish</t>
  </si>
  <si>
    <t>Cancer Research UK (CRUK)(Cancer Research UK); Medical Research Council (MRC)(UK Research &amp; Innovation (UKRI)Medical Research Council UK (MRC)); MRC(UK Research &amp; Innovation (UKRI)Medical Research Council UK (MRC)); Cancer Research UK(Cancer Research UK); Medical Research Council(UK Research &amp; Innovation (UKRI)Medical Research Council UK (MRC))</t>
  </si>
  <si>
    <t>This work was supported by grants from Cancer Research UK (CRUK, Grant No. C5255/A15935) and the Medical Research Council (MRC, Grant No. MC_PC_12004).</t>
  </si>
  <si>
    <t>10.1088/1361-6560/ab23c4</t>
  </si>
  <si>
    <t>IH3ML</t>
  </si>
  <si>
    <t>WOS:000474396800004</t>
  </si>
  <si>
    <t>Papaconstadopoulos, P; Levesque, IR; Aldelaijan, S; O'Grady, K; Devic, S; Seuntjens, J</t>
  </si>
  <si>
    <t>Papaconstadopoulos, Pavlos; Levesque, Ives R.; Aldelaijan, Saad; O'Grady, Kyle; Devic, Slobodan; Seuntjens, Jan</t>
  </si>
  <si>
    <t>Modeling the primary source intensity distribution: reconstruction and inter-comparison of six Varian TrueBeam sources</t>
  </si>
  <si>
    <t>beam modeling; Monte Carlo; small fields; image reconstruction; focal spot; primary source</t>
  </si>
  <si>
    <t>FOCAL SPOT SIZE; BEAM; COLLIMATOR; FORMALISM; DOSIMETRY</t>
  </si>
  <si>
    <t>The primary source size is one of the most important beam model parameters in small photon fields. In this work we apply a recently suggested reconstruction technique to characterize the primary source of 6 Varian TrueBeam (TB) linacs. A series of photon fluence profile measurements were performed on 6 Varian TB linacs in the crossplane and inplane orientation using radiochromic film in air and a 2 mm Pb foil as a build-up layer. An image reconstruction algorithm was then applied, based on the maximum likelihood expectation-maximization (MLEM) algorithm, to estimate the source distribution. The method iteratively ray-traces photons from the source plane to the measurement plane to extract source profile corrections. The technique was first benchmarked using a Monte Carlo (MC) model of a Varian TrueBeam with known input Gaussian source sizes. The robustness of the suggested technique was also tested by randomly sampling different combinations of source and field size values and repeating the reconstruction. At the MC benchmarking stage the MLEM reconstruction algorithm was capable of reproducing the Gaussian shape with a RMSE less than 4.0%, while the reconstructed source size (FWHM) and field size were determined with an accuracy level of 0.14 mm and 0.10 mm respectively. Experimentally, the reconstructed TB sources presented FWHM values between 1.02-1.5 mm (1 sigma = 0.04-0.18 mm) and 1.08-1.42 mm (1 sigma = 0.04-0.13 mm) in the crossplane and inplane orientations respectively. All TB sources studied in this work can be considered symmetric within uncertainties with the exception of one. The source distribution presented systematic deviations from a Gaussian distribution mostly in the lower tail region. Multiparameter functional forms, such as Pearson VII or double Gaussian presented improvements in modeling the source in this region, but increase the model complexity. The reconstructed sources measured in this work can serve as reference values for commissioning beam models in small fields and set upper and lower thresholds values of the expected source size for a TB linac.</t>
  </si>
  <si>
    <t>[Papaconstadopoulos, Pavlos; Levesque, Ives R.; Aldelaijan, Saad; Devic, Slobodan; Seuntjens, Jan] McGill Univ, Med Phys Unit, Hlth Ctr, Montreal, PQ, Canada; [Papaconstadopoulos, Pavlos; Levesque, Ives R.; Aldelaijan, Saad; Devic, Slobodan; Seuntjens, Jan] McGill Univ, Res Inst, Hlth Ctr, Montreal, PQ, Canada; [Papaconstadopoulos, Pavlos; Devic, Slobodan] SMBD Jewish Gen Hosp, Dept Radiat Oncol, Montreal, PQ, Canada; [Aldelaijan, Saad] Montreal Neurol Inst, Dept Biomed Engn, Montreal, PQ, Canada; [O'Grady, Kyle] Mem Sloan Kettering Canc Ctr, Dept Radiat Oncol, 1275 York Ave, New York, NY 10021 USA</t>
  </si>
  <si>
    <t>McGill University; McGill University; Jewish General Hospital - Montreal; Memorial Sloan Kettering Cancer Center</t>
  </si>
  <si>
    <t>Papaconstadopoulos, P (通訊作者)， McGill Univ, Med Phys Unit, Hlth Ctr, Montreal, PQ, Canada.;Papaconstadopoulos, P (通訊作者)， McGill Univ, Res Inst, Hlth Ctr, Montreal, PQ, Canada.;Papaconstadopoulos, P (通訊作者)， SMBD Jewish Gen Hosp, Dept Radiat Oncol, Montreal, PQ, Canada.</t>
  </si>
  <si>
    <t>pavpapac@gmail.com</t>
  </si>
  <si>
    <t>Levesque, Ives/AAV-3530-2020; Seuntjens, Jan/KTZ-1481-2024; Aldelaijan, Saad/AAB-4793-2021</t>
  </si>
  <si>
    <t>Aldelaijan, Saad/0000-0002-9085-8988; Levesque, Ives R./0000-0002-0546-1733;</t>
  </si>
  <si>
    <t>10.1088/1361-6560/ab1ccc</t>
  </si>
  <si>
    <t>WOS:000473698800005</t>
  </si>
  <si>
    <t>Kaboutari, K; Tetik, AÖ; Ghalichi, E; Gözü, MS; Zengin, R; Gençer, NG</t>
  </si>
  <si>
    <t>Kaboutari, Keivan; Tetik, Ahmet Onder; Ghalichi, Elyar; Gozu, Mehmet Soner; Zengin, Reyhan; Gencer, Nevzat Guneri</t>
  </si>
  <si>
    <t>Data acquisition system for MAET with magnetic field measurements</t>
  </si>
  <si>
    <t>magneto-acousto-electrical tomography; ultrasound transducer; electrical impedance tomography; Lorentz force electrical impedance tomography</t>
  </si>
  <si>
    <t>ACOUSTO-ELECTRICAL TOMOGRAPHY; INDUCED LORENTZ FORCE; MAGNETOACOUSTIC TOMOGRAPHY; CURRENT-DENSITY; IMPEDANCE; INDUCTION; CONDUCTIVITY; TISSUE; MODELS</t>
  </si>
  <si>
    <t>Magneto-acousto-electrical tomography (MAET) is an imaging modality to image the electrical conductivity of biological tissues. It is based on electrical current induction by using ultrasound under a static magnetic field. The aim of this study is to develop a data acquisition system for MAET based on magnetic field measurements. The static magnetic field is generated by six permanent neodymium magnets. A 16-element linear phased array (LPA) transducer is utilized to generate acoustic pressure waves inside the phantom. To measure the magnetic field intensity generated by the induced currents, contactless receiver sensors are developed using two similar disk multiple layer coils, which are Helmholtz coil sensor. Physical properties and electrical characteristics of the sensors are assessed. A two-stage cascaded amplifier is designed and utilized in the receiving system. The gain of the cascaded amplifier at 1 MHz is adjusted to be 96 dB. Experimental studies are conducted with two different phantoms, having 3 S m(-1) and 58 S m(-1) electrical conductivity, respectively. A-scan and B-scan images of phantoms are obtained with the LPA transducer. Comparison of the ultrasound (A-scan) and MAET signals reveals that 3 S m(-1) conductive inhomogeneity can be detected with this data acquisition system. Furthermore, the front and rear interfaces of an inhomogeneity (15.15 mm x 30 mm x 20 mm) of 58 S m(-1) conductivity are detectable.</t>
  </si>
  <si>
    <t>[Kaboutari, Keivan; Tetik, Ahmet Onder; Ghalichi, Elyar; Gozu, Mehmet Soner; Zengin, Reyhan; Gencer, Nevzat Guneri] Middle East Tech Univ, Dept Elect &amp; Elect Engn, Ankara, Turkey; [Zengin, Reyhan] Inonu Univ, Dept Biomed Engn, Malatya, Turkey</t>
  </si>
  <si>
    <t>Middle East Technical University; Inonu University</t>
  </si>
  <si>
    <t>Gençer, NG (通訊作者)， Middle East Tech Univ, Dept Elect &amp; Elect Engn, Ankara, Turkey.</t>
  </si>
  <si>
    <t>ngencer@metu.edu.tr</t>
  </si>
  <si>
    <t>Gözü, Soner/JZE-5349-2024; Kaboutari, Keivan/Q-6061-2019; Zengin, Reyhan/AAA-6047-2021; Gencer, Nevzat/L-6976-2016</t>
  </si>
  <si>
    <t>Kaboutari, Keivan/0000-0001-7584-0504; Zengin, Reyhan/0000-0001-8631-3339; Gozu, Mehmet Soner/0009-0004-0298-4290</t>
  </si>
  <si>
    <t>Scientific and Technological Research Council of Turkey (TUBITAK) [114E184]; COST Action: European network for innovative uses of EMFs in biomedical applications (EMF-MED) [BM1309]</t>
  </si>
  <si>
    <t>Scientific and Technological Research Council of Turkey (TUBITAK)(Turkiye Bilimsel ve Teknolojik Arastirma Kurumu (TUBITAK)); COST Action: European network for innovative uses of EMFs in biomedical applications (EMF-MED)</t>
  </si>
  <si>
    <t>This work is supported by The Scientific and Technological Research Council of Turkey (TUBITAK) project number 114E184 and COST Action BM1309: European network for innovative uses of EMFs in biomedical applications (EMF-MED). We are grateful for the 3D printing service of RND Medikal Ltd. Sti. We would like to extend our gratitude to METU SFL academic writing center.</t>
  </si>
  <si>
    <t>10.1088/1361-6560/ab1809</t>
  </si>
  <si>
    <t>WOS:000469802000008</t>
  </si>
  <si>
    <t>Kwon, SI; Roncali, E; Gola, A; Paternoster, G; Piemonte, C; Cherry, SR</t>
  </si>
  <si>
    <t>Kwon, Sun Il; Roncali, Emilie; Gola, Alberto; Paternoster, Giovanni; Piemonte, Claudio; Cherry, Simon R.</t>
  </si>
  <si>
    <t>Dual-ended readout of bismuth germanate to improve timing resolution in time-of-flight PET</t>
  </si>
  <si>
    <t>positron emission tomography (PET); bismuth germanate (BGO); silicon photomultipliers (SiPM); time-of-flight (TOF); Cerenkov (Cherenkov); timing resolution; depth-of-interaction (DOI)</t>
  </si>
  <si>
    <t>DETECTORS; BGO</t>
  </si>
  <si>
    <t>The scintillator bismuth germanate (BGO) has attractive properties for positron emission tomography (PET) systems such as high stopping power, high photo-fraction, and relatively low cost. However, its moderate scintillation light yield and slow rise and decay time compared to lutetium (yttrium) oxyorthosilicate (L(Y)SO) results in a degradation of coincidence timing resolution when scintillation photons are used for timing. Recently, it has been reported that the coincidence timing resolution of BGO can be improved by detecting Cerenkov photons, while scintillation photons still provide energy information. However, the measured coincidence timing spectrum showed much longer tails compared to the single Gaussian distribution. Because of this, TOF PET detectors based on BGO will perform worse than the full width at half maximum (FWHM) of the distribution, which is the most common metric for timing resolution, would suggest. From simulation studies, during the first few picoseconds, BGO generates similar to 16 Cerenkov photons per photoelectric interaction, following a 511 keV gamma ray interaction, while the probability of producing a scintillation photon during the first few picoseconds is very small. Therefore, when we configure a BGO crystal with dual-ended readout, the first arriving photons among the two opposing SiPMs are most likely Cerenkov photons, and by selecting the appropriate SiPM, an improvement in coincidence timing resolution can be achieved. In this study, both ends of a 3 x 3 x 20 mm(3) BGO crystal were coupled to NUV-HD SiPMs. Trigger time differences from the dual-ended readout of BGO were widely distributed due to detecting a mixture of prompt Cerenkov and scintillation photons on both SiPMs. When using trigger times from only a single SiPM, the estimated coincidence timing resolution between two identical BGO detectors was 463 ps FWHM and 1463 ps FWTM. In contrast, when using trigger times from both SiPMs, the estimated coincidence timing resolution was 399 ps FWHM and 936 ps FWTM with no loss of events. Based on a recent report, high-bandwidth amplifiers were implemented and shown to further improve the estimated coincidence timing resolution to 331 ps FWHM and 923 ps FWTM. In summary, the coincidence timing resolution of BGO, most notably the FWTM, was significantly improved using time information from the dual-ended readout.</t>
  </si>
  <si>
    <t>[Kwon, Sun Il; Roncali, Emilie; Cherry, Simon R.] Univ Calif Davis, Dept Biomed Engn, Davis, CA 95616 USA; [Gola, Alberto; Paternoster, Giovanni; Piemonte, Claudio] Fdn Bruno Kessler, Trento, Italy</t>
  </si>
  <si>
    <t>University of California System; University of California Davis; Fondazione Bruno Kessler</t>
  </si>
  <si>
    <t>Kwon, SI (通訊作者)， Univ Calif Davis, Dept Biomed Engn, Davis, CA 95616 USA.</t>
  </si>
  <si>
    <t>sunkwon@ucdavis.edu</t>
  </si>
  <si>
    <t>Roncali, Emilie/AAP-9701-2020; Paternoster, Giovanni/AAS-8228-2020; Cherry, Simon/IAN-7507-2023; Kwon, Sun Il/B-3854-2019; KWON, SUN/B-3854-2019</t>
  </si>
  <si>
    <t>Paternoster, Giovanni/0000-0001-5744-0195; Kwon, Sun Il/0000-0002-1810-2123;</t>
  </si>
  <si>
    <t>NIH National Cancer Institute [R35 CA197608]; UC Davis Academic Federation Innovative Development Award</t>
  </si>
  <si>
    <t>NIH National Cancer Institute(United States Department of Health &amp; Human ServicesNational Institutes of Health (NIH) - USANIH National Cancer Institute (NCI)); UC Davis Academic Federation Innovative Development Award</t>
  </si>
  <si>
    <t>This work was funded in part by NIH National Cancer Institute R35 CA197608 and a UC Davis Academic Federation Innovative Development Award. The authors want to thank Steven Lucero for useful discussions. We also thank Radiation Monitoring Devices for measuring the emission spectrum of BGO. Claudio Piemonte now works for Broadcom Inc., Regensburg, Germany.</t>
  </si>
  <si>
    <t>10.1088/1361-6560/ab18da</t>
  </si>
  <si>
    <t>HX9BU</t>
  </si>
  <si>
    <t>WOS:000467702500002</t>
  </si>
  <si>
    <t>Shi, MY; Myronakis, M; Hu, YH; Jacobson, M; Lehmann, M; Fueglistaller, R; Huber, P; Baturin, P; Wang, A; Ferguson, D; Harris, T; Morf, D; Berbeco, R</t>
  </si>
  <si>
    <t>Shi, Mengying; Myronakis, Marios; Hu, Yue-Houng; Jacobson, Matthew; Lehmann, Mathias; Fueglistaller, Rony; Huber, Pascal; Baturin, Paul; Wang, Adam; Ferguson, Dianne; Harris, Thomas; Morf, Daniel; Berbeco, Ross</t>
  </si>
  <si>
    <t>A novel method for fast image simulation of flat panel detectors</t>
  </si>
  <si>
    <t>EPID; Monte Carlo simulation; fast simulation; beam's-eye-view; CBCT</t>
  </si>
  <si>
    <t>QUANTUM EFFICIENCY DETECTORS; MEGAVOLTAGE; SCINTILLATORS; THICK</t>
  </si>
  <si>
    <t>We have developed a novel method for fast image simulation of flat panel detectors, based on the photon energy deposition efficiency and the optical spread function (OSF). The proposed method, FastEPID, determines the photon detection using photon energy deposition and replaces particle transport within the detector with precalculated OSFs. The FastEPID results are validated against experimental measurement and conventional Monte Carlo simulation in terms of modulation transfer function (MTF), signal-to-noise ratio (SNR), contrast-to-noise ratio (CNR), contrast, and relative difference of pixel value, obtained with a slanted slit image, Las Vegas phantom, and anthropomorphic pelvis phantom. Excellent agreement is observed between simulation and measurement in all cases. Without degrading image quality, the FastEPID method is capable of reducing simulation time up to a factor of 150. Multiple applications, such as imager design optimization for planar and volumetric imaging, are expected to benefit from the implementation of the FastEPID method.</t>
  </si>
  <si>
    <t>[Shi, Mengying] Univ Massachusetts, Dept Phys &amp; Appl Phys, Med Phys Program, Lowell, MA 01854 USA; [Shi, Mengying; Myronakis, Marios; Hu, Yue-Houng; Jacobson, Matthew; Ferguson, Dianne; Harris, Thomas; Berbeco, Ross] Brigham &amp; Womens Hosp, Dana Farber Canc Inst, Dept Radiat Oncol, 75 Francis St, Boston, MA 02115 USA; [Shi, Mengying; Myronakis, Marios; Hu, Yue-Houng; Jacobson, Matthew; Ferguson, Dianne; Harris, Thomas; Berbeco, Ross] Harvard Med Sch, Boston, MA 02115 USA; [Lehmann, Mathias; Fueglistaller, Rony; Huber, Pascal; Morf, Daniel] Varian Med Syst, CH-5405 Baden, Switzerland; [Baturin, Paul; Wang, Adam] Varian Med Syst, Palo Alto, CA USA</t>
  </si>
  <si>
    <t>University of Massachusetts System; University of Massachusetts Lowell; Harvard University; Harvard University Medical Affiliates; Brigham &amp; Women's Hospital; Dana-Farber Cancer Institute; Harvard University; Harvard Medical School</t>
  </si>
  <si>
    <t>Berbeco, R (通訊作者)， Brigham &amp; Womens Hosp, Dana Farber Canc Inst, Dept Radiat Oncol, 75 Francis St, Boston, MA 02115 USA.;Berbeco, R (通訊作者)， Harvard Med Sch, Boston, MA 02115 USA.</t>
  </si>
  <si>
    <t>RBERBECO@BWH.HARVARD.EDU</t>
  </si>
  <si>
    <t>; Harris, Thomas/HII-3326-2022; Myronakis, Marios/LFU-6688-2024; Shi, Mengying/GLT-1675-2022</t>
  </si>
  <si>
    <t>Wang, Adam/0000-0001-9234-1264;</t>
  </si>
  <si>
    <t>Varian Medical Systems, Inc. [R01CA188446]; National Cancer Institute</t>
  </si>
  <si>
    <t>Varian Medical Systems, Inc.; National Cancer Institute(United States Department of Health &amp; Human ServicesNational Institutes of Health (NIH) - USANIH National Cancer Institute (NCI))</t>
  </si>
  <si>
    <t>This project was partially supported by a grant from Varian Medical Systems, Inc. and award No. R01CA188446 from the National Cancer Institute. The content is solely the responsibility of the authors and does not necessarily represent the official views of the National Institutes of Health.</t>
  </si>
  <si>
    <t>10.1088/1361-6560/ab12aa</t>
  </si>
  <si>
    <t>WOS:000466572600006</t>
  </si>
  <si>
    <t>Tao, SZ; Rajendran, K; Zhou, W; Fletcher, JG; McCollough, CH; Leng, S</t>
  </si>
  <si>
    <t>Tao, Shengzhen; Rajendran, Kishore; Zhou, Wei; Fletcher, Joel G.; McCollough, Cynthia H.; Leng, Shuai</t>
  </si>
  <si>
    <t>Improving iodine contrast to noise ratio using virtual monoenergetic imaging and prior-knowledge-aware iterative denoising (mono-PKAID)</t>
  </si>
  <si>
    <t>virtual monoenergetic imaging; virtual monochromatic imaging; photon counting detector; spectral CT; noise reduction</t>
  </si>
  <si>
    <t>DUAL-ENERGY CT; COMPUTED-TOMOGRAPHY; URIC-ACID; IMAGES; CONSPICUOUSNESS; OPTIMIZATION; ANGIOGRAPHY; LESIONS; BEAM</t>
  </si>
  <si>
    <t>Multi-energy CT acquires simultaneous multiple x-ray attenuation measurements from different energy spectra which facilitates the computation of virtual monoenergetic images (VMI) at a specific photon energy (keV). Since the contrast between iodine attenuation and the attenuation of surrounding soft tissues increases at lower x-ray energies, VMIs in the range of 40-70 keV can be used to improve iodine visualization. However, at lower energy levels, image noise in VMIs is substantially increased, which counteracts the benefits from the increased iodine contrast, resulting in a decreased iodine contrast-to-noise ratio (CNR). There exists considerable data redundancy between multi-energy CT images created from the same acquisition. Similarly, a substantial spatio-spectral data redundancy exists between multi-energy CT images and the corresponding VMIs. In this work, we develop a denoising framework that exploits this data redundancy to improve iodine CNR in the VMIs. We accomplish this by applying prior-knowledge-aware iterative denoising to low-energy VMIs; we refer to the denoised images as mono-PKAID images. The proposed framework was evaluated using phantom and in vivo data acquired on a research whole-body photon-counting-detector CT, as well as using data from a commercial dual-source dual-energy CT system. The results of phantom experiments show that the proposed framework can preserve image resolution and noise texture compared to the original VMIs, while reducing noise to improve iodine CNR. Quantitative measurements show that the iodine CNR of 50 keV VMI is improved by 1.8-fold using the proposed method, relative to the VMI produced using commercial software (Mono+). With mono-PKAID, VMIs at lower keV take full advantage of higher iodine contrast without substantially increasing image noise. These observations were confirmed using patient data sets, which demonstrated that mono-PKAID reduced image noise, improved CNR in anatomical regions with iodine perfusion by 1.8-fold, and potentially enhanced the visibility of focal liver lesions.</t>
  </si>
  <si>
    <t>[Tao, Shengzhen; Rajendran, Kishore; Zhou, Wei; Fletcher, Joel G.; McCollough, Cynthia H.; Leng, Shuai] Mayo Clin, Dept Radiol, Rochester, MN 55905 USA</t>
  </si>
  <si>
    <t>Mayo Clinic</t>
  </si>
  <si>
    <t>Leng, S (通訊作者)， Mayo Clin, Dept Radiol, Rochester, MN 55905 USA.</t>
  </si>
  <si>
    <t>Leng.Shuai@mayo.edu</t>
  </si>
  <si>
    <t>; Rajendran, Kishore/AAH-7146-2019; Zhou, Wei/AAJ-8509-2020</t>
  </si>
  <si>
    <t>McCollough, Cynthia/0000-0002-5346-332X; Zhou, Wei/0000-0003-2130-1913; leng, shuai/0000-0002-6453-9481; Rajendran, Kishore/0000-0002-8314-3642; Fletcher, Joel/0000-0002-8941-5434;</t>
  </si>
  <si>
    <t>National Institutes of Health [R01 EB016966, C06 RR018898]</t>
  </si>
  <si>
    <t>Research reported in this article was supported by the National Institutes of Health under award number R01 EB016966 and C06 RR018898. The content is solely the responsibility of the authors and does not necessarily represent the official views of the National Institute of Health.</t>
  </si>
  <si>
    <t>10.1088/1361-6560/ab17fa</t>
  </si>
  <si>
    <t>HY7AM</t>
  </si>
  <si>
    <t>WOS:000468283000002</t>
  </si>
  <si>
    <t>Choi, C; Nguyen, TT; Yeom, YS; Lee, H; Han, H; Shin, B; Zhang, XJ; Kim, CH; Chung, BS</t>
  </si>
  <si>
    <t>Choi, Chansoo; Thang Tat Nguyen; Yeom, Yeon Soo; Lee, Hanjin; Han, Haegin; Shin, Bangho; Zhang, Xujia; Kim, Chan Hyeong; Chung, Beom Sun</t>
  </si>
  <si>
    <t>Mesh-type reference Korean phantoms (MRKPs) for adult male and female for use in radiation protection dosimetry</t>
  </si>
  <si>
    <t>radiological protection; reference phantom; Korean; mesh; Monte Carlo</t>
  </si>
  <si>
    <t>DOSE CONVERSION COEFFICIENTS; COLOR SLICE IMAGES; MALE VOXEL MODEL; COMPUTATIONAL PHANTOMS; RISK</t>
  </si>
  <si>
    <t>In the present study, to overcome the dosimetric limitations of the previous voxel-type reference Korean computational phantoms due to their limited voxel resolutions (i.e. on the order of millimeters) and the nature of voxel geometry, a pair of new reference Korean phantoms, called mesh-type reference Korean phantoms (MRKPs), were developed for the adult male and female in a high-quality/fidelity mesh format. The developed phantoms include all target and source regions required for effective dose calculation, even micrometer-scale target and source regions of the respiratory and alimentary tract organs, skin, urinary bladder, and eye lens. The developed phantoms, which are in either the polygon-mesh (PM) format or the tetrahedral-mesh (TM) format as necessary, can be directly used in several general-purpose Monte Carlo codes (e.g. Geant4, MCNP6, and PHITS) without voxelization. In order to understand the dosimetric impact of the new phantoms, the dose coefficients (=fluence-to-effective dose conversion coefficients) were calculated for photons and electrons with energies ranging from 10 keV to 10 GeV for the anterior- posterior (AP) irradiation geometry and compared with those of the previous voxel-type reference Korean phantoms. The results demonstrate that the effective dose coefficients of the MRKPs were generally similar to those of the previous voxel-type reference phantoms for photons; however, for electrons, significant differences were observed at energies lower than 1 MeV that were mainly due to the explicit definition of the 50 mu m-thick radiosensitive target layer in the skin of the new mesh phantoms.</t>
  </si>
  <si>
    <t>[Choi, Chansoo; Lee, Hanjin; Han, Haegin; Shin, Bangho; Zhang, Xujia; Kim, Chan Hyeong] Hanyang Univ, Dept Nucl Engn, Seoul, South Korea; [Thang Tat Nguyen] Hanoi Univ Sci &amp; Technol, Sch Nucl Engn &amp; Environm Phys, Hanoi, Vietnam; [Yeom, Yeon Soo] NCI, Div Canc Epidemiol &amp; Genet, NIH, Bethesda, MD 20892 USA; [Chung, Beom Sun] Ajou Univ, Dept Anat, Sch Med, Suwon, South Korea</t>
  </si>
  <si>
    <t>Hanyang University; Hanoi University of Science &amp; Technology (HUST); National Institutes of Health (NIH) - USA; NIH National Cancer Institute (NCI); NIH National Cancer Institute- Division of Cancer Epidemiology &amp; Genetics; Ajou University</t>
  </si>
  <si>
    <t>Kim, CH (通訊作者)， Hanyang Univ, Dept Nucl Engn, Seoul, South Korea.</t>
  </si>
  <si>
    <t>chkim@hanyang.ac.kr</t>
  </si>
  <si>
    <t>Shin, Bangho/KHU-5682-2024; Han, Haegin/LCG-8369-2024; Kim, Chan/K-6214-2017</t>
  </si>
  <si>
    <t>Shin, Bangho/0000-0003-1828-1288; Han, Haegin/0000-0002-7635-1611;</t>
  </si>
  <si>
    <t>Nuclear Safety Research Development (NSR&amp;D) Program through the Korea Foundation of Nuclear Safety (KoFONS) - Nuclear Safety and Security Commission (NSSC); National Research Foundation of Korea (NRF) - Ministry of Science, ICT and Future Planning through the National Research Foundation of Korea [1705006, 2016R1D1A1A09916337]; Global Ph.D. Fellowship program [NRF-2017H1A2A1046391, NRF-2018H1A2A1059767]; Korean Health Technology R&amp;D Project through the Korean Health Industry Development Institute (KHIDI) - Ministry of Health &amp; Welfare, Republic of Korea [H18C2257]</t>
  </si>
  <si>
    <t>Nuclear Safety Research Development (NSR&amp;D) Program through the Korea Foundation of Nuclear Safety (KoFONS) - Nuclear Safety and Security Commission (NSSC); National Research Foundation of Korea (NRF) - Ministry of Science, ICT and Future Planning through the National Research Foundation of Korea; Global Ph.D. Fellowship program; Korean Health Technology R&amp;D Project through the Korean Health Industry Development Institute (KHIDI) - Ministry of Health &amp; Welfare, Republic of Korea</t>
  </si>
  <si>
    <t>The authors would like to thank Prof Min Suk Chung (Department of Anatomy, Ajou University School of Medicine), Prof Jin Seo Park (Department of Anatomy, Dongguk University School of Medicine), Prof Bong Chul Kim (Department of Oral and Maxillofacial Surgery, Daejeon Dental Hospital, College of Dentistry, Wonkwang University College of Dentistry), and Prof Hyo Seok Park (Department of Anatomy, Daejeon University College of Oriental Medicine) for anatomical consultation. The authors used the Digital Korean (DK) data that had been produced and distributed by the Catholic Institute for Applied Anatomy, College of Medicine, Catholic University of Korea and the Korean Institute of Science and Technology Information (KISTI). This work was supported by the Nuclear Safety Research Development (NSR&amp;D) Program through the Korea Foundation of Nuclear Safety (KoFONS) funded by the Nuclear Safety and Security Commission (NSSC), and additionally by the National Research Foundation of Korea (NRF) funded by the Ministry of Science, ICT and Future Planning through the National Research Foundation of Korea (Project No.: 1705006, 2016R1D1A1A09916337). Two of the authors (Chansoo Choi and Haegin Han) were supported by the Global Ph.D. Fellowship program (Project No.: NRF-2017H1A2A1046391, NRF-2018H1A2A1059767). One of the authors (Yeon Soo Yeom) was supported by a grant of the Korean Health Technology R&amp;D Project through the Korean Health Industry Development Institute (KHIDI), funded by the Ministry of Health &amp; Welfare, Republic of Korea (Project No: H18C2257).</t>
  </si>
  <si>
    <t>10.1088/1361-6560/ab0b59</t>
  </si>
  <si>
    <t>WOS:000464454200006</t>
  </si>
  <si>
    <t>Keizer, DMD; Pathmanathan, AU; Andreychenko, A; Kerkmeijer, LGW; van Zyp, JRNV; Tree, AC; van den Berg, CAT; de Boer, JCJ</t>
  </si>
  <si>
    <t>Keizer, D. M. de Muinck; Pathmanathan, A. U.; Andreychenko, A.; Kerkmeijer, L. G. W.; van Zyp, J. R. N. van der Voort; Tree, A. C.; van den Berg, C. A. T.; de Boer, J. C. J.</t>
  </si>
  <si>
    <t>Fiducial marker based intra-fraction motion assessment on cine-MR for MR-linac treatment of prostate cancer</t>
  </si>
  <si>
    <t>prostate cancer; intrafraction motion; hypofractionation; fiducial marker; tracking; cine-MR</t>
  </si>
  <si>
    <t>RADIATION-THERAPY; ADAPTIVE RADIOTHERAPY; INTRAFRACTION MOTION; RESONANCE; LOCALIZATION; POSITION; SYSTEM; CT; ROTATION; KV</t>
  </si>
  <si>
    <t>We have developed a method to determine intrafraction motion of the prostate through automatic fiducial marker (FM) tracking on 3D cine-magnetic resonance (MR) images with high spatial and temporal resolution. Twenty-nine patients undergoing prostate stereotactic body radiotherapy (SBRT), with four implanted cylindrical gold FMs, had tine-MR imaging sessions after each of five weekly fractions. Each tine-MR examination consisted of 55 sequentially obtained 3D datasets ( 'dynamics' ), acquired over a 11 s period, covering a total of 10 min. FM locations in the first dynamic were manually identified by a clinician, FM centers in subsequent dynamics were automatically determined. Center of mass (COM) translations and rotations were determined by calculating the rigid transformations between the FM template of the first and subsequent dynamics. The algorithm was applied to 7315 dynamics over 133 scans of 29 patients and the obtained results were validated by comparing the COM locations recorded by the clinician at the halfway-dynamic (after 5 min) and end dynamic (after 10 min). The mean COM translations at 10 min were X: 0.0 +/- 0.8 mm, Y: 1.0 +/- 1.9 mm and Z: 0.9 +/- 2.0 mm. The mean rotation results at 10 min were X: 0.1 +/- 3.9 degrees, Y: 0.0 +/- 1.3 degrees and Z: 0.1 +/- 1.2 degrees. The tracking success rate was 97.7% with a mean 3D COM error of 1.1 mm. We have developed a robust, fast and accurate FM tracking algorithm for tine-MR data, which allows for continuous monitoring of prostate motion during MR-guided radiotherapy (MRgRT). These results will be used to validate automatic prostate tracking based on soft-tissue contrast.</t>
  </si>
  <si>
    <t>[Keizer, D. M. de Muinck; Andreychenko, A.; Kerkmeijer, L. G. W.; van Zyp, J. R. N. van der Voort; van den Berg, C. A. T.; de Boer, J. C. J.] Univ Med Ctr Utrecht, Dept Radiotherapy, POB 85500, NL-3508 GA Utrecht, Netherlands; [Pathmanathan, A. U.; Tree, A. C.] Royal Marsden Hosp NHS Fdn Trust, Fulham Rd, London SW3 6JJ, England; [Pathmanathan, A. U.; Tree, A. C.] Inst Canc Res, Fulham Rd, London SW3 6JJ, England; [Andreychenko, A.] ITMO Univ, 49 Kronverksky Pr, St Petersburg 197101, Russia</t>
  </si>
  <si>
    <t>Utrecht University; Utrecht University Medical Center; Royal Marsden NHS Foundation Trust; Royal Marsden NHS Foundation Trust; University of London; Institute of Cancer Research - UK; ITMO University</t>
  </si>
  <si>
    <t>Keizer, DMD (通訊作者)， Univ Med Ctr Utrecht, Dept Radiotherapy, POB 85500, NL-3508 GA Utrecht, Netherlands.</t>
  </si>
  <si>
    <t>D.M.deMuinckKeizer@umcutrecht.nl</t>
  </si>
  <si>
    <t>de Muinck Keizer, D./AAN-1715-2020; Tree, Alison/HDO-3889-2022; Andreychenko, Anna/E-4930-2017; Kerkmeijer, Linda/AAB-8948-2020</t>
  </si>
  <si>
    <t>Andreychenko, Anna/0000-0001-6359-0763;</t>
  </si>
  <si>
    <t>National Institute for Health Research (NIHR) Biomedical Research Centre at the Royal Marsden NHS Foundation Trust; Institute of Cancer Research</t>
  </si>
  <si>
    <t>National Institute for Health Research (NIHR) Biomedical Research Centre at the Royal Marsden NHS Foundation Trust(Royal Society of New ZealandMarsden Fund (NZ)); Institute of Cancer Research</t>
  </si>
  <si>
    <t>This paper represents independent research support by the National Institute for Health Research (NIHR) Biomedical Research Centre at the Royal Marsden NHS Foundation Trust and the Institute of Cancer Research. The views expressed are those of the author(s) and not necessarily those of the NHS, the NIHR or the Department of Health.</t>
  </si>
  <si>
    <t>07NT02</t>
  </si>
  <si>
    <t>10.1088/1361-6560/ab09a6</t>
  </si>
  <si>
    <t>HS0GU</t>
  </si>
  <si>
    <t>WOS:000463539800001</t>
  </si>
  <si>
    <t>Hespeels, F; Lucas, S; Tabarrant, T; Scifoni, E; Kraemer, M; Chêne, G; Strivay, D; Tran, HN; Heuskin, AC</t>
  </si>
  <si>
    <t>Hespeels, F.; Lucas, S.; Tabarrant, T.; Scifoni, E.; Kraemer, M.; Chene, G.; Strivay, D.; Tran, H. N.; Heuskin, A. C.</t>
  </si>
  <si>
    <t>Experimental measurements validate the use of the binary encounter approximation model to accurately compute proton induced dose and radiolysis enhancement from gold nanoparticles</t>
  </si>
  <si>
    <t>proton beam; gold nanoparticle; secondary electron emission; low energy electron; TRAX; Geant4; Monte Carlo track structure code</t>
  </si>
  <si>
    <t>MONTE-CARLO-SIMULATION; LIQUID WATER; RADIATION ENHANCEMENT; ENERGY DEPOSITION; CANCER-CELLS; X-RAY; RADIOTHERAPY; MITOCHONDRIA; EXTENSION; APOPTOSIS</t>
  </si>
  <si>
    <t>In protontherapy, it has been suggested that nanoparticles of high-Z material like gold (GNP) could be used as radiosensitizers. The origin of this enhancement phenomenon for proton radiation is not yet well understood and additional mechanistic insights are required. Previous works have highlighted the good capabilities of TRAX to reproduce secondary electron emission from gold material. Therefore, TRAX cross sections obtained with the binary encounter approximation (BEA) model for proton ionization were implemented within Geant4 for gold material. Based on the TRAX cross sections, improved Geant4 simulations have been developed to investigate the energy deposition and radical species production around a spherical gold nanoparticle (5 and 10 nm in diameter) placed in a water volume during proton irradiation. Simulations were performed for incident 2 MeV proton. The dose enhancement factor and the radiolysis enhancement factor were quantified. Results obtained with the BEA model were compared with results obtained with condensed-history models. Experimental irradiation of 200 nm gold films were performed to validate the secondary electron emission reproduction capabilities of physical models used in Monte Carlo (MC) simulations. TRAX simulations reproduced the experimental backscattered electron energy spectrum from gold film with better agreement than Geant4. Results on gold film obtained with the BEA model enabled to estimate the electron emission from GNPs. Results obtained in our study tend to support that the use of the BEA discrete model leads to a significant increase of the dose in the near vicinity of GNPs (&lt; 20 nm), while condensed history models used in Geant4 seem to overestimate the dose and the number of chemical species for increasing distances from the GNP. Based on discrete BEA model results, no enhancement effect due to secondary electron emitted from the GNP is expected if the GNP is not in close proximity to key cellular functional elements (DNA, mitochondria...).</t>
  </si>
  <si>
    <t>[Hespeels, F.; Lucas, S.; Tabarrant, T.; Heuskin, A. C.] Univ Namur, PMR, 61 Rue Bruxelles, B-5000 Namur, Belgium; [Scifoni, E.] Trento Inst Fundamental Phys &amp; Applicat, TIFPA INFN, Via Sommarive 14, I-38123 Trento, Italy; [Scifoni, E.; Kraemer, M.] GSI Helmholtzzentrum Schwerionenforsch, Biophys, Max Planck Str 1, D-64291 Darmstadt, Germany; [Chene, G.; Strivay, D.] Univ Liege, Ctr Europeen Archeometrie, Inst Phys Nucl Atom &amp; Spectroscopie, Sart Tilman B15, B-4000 Liege, Belgium; [Tran, H. N.] Ton Duc Thang Univ, Adv Inst Mat Sci, Div Nucl Phys, Ho Chi Minh City, Vietnam; [Tran, H. N.] Ton Duc Thang Univ, Fac Appl Sci, Ho Chi Minh City, Vietnam</t>
  </si>
  <si>
    <t>University of Namur; Istituto Nazionale di Fisica Nucleare (INFN); Max Planck Society; Helmholtz Association; GSI Helmholtz-Center for Heavy Ion Research; University of Liege; Ton Duc Thang University; Ton Duc Thang University</t>
  </si>
  <si>
    <t>; Strivay, David/AAC-5690-2020; Tran, Ngoc/D-9666-2015; Tran, Ngoc Hoang/D-9666-2015; Heuskin, AnneCatherine/KZU-4442-2024; Scifoni, Emanuele/B-5277-2013</t>
  </si>
  <si>
    <t>Strivay, David/0000-0001-9009-7958; Heuskin, Anne-Catherine/0000-0002-4960-5284; Tran, Ngoc Hoang/0000-0002-9243-6842; Scifoni, Emanuele/0000-0003-1851-5152; Lucas, Stephane/0000-0003-3229-9855</t>
  </si>
  <si>
    <t>10.1088/1361-6560/ab0516</t>
  </si>
  <si>
    <t>HO8MV</t>
  </si>
  <si>
    <t>WOS:000461207800001</t>
  </si>
  <si>
    <t>de Prez, L; de Pooter, J; Jansen, B; Woodings, S; Wolthaus, J; van Asselen, B; van Soest, T; Kok, J; Raaymakers, B</t>
  </si>
  <si>
    <t>de Prez, Leon; de Pooter, Jacco; Jansen, Bartel; Woodings, Simon; Wolthaus, Jochem; van Asselen, Bram; van Soest, Theo; Kok, Jan; Raaymakers, Bas</t>
  </si>
  <si>
    <t>Commissioning of a water calorimeter as a primary standard for absorbed dose to water in magnetic fields</t>
  </si>
  <si>
    <t>dosimetry; MItgRT; primary standard; magnetic field; MRI-linac; calorimetry</t>
  </si>
  <si>
    <t>MONTE-CARLO; DOSIMETRY; CO-60; ACCELERATOR; SYSTEMS</t>
  </si>
  <si>
    <t>MRI guided radiotherapy devices are currently in clinical use. Detector responses are affected by the magnetic field and need to be characterized in terms of absorbed dose to water, D-w, against primary standards under these conditions. The aim of this study was to commission a water calorimeter, accepted as the Dutch national standard for D-w in MV photons and to validate its claimed standard uncertainty of 0.37% in the 7 MV photon beam of a pre-clinical MRI-linac in a 1.5 T magnetic field. To evaluate the primary standard on a fundamental basis, realisation of D-w at 1.5 T was evaluated parameter by parameter. A thermodynamic description was given to demonstrate potential temperature effects due to the magneto-caloric effect (MCE). Methods were developed for measurement of depth, variation in detector distance and beam output in the bore of the MRI-linac. This resulted in D-w measurements with a magnetic field of 1.5 T and, after ramp-down, without magnetic field. It was shown that the measurement of Delta T-w and calorimeter corrections are either independent of or can be determined in a magnetic field. The chemical heat defect, h, was considered zero within its stated uncertainty, as for 0 T. Evaluation of the MCE and measurements done during magnet rampdown, indicated no changes in the specific heat capacity of water. However, variations of the applied monitor system increased the uncertainty on beam output normalization. This study confirmed that the uncertainty for measurement of D-w with a water calorimeter in a 1.5 T magnetic field is estimated to be the same as under conventional reference conditions. The VSL water calorimeter can be applied as a primary standard for D-w in magnetic fields and is currently the only primary standard operable in a magnetic field that provides direct access to the international traceability framework.</t>
  </si>
  <si>
    <t>[de Prez, Leon; de Pooter, Jacco; Jansen, Bartel] VSL Dutch Metrol Inst, Delft, Netherlands; [de Prez, Leon; Woodings, Simon; Wolthaus, Jochem; van Asselen, Bram; van Soest, Theo; Kok, Jan; Raaymakers, Bas] Univ Med Ctr Utrecht, Dept Radiotherapy, Utrecht, Netherlands</t>
  </si>
  <si>
    <t>VSL Dutch Metrology Institute; Utrecht University; Utrecht University Medical Center</t>
  </si>
  <si>
    <t>de Prez, L (通訊作者)， VSL Dutch Metrol Inst, Delft, Netherlands.;de Prez, L (通訊作者)， Univ Med Ctr Utrecht, Dept Radiotherapy, Utrecht, Netherlands.</t>
  </si>
  <si>
    <t>ldprez@vsl.nl</t>
  </si>
  <si>
    <t>; de Prez, Leon/ABC-5631-2021; van Asselen, Bram/Q-4774-2019; de Pooter, Jacco/N-2536-2015</t>
  </si>
  <si>
    <t>de Prez, Leon/0000-0002-7470-4356; de Pooter, Jacco/0000-0002-7542-257X</t>
  </si>
  <si>
    <t>EMPIR programme [15HLT08]; European Union's Horizon 2020 research and innovation programme</t>
  </si>
  <si>
    <t>EMPIR programme; European Union's Horizon 2020 research and innovation programme</t>
  </si>
  <si>
    <t>This project has received funding from the EMPIR programme, grant 15HLT08 'Metrology for MR guided Radiotherapy', co-financed by the Participating States and from the European Union's Horizon 2020 research and innovation programme. I am grateful for discussions with Dr Andrea Peruzzi and Rien Bosma, colleagues at the VSL Contact Thermometry department.</t>
  </si>
  <si>
    <t>10.1088/1361-6560/aaf975</t>
  </si>
  <si>
    <t>HJ4XT</t>
  </si>
  <si>
    <t>WOS:000457182500002</t>
  </si>
  <si>
    <t>Kang, S; Xu, XC; Navarro, E; Wang, Y; Liu, JTC; Tichauer, KM</t>
  </si>
  <si>
    <t>Kang, Soyoung; Xu, Xiaochun; Navarro, Eric; Wang, Yu; Liu, Jonathan T. C.; Tichauer, Kenneth M.</t>
  </si>
  <si>
    <t>Modeling the binding and diffusion of receptor-targeted nanoparticles topically applied on fresh tissue specimens</t>
  </si>
  <si>
    <t>optical molecular imaging; nanomedicine; nanophotonics; SERS nanotags; surgical guidance</t>
  </si>
  <si>
    <t>BREAST-CONSERVING SURGERY; FROZEN-SECTION ANALYSIS; EPIDERMAL-GROWTH-FACTOR; APPLIED SERS NANOPARTICLES; RESECTION MARGIN STATUS; SPECTRAL ENDOSCOPY; POSITIVE MARGINS; SURGICAL MARGINS; CANCER; EXCISION</t>
  </si>
  <si>
    <t>Nanoparticle (NP) contrast agents targeted to cancer biomarkers are increasingly being engineered for the early detection of cancer, guidance of therapy, and monitoring of response. There have been recent efforts to topically apply biomarker-targeted NPs on tissue surfaces to image the expression of cell-surface receptors over large surface areas as a means of evaluating tumor margins to guide wide local excision surgeries. However, diffusion and nonspecific binding of the NPs present challenges for relating NP retention on the tissue surface with the expression of cancer cell receptors. Paired-agent methods that employ a secondary 'control' NP to account for these nonspecific effects can improve cancer detection. Yet these paired-agent methods introduce multidimensional complexity (with tissue staining, rinsing, imaging, and data analysis protocols all being subject to alteration), and could be greatly simplified with accurate, predictive in silico models of NP binding and diffusion. Here, we outline and validate such a model to predict the diffusion, as well as specific and nonspecific binding, of targeted and control NPs topically applied on tissue surfaces. In order to inform the model, in vitro experiments were performed to determine relevant NP diffusion and binding rate constants in tissues. The predictive capacity of the model was validated by comparing simulated distributions of various sizes of NPs in comparison with experimental results. The regression of predicted and experimentally measured concentration-depth profiles yielded &lt;15% error (compared to similar to 70% error obtained using a previous model of NP diffusion and binding).</t>
  </si>
  <si>
    <t>[Kang, Soyoung; Wang, Yu; Liu, Jonathan T. C.] Univ Washington, Dept Mech Engn, Seattle, WA 98105 USA; [Xu, Xiaochun; Navarro, Eric; Tichauer, Kenneth M.] IIT, Dept Biomed Engn, Chicago, IL 60616 USA; [Liu, Jonathan T. C.] Univ Washington, Dept Pathol, Sch Med, Seattle, WA 98105 USA</t>
  </si>
  <si>
    <t>University of Washington; University of Washington Seattle; Illinois Institute of Technology; University of Washington; University of Washington Seattle</t>
  </si>
  <si>
    <t>Tichauer, KM (通訊作者)， IIT, Dept Biomed Engn, Chicago, IL 60616 USA.</t>
  </si>
  <si>
    <t>ktichaue@iit.edu</t>
  </si>
  <si>
    <t>Tichauer, Kenneth/0000-0003-1667-3026</t>
  </si>
  <si>
    <t>NIH/NIBIB [R21 EB015016]; NIH/NCI [R21 CA215561]; Department of Mechanical Engineering at the University of Washington; Department of Biomedical Engineering at the Illinois Institute of Technology</t>
  </si>
  <si>
    <t>NIH/NIBIB(United States Department of Health &amp; Human ServicesNational Institutes of Health (NIH) - USANIH National Institute of Biomedical Imaging &amp; Bioengineering (NIBIB)); NIH/NCI(United States Department of Health &amp; Human ServicesNational Institutes of Health (NIH) - USANIH National Cancer Institute (NCI)); Department of Mechanical Engineering at the University of Washington; Department of Biomedical Engineering at the Illinois Institute of Technology</t>
  </si>
  <si>
    <t>The authors acknowledge support from the NIH/NIBIB R21 EB015016 (JTC Liu), the NIH/NCI R21 CA215561 (J T C Liu and K M Tichauer), the Nayer Prize at Illinois Institute of Technology (X Xu and K M Tichauer), the Department of Mechanical Engineering at the University of Washington, and the Department of Biomedical Engineering at the Illinois Institute of Technology.</t>
  </si>
  <si>
    <t>10.1088/1361-6560/aaff81</t>
  </si>
  <si>
    <t>WOS:000459135900001</t>
  </si>
  <si>
    <t>Niebuhr, NI; Johnen, W; Echner, G; Runz, A; Bach, M; Stoll, M; Giske, K; Greilich, S; Pfaffenberger, A</t>
  </si>
  <si>
    <t>Niebuhr, N., I; Johnen, W.; Echner, G.; Runz, A.; Bach, M.; Stoll, M.; Giske, K.; Greilich, S.; Pfaffenberger, A.</t>
  </si>
  <si>
    <t>The ADAM-pelvis phantom-an anthropomorphic, deformable and multimodal phantom for MRgRT</t>
  </si>
  <si>
    <t>image-guided radiotherapy; phantoms; quality assurance; end-to-end tests; MR-guided radiotherapy; anthropomorphic</t>
  </si>
  <si>
    <t>RADIATION-THERAPY; INTRAFRACTION MOTION; RELAXATION-TIMES; 3.0 T; PROSTATE; MRI; RADIOTHERAPY; CT; PARAMETERS</t>
  </si>
  <si>
    <t>Applicability and accuracy of the rapidly developing tools and workflows for image-guided radiotherapy need to be validated under realistic treatment-like conditions. We present the construction of the ADAM-pelvis phantom, an anthropomorphic, deformable and multimodal (CT and MRI) phantom of the male pelvis. The phantom covers patient-like uncertainties in image-guided radiotherapy workflows including imaging artifacts for the special case of the human anatomy as well as organ motion. Principles and methods were further improved from previous work. The phantom includes surrogates for muscle tissue, adipose, inner and outer bone, as well as deformable silicone organs. Anthropomorphic shapes are realized with 3D-printing techniques for the bone and the construction of the hollow silicone organ shells. Organs are constructed from patient image segmentation and further guided by reported deformation models. Imaging markers and pockets for dosimeters are included in the organ shells. The improved phantom surrogates match imaging characteristics in MRI (T1 and T2 relaxation time) and CT (Hounsfield units) of human tissues. The surrogates are suited for long term use (several months) of the phantom. Previously reported artifacts of the muscle surrogate were avoided by improved composition of the used agarose gel. Interfractional organ motion is successfully realized for the water filled bladder and the air filled rectum and showed to be reproducible with deviation below 1 mm. Volume variations of both induce displacement, rotation and deformation of the prostate. We present solutions for the construction of an anthropomorphic phantom suitable for MRI and CT imaging including deformable organs. The developed concepts of phantom surrogates and construction techniques were successfully applied in building the ADAM-pelvis phantom and can as well be adopted for other anthropomorphic phantoms. The presented phantom allows for the systematic and controlled investigation of image-guided radiotherapy workflows in presence of organ motion.</t>
  </si>
  <si>
    <t>[Niebuhr, N., I; Johnen, W.; Echner, G.; Runz, A.; Stoll, M.; Giske, K.; Greilich, S.; Pfaffenberger, A.] German Canc Res Ctr, Med Phys Radiat Oncol, Heidelberg, Germany; [Niebuhr, N., I; Johnen, W.; Echner, G.; Runz, A.; Stoll, M.; Giske, K.; Greilich, S.; Pfaffenberger, A.] Heidelberg Inst Radiooncol, Natl Ctr Radiat Res Oncol, Heidelberg, Germany; [Niebuhr, N., I] Heidelberg Univ, Dept Phys &amp; Astron, Heidelberg, Germany; [Bach, M.] German Canc Res Ctr, Med Phys Radiol, Heidelberg, Germany</t>
  </si>
  <si>
    <t>Helmholtz Association; German Cancer Research Center (DKFZ); Ruprecht Karls University Heidelberg; Helmholtz Association; German Cancer Research Center (DKFZ)</t>
  </si>
  <si>
    <t>Niebuhr, NI (通訊作者)， German Canc Res Ctr, Med Phys Radiat Oncol, Heidelberg, Germany.;Niebuhr, NI (通訊作者)， Heidelberg Inst Radiooncol, Natl Ctr Radiat Res Oncol, Heidelberg, Germany.;Niebuhr, NI (通訊作者)， Heidelberg Univ, Dept Phys &amp; Astron, Heidelberg, Germany.</t>
  </si>
  <si>
    <t>n.niebuhr@dkfz.de</t>
  </si>
  <si>
    <t>; Giske, Kristina/L-3009-2016</t>
  </si>
  <si>
    <t>Giske, Kristina/0000-0001-7287-3271; Greilich, Steffen/0000-0001-6237-7936</t>
  </si>
  <si>
    <t>Federal Ministry of Education and Research of Germany (BMBF) [01, B13001]</t>
  </si>
  <si>
    <t>Federal Ministry of Education and Research of Germany (BMBF)(Federal Ministry of Education &amp; Research (BMBF))</t>
  </si>
  <si>
    <t>This work was partially funded by the Federal Ministry of Education and Research of Germany (BMBF), Grant No. 01 vertical bar B13001 (SPARTA). We like to thank Omar Bohoudi, Noa Homolka and Dr Philip Mann for support in evaluation of the long term stability of the phantom.</t>
  </si>
  <si>
    <t>04NT05</t>
  </si>
  <si>
    <t>10.1088/1361-6560/aafd5f</t>
  </si>
  <si>
    <t>HL0HM</t>
  </si>
  <si>
    <t>WOS:000458375600001</t>
  </si>
  <si>
    <t>Yao, LS; Zeng, D; Chen, GF; Liao, YT; Li, S; Zhang, YK; Wang, YB; Tao, X; Niu, SZ; Lv, QW; Bian, ZY; Ma, JH; Huang, J</t>
  </si>
  <si>
    <t>Yao, Lisha; Zeng, Dong; Chen, Gaofeng; Liao, Yuting; Li, Sui; Zhang, Yuanke; Wang, Yongbo; Tao, Xi; Niu, Shanzhou; Lv, Qingwen; Bian, Zhaoying; Ma, Jianhua; Huang, Jing</t>
  </si>
  <si>
    <t>Multi-energy computed tomography reconstruction using a nonlocal spectral similarity model</t>
  </si>
  <si>
    <t>multienergy CT; image reconstruction; material quantification; nonlocal similarity; spectral similarity; regularization</t>
  </si>
  <si>
    <t>IMAGE-RECONSTRUCTION; ITERATIVE RECONSTRUCTION; CT RECONSTRUCTION; MULTICHANNEL; ALGORITHM</t>
  </si>
  <si>
    <t>Multi-energy computed tomography (MECT) is able to acquire simultaneous multi-energy measurements from one scan. In addition, it allows material differentiation and quantification effectively. However, due to the limited energy bin width, the number of photons detected in an energy-specific channel is smaller than that in traditional CT, which results in image quality degradation. To address this issue, in this work, we develop a statistical iterative reconstruction algorithm to acquire high-quality MECT images and high-accuracy material-specific images. Specifically, this algorithm fully incorporates redundant self-similarities within nonlocal regions in the MECT image at one bin and rich spectral similarities among MECT images at all bins. For simplicity, the presented algorithm is referred to as 'MECT-NSS'. Moreover, an efficient optimization algorithm is developed to solve the MECT-NSS objective function. Then, a comprehensive evaluation of parameter selection for the MECT-NSS algorithm is conducted. In the experiment, the datasets include images from three phantoms and one patient to validate and evaluate the MECT-NSS reconstruction performance. The qualitative and quantitative results demonstrate that the presented MECT-NSS can successfully yield better MECT image quality and more accurate material estimation than the competing algorithms.</t>
  </si>
  <si>
    <t>[Yao, Lisha; Zeng, Dong; Chen, Gaofeng; Liao, Yuting; Li, Sui; Zhang, Yuanke; Wang, Yongbo; Tao, Xi; Bian, Zhaoying; Ma, Jianhua; Huang, Jing] Southern Med Univ, Sch Biomed Engn, Guangzhou 510515, Guangdong, Peoples R China; [Yao, Lisha; Zeng, Dong; Chen, Gaofeng; Liao, Yuting; Li, Sui; Zhang, Yuanke; Wang, Yongbo; Tao, Xi; Bian, Zhaoying; Ma, Jianhua; Huang, Jing] Southern Med Univ, Guangzhou Key Lab Med Radiat Imaging &amp; Detect Tec, Guangzhou 510515, Guangdong, Peoples R China; [Niu, Shanzhou] Gannan Normal Univ, Sch Math &amp; Comp Sci, Ganzhou 341000, Peoples R China; [Lv, Qingwen] Southern Med Univ, Zhujiang Hosp, Guangzhou 510282, Guangdong, Peoples R China</t>
  </si>
  <si>
    <t>Southern Medical University - China; Southern Medical University - China; Gannan Normal University; Southern Medical University - China</t>
  </si>
  <si>
    <t>Ma, JH; Huang, J (通訊作者)， Southern Med Univ, Sch Biomed Engn, Guangzhou 510515, Guangdong, Peoples R China.;Ma, JH; Huang, J (通訊作者)， Southern Med Univ, Guangzhou Key Lab Med Radiat Imaging &amp; Detect Tec, Guangzhou 510515, Guangdong, Peoples R China.</t>
  </si>
  <si>
    <t>jhma@smu.edu.cn; hjing@smu.edu.cn</t>
  </si>
  <si>
    <t>huang, jing/JDC-2548-2023; Zeng, Dongqiang/C-3828-2019</t>
  </si>
  <si>
    <t>NSFC [11701097]; Science and Technology Program of Guangzhou, China [201705030009]; Science and Technology Program of Guangdong, China [2015B020233008]; Natural Science Foundation of Jiangxi, China [20181BAB201007, 20161BAB212055]</t>
  </si>
  <si>
    <t>NSFC(National Natural Science Foundation of China (NSFC)); Science and Technology Program of Guangzhou, China; Science and Technology Program of Guangdong, China; Natural Science Foundation of Jiangxi, China(Natural Science Foundation of Jiangxi Province)</t>
  </si>
  <si>
    <t>This work was supported in part by the NSFC under Grants 81701690, 61701217, 61871383, U1708261 and 61571214; the Science and Technology Program of Guangzhou, China under Grant 201705030009; and the Science and Technology Program of Guangdong, China under Grant 2015B020233008. S Niu was also supported in part by the NSFC under Grant 11701097, and the Natural Science Foundation of Jiangxi, China under Grants 20181BAB201007 and 20161BAB212055.</t>
  </si>
  <si>
    <t>10.1088/1361-6560/aafa99</t>
  </si>
  <si>
    <t>WOS:000457439100003</t>
  </si>
  <si>
    <t>Götz, T; Schmidkonz, C; Lang, EW; Maier, A; Kuwert, T; Ritt, P</t>
  </si>
  <si>
    <t>Goetz, Th; Schmidkonz, C.; Lang, E. W.; Maier, A.; Kuwert, T.; Ritt, P.</t>
  </si>
  <si>
    <t>A comparison of methods for adapting177 Lu dose-voxel-kernels to tissue inhomogeneities</t>
  </si>
  <si>
    <t>dosimetry; Lu-177; dose-voxel-kernel; SPECT/CT</t>
  </si>
  <si>
    <t>S-VALUES; INTERNAL DOSIMETRY; THERAPY; DISTRIBUTIONS; SIMULATIONS; DATABASE; IMPACT</t>
  </si>
  <si>
    <t>In-177 Lu radionuclide therapies, dosimetry is used for determining patient-individual dose burden. Standard approaches provide whole organ doses only. For assessing dose heterogeneity inside organs, voxel-wise dosimetry based on 3D SPECT/CT imaging could be applied. Often, this is achieved by convolving voxel-wise time-activity-curves with appropriate dose-voxel-kernels (DVK). The DVKs are meant to model dose deposition, and can be more accurate if modelled for the specific tissue type under consideration. In literature, DVKs are often not adapted to these inhomogeneities, or simple approximation schemes are applied. For 26 patients, which had previously undergone a Lu-177 -PSMA or -DOTATOC therapy, decay maps, mass-density maps as well as tissue-type maps were derived from SPECT/CT acquisitions. These were used for a voxel-based dosimetry based on convolution with DVKs (each of size (4.8 mm)(3)) obtained by four different DVK methods proposed in literature. The simplest only considers a spatially constant soft-tissue DVK (herein named 'constant' while others either take into account only the local density of the center voxel of the DVK (herein named 'center-voxel') or scale each voxel linearly according to the proper mass density deduced from the CT image (herein named 'density') or considered both the local mass density as well as the direct path between the center voxel and any voxel in its surrounding (herein named 'percentage' ). Deviations between resulting dose values and those from full Monte-Carlo simulations (MC simulations) were compared for selected organs and tissue-types. For each DVK method, inter-patient variability was considerable showing both under- and overestimation of energy dose compared to the MC result for all tissue densities higher than soft tissue. In kidneys and spleen, 'constant' and 'density' -scaled DVKs achieved estimated doses with smallest deviations to the full MC gold standard (similar to 5%-8% underestimation). For low and high density tissue types such as lung and adipose or bone tissue, alternative DVK methods like 'center-voxel' - and 'percentage' - scaled achieved superior results, respectively. Concerning computational load, dose estimation with the DVK method 'constant' needs about 1.1 s per patient, center-voxel scaling amounts to 1.2 s, density scaling needs 1.4 s while percentage scaling consumes 860.3 s per patient. In this study encompassing a large patient cohort and four different DVK estimation methods, no single DVK-adaption method was consistently better than any other in case of soft tissue kernels. Hence in such cases the simplest DVK method, labeled 'constant', suffices. In case of tumors, often located in tissues of low (lung) or high (bone) density, more sophisticated DVK methods excel. The high inter-patient variability indicates that for evaluating new algorithms, a sufficiently large patient cohort needs to be involved.</t>
  </si>
  <si>
    <t>[Goetz, Th; Schmidkonz, C.; Kuwert, T.; Ritt, P.] Univ Hosp Erlangen, Clin Nucl Med, D-9054 Erlangen, Germany; [Goetz, Th; Lang, E. W.] Univ Regensburg, Biophys, CIML Grp, D-93040 Regensburg, Germany; [Goetz, Th; Maier, A.] Univ Erlangen Nurnberg, Pattern Recognit Lab, D-91058 Erlangen, Germany</t>
  </si>
  <si>
    <t>University of Erlangen Nuremberg; Institut National de la Sante et de la Recherche Medicale (Inserm); University of Regensburg; University of Erlangen Nuremberg</t>
  </si>
  <si>
    <t>Götz, T (通訊作者)， Univ Hosp Erlangen, Clin Nucl Med, D-9054 Erlangen, Germany.;Götz, T (通訊作者)， Univ Regensburg, Biophys, CIML Grp, D-93040 Regensburg, Germany.;Götz, T (通訊作者)， Univ Erlangen Nurnberg, Pattern Recognit Lab, D-91058 Erlangen, Germany.</t>
  </si>
  <si>
    <t>theresa.goetz@biologie.uni-regensburg.de</t>
  </si>
  <si>
    <t>; Maier, Andreas/AAV-6505-2021</t>
  </si>
  <si>
    <t>Maier, Andreas/0000-0002-9550-5284; Lang, Elmar W./0000-0001-7440-0224</t>
  </si>
  <si>
    <t>Erlangen Regional Computing Center (RRZE)</t>
  </si>
  <si>
    <t>The authors gratefully acknowledge the computing resources and support provided by the Erlangen Regional Computing Center (RRZE).</t>
  </si>
  <si>
    <t>10.1088/1361-6560/ab5b81</t>
  </si>
  <si>
    <t>WOS:000513009900011</t>
  </si>
  <si>
    <t>González-López, A</t>
  </si>
  <si>
    <t>Gonzalez-Lopez, Antonio</t>
  </si>
  <si>
    <t>Increasing the precision in the estimates of noise power spectrum in digital x-ray imaging systems</t>
  </si>
  <si>
    <t>NPS; uncertainties; periodogram</t>
  </si>
  <si>
    <t>DETECTOR</t>
  </si>
  <si>
    <t>The noise power spectrum (NPS) of a digital x-ray imaging device is usually estimated from the average of periodograms of ROIs in images obtained with uniform radiation fields. The purpose of this work was developing a new estimator for calculating the NPS and comparing its uncertainties with those of the smoothed periodogram. The new estimator is built by removing those addends in the summation of the periodogram that do not contain information on stochastic noise. This was carried out by applying a short-length lag window to the autocorrelation function of noise. The length of the window was obtained from the support of this function. It has to be large enough not to eliminate information on noise autocorrelation and it has be as short as possible to minimize uncertainty. In this work, this length was set to three times the support of the autocorrelation function of noise. The new truncated sum (TS) estimator is shown to be unbiased and to have a much higher precision than that of the periodogram. The combined process of applying lag windows to the autocorrelation function of noise and removing addends with null expected values from the periodogram summation has a double effect on NPS curves. On the one hand, the curves are smoothed and, on the other hand, the uncertainties in the calculated values are highly reduced.</t>
  </si>
  <si>
    <t>[Gonzalez-Lopez, Antonio] Hosp Univ Virgen Arrixaca, El Palmar 30120, Murcia, Spain</t>
  </si>
  <si>
    <t>Hospital Clinico Universitario Virgen de la Arrixaca</t>
  </si>
  <si>
    <t>González-López, A (通訊作者)， Hosp Univ Virgen Arrixaca, El Palmar 30120, Murcia, Spain.</t>
  </si>
  <si>
    <t>antonio.gonzalez7@carm.es</t>
  </si>
  <si>
    <t>Gonzalez-Lopez, Antonio/D-1048-2017</t>
  </si>
  <si>
    <t>Gonzalez-Lopez, Antonio/0000-0001-6161-3853</t>
  </si>
  <si>
    <t>10.1088/1361-6560/ab5518</t>
  </si>
  <si>
    <t>KT1IM</t>
  </si>
  <si>
    <t>WOS:000518764900003</t>
  </si>
  <si>
    <t>Colnot, J; Barraux, ; Loiseau, C; Berejny, P; Batalla, A; Gschwind, R; Huet, C</t>
  </si>
  <si>
    <t>Colnot, J.; Barraux, V; Loiseau, C.; Berejny, P.; Batalla, A.; Gschwind, R.; Huet, C.</t>
  </si>
  <si>
    <t>A new Monte Carlo model of a Cyberknife® system for the precise determination of out-of-field doses</t>
  </si>
  <si>
    <t>out-of-field doses; Monte-Carlo simulation; stereotactic radiotherapy; film measurements</t>
  </si>
  <si>
    <t>MODULATED RADIATION-THERAPY; CANCER-RISK; RADIOTHERAPY; IMRT; RADIOSURGERY; PNEUMONITIS; ACCURACY; ERROR; ORGAN</t>
  </si>
  <si>
    <t>In a previous work, a PENELOPE Monte Carlo model of a Cyberknife system equipped with fixed collimator was developed and validated for in-field dose evaluation. The aim of this work is to extend it to evaluate peripheral doses and to determine the precision of the treatment planning system ( TPS) Multiplan in evaluating the off-axis doses. The Cyberknife (R) head model was completed with surrounding components based on manufacturer drawings. The contribution of the different head parts on the out-of-field dose was studied. To model the attenuation and the modification of particle energy caused by components not modelled, the photon transport was modified in one of the added components. The model was iteratively adjusted to fit dose profiles measured with EBT3 films and an ionization chamber for several collimator sizes. Finally, dose profiles were calculated using the two Multiplan TPS algorithms and were compared to our simulations. The contributions to out-of-field dose were identified as scattered radiation from the phantom and head leakage and scatter originating at the secondary collimator level. Particle transport in the additional pieces was modified to model this radiation. The maximum differences between simulated and measured doses are of 20.4%. Regarding the detector responses away from axis, EBT3 films and the Farmer chamber give similar response (less than 20% difference). The TPS Monte Carlo algorithm underestimates the doses away from axis more importantly for the smaller field sizes (up to 98%). Besides, RayTracing simplifies peripheral dose to a constant value with no inclusion of particle transport. A Monte Carlo model of a Cyberknife system for the determination of out-of-field doses up to 14 cm off-axis was successfully developed and validated for different depths and field sizes in comparison with measurements. This study also confirms that TPS algorithms do not model peripheral dose properly.</t>
  </si>
  <si>
    <t>[Colnot, J.; Huet, C.] IRSN, Serv Rech Dosimetrie, Lab Dosimetrie Rayonnements Ionisants, Fontenay Aux Roses, France; [Barraux, V; Loiseau, C.; Berejny, P.; Batalla, A.] Ctr Francois Baclesse, Serv Phys Med, Caen, France; [Gschwind, R.] Univ Bourgogne Franche Comte, LCE UMR CNRS 6249, Montbeliard, France</t>
  </si>
  <si>
    <t>UNICANCER; Centre Francois Baclesse; Marie &amp; Louis Pasteur University</t>
  </si>
  <si>
    <t>Colnot, J (通訊作者)， IRSN, Serv Rech Dosimetrie, Lab Dosimetrie Rayonnements Ionisants, Fontenay Aux Roses, France.</t>
  </si>
  <si>
    <t>julie.colnot@irsn.fr</t>
  </si>
  <si>
    <t>BATALLA, Alain/0000-0001-8489-5689</t>
  </si>
  <si>
    <t>10.1088/1361-6560/ab38e5</t>
  </si>
  <si>
    <t>WOS:000505953700002</t>
  </si>
  <si>
    <t>Cates, JW; Levin, CS</t>
  </si>
  <si>
    <t>Cates, Joshua W.; Levin, Craig S.</t>
  </si>
  <si>
    <t>Electronics method to advance the coincidence time resolution with bismuth germanate</t>
  </si>
  <si>
    <t>time-of-flight PET; positron emission tomography; bismuth germanate</t>
  </si>
  <si>
    <t>PET DETECTORS; ANALOG</t>
  </si>
  <si>
    <t>Exploiting the moderate Cherenkov yield from 511 keV photoelectric interactions in bismuth germanate (BGO) scintillators enables one to achieve a level of coincidence time resolution (CTR) appropriate for time-of-flight positron emission tomography (TOF-PET). For this approach, owing to the low number of promptly emitted light photons, single photon time resolution (SPTR) can have a stronger influence on achievable CTR. We have previously shown readout techniques that reduce effective device capacitance of large area silicon photomultipliers (SiPMs) can yield improvements in single photon response shape that minimize the influence of electronic noise on SPTR. With these techniques, sub-100 ps FWHM SPTR can be achieved with 4 x 4 mm(2) FBK near-ultra-violet high density (NW-HD) SiPMs. These sensors are also useful for detecting Cherenkov light due to relatively high photon detection efficiency for UV light. In this work, we measured CTR for BGO crystals coupled to FBK NUV-HD SiPMs with a passive bootstrapping readout circuit that effectively reduces the SiPM device capacitance. A range of CTR values between 200 +/- 3 and 277 +/- 7 ps FWHM were measured for 3 x 3 x 3 and 3 x 3 x 15 mm(3) crystals, respectively. This readout technique provides a relatively simple approach to achieve state-of-the-art CTR performance using BGO crystals for TOF-PET.</t>
  </si>
  <si>
    <t>[Cates, Joshua W.] Lawrence Berkeley Natl Lab, Appl Nucl Phys, Berkeley, CA 94720 USA; [Levin, Craig S.] Stanford Univ, Sch Med, Stanford, CA 94305 USA</t>
  </si>
  <si>
    <t>United States Department of Energy (DOE); Lawrence Berkeley National Laboratory; Stanford University</t>
  </si>
  <si>
    <t>Cates, JW (通訊作者)， Lawrence Berkeley Natl Lab, Appl Nucl Phys, Berkeley, CA 94720 USA.</t>
  </si>
  <si>
    <t>jcates@lbl.gov</t>
  </si>
  <si>
    <t>Levin, Craig/0000-0002-4575-5074</t>
  </si>
  <si>
    <t>NIH [R01-CA214669-02, R01-EB025125-02]</t>
  </si>
  <si>
    <t>This work was supported in part by NIH R01-CA214669-02 and R01-EB025125-02. The authors would like to thank Stefan Gundacker for the interesting discussions on this electronic readout. The authors would also like to thank Alberto Gola of Fondazione Bruno Kessler for providing the NUV-HD SiPMs used in this work.</t>
  </si>
  <si>
    <t>10.1088/1361-6560/ab31e3</t>
  </si>
  <si>
    <t>WOS:000484728400001</t>
  </si>
  <si>
    <t>Garty, G; Pujol-Canadell, M; Brenner, DJ</t>
  </si>
  <si>
    <t>Garty, Guy; Pujol-Canadell, Monica; Brenner, David J.</t>
  </si>
  <si>
    <t>An injectable dosimeter for small animal irradiations</t>
  </si>
  <si>
    <t>TLD; encapsulation; dose validation</t>
  </si>
  <si>
    <t>LIF-MG; TLD-100</t>
  </si>
  <si>
    <t>Accuracy and precision in dosimetry is crucial in studies involving animal models. Small animal dosimetry, in particular for protracted exposures to non uniform radiation fields is particularly challanging. We have developed a novel in vivo dosimeter based on glass encapsulated TLD rods. These encapsulated rods can be injected into mice and used for validating doses to an individual mouse in a protracted irradiation scenario where the mouse is free to move in an inhomogenous radiation field. Data from 30 irradiated mice shows a reliable dose reconstruction within 10% of the nominal delivered dose.</t>
  </si>
  <si>
    <t>[Garty, Guy] Columbia Univ, Radiol Res Accelerator Facil, Irvington, NY 10533 USA; [Pujol-Canadell, Monica; Brenner, David J.] Columbia Univ, Ctr Radiol Res, New York, NY 10032 USA</t>
  </si>
  <si>
    <t>Columbia University; Columbia University</t>
  </si>
  <si>
    <t>Garty, G (通訊作者)， Columbia Univ, Radiol Res Accelerator Facil, Irvington, NY 10533 USA.</t>
  </si>
  <si>
    <t>gyg2101@cumc.columbia.edu</t>
  </si>
  <si>
    <t>; Garty, Guy/M-9080-2019; Pujol-Canadell, Monica/AAY-1622-2020</t>
  </si>
  <si>
    <t>Pujol Canadell, Monica/0000-0002-7403-9683; Garty, Guy/0000-0001-5683-7318</t>
  </si>
  <si>
    <t>Eric King and King Precision Glass Inc. (Claremont, CA); National Institute of Allergy and Infectious Diseases (NIAID), National Institutes of Health (NIH) [U19-AI067773]</t>
  </si>
  <si>
    <t>Eric King and King Precision Glass Inc. (Claremont, CA); National Institute of Allergy and Infectious Diseases (NIAID), National Institutes of Health (NIH)(United States Department of Health &amp; Human ServicesNational Institutes of Health (NIH) - USANIH National Institute of Allergy &amp; Infectious Diseases (NIAID))</t>
  </si>
  <si>
    <t>The authors would like to acknowledge the support of Eric King and King Precision Glass Inc. (Claremont, CA) in developing the TLD encapsulation procedures.This work was supported by grant number U19-AI067773 to the Center for High-Throughput Minimally Invasive Radiation Biodosimetry, from the National Institute of Allergy and Infectious Diseases (NIAID), National Institutes of Health (NIH). The content is solely the responsibility of the authors and does not necessarily represent the official views of the NIAID or NIH.</t>
  </si>
  <si>
    <t>18NT01</t>
  </si>
  <si>
    <t>10.1088/1361-6560/ab3bb9</t>
  </si>
  <si>
    <t>IY4OV</t>
  </si>
  <si>
    <t>WOS:000486373800001</t>
  </si>
  <si>
    <t>Cheon, BW; Yoo, DH; Shin, WG; Choi, HJ; Park, HJ; Kim, JI; Min, CH</t>
  </si>
  <si>
    <t>Cheon, Bo-Wi; Yoo, Do-Hyeon; Shin, Wook-Geun; Choi, Hyun-Joon; Park, Hyo-Jun; Kim, Jung-In; Min, Chul Hee</t>
  </si>
  <si>
    <t>Development of advanced skin dose evaluation technique using a tetrahedral-mesh phantom in external beam radiotherapy: a Monte Carlo simulation study</t>
  </si>
  <si>
    <t>skin dose; Monte Carlo; tetrahedral-mesh phantom; basal layer; local dose</t>
  </si>
  <si>
    <t>MODULATED RADIATION-THERAPY; BUILDUP REGION; SURFACE; HEAD</t>
  </si>
  <si>
    <t>Incorrect prediction of skin dose in external beam radiotherapy (EBR) can have normal tissue complication such as acute skin desquamation and skin necrosis. The absorbed dose of skin should be evaluated within basal layer, placed between the epidermis and dermis layers. However, current treatment planning systems (TPS) cannot correctly define the skin layer because of the limitation of voxel resolution in computed tomography (CT). Recently, a new tetrahedral-mesh (TM) phantom was developed to evaluate radiation dose realistically. This study aims to develop a technique to evaluate realistic skin dose using the TM phantom in EBR. The TM phantom was modeled with thin skin layers, including the epidermis, basal layer, and dermis from CT images. Using the Geant4 toolkit, the simulation was performed to evaluate the skin dose according to the radiation treatment conditions. The skin dose was evaluated at a surface depth of 50 mu m and 2000 mu m. The difference in average skin dose between depths was up to 37%, depending on the thickness and region of the skin to be measured. The results indicate that the skin dose has been overestimated when the skin is evaluated using commercial TPS. Although it is not possible with traditional TPS, our skin dose evaluation technique can realistically express the absorbed dose at thin skin layers from a patient-specific phantom.</t>
  </si>
  <si>
    <t>[Cheon, Bo-Wi; Yoo, Do-Hyeon; Shin, Wook-Geun; Choi, Hyun-Joon; Park, Hyo-Jun; Min, Chul Hee] Yonsei Univ, Dept Radiat Convergence Engn, Wonju 26493, South Korea; [Kim, Jung-In] Seoul Natl Univ Hosp, Dept Radiat Oncol, Seoul 03080, South Korea</t>
  </si>
  <si>
    <t>Yonsei University; Seoul National University (SNU); Seoul National University Hospital</t>
  </si>
  <si>
    <t>Min, CH (通訊作者)， Yonsei Univ, Dept Radiat Convergence Engn, Wonju 26493, South Korea.</t>
  </si>
  <si>
    <t>chmin@yonsei.ac.kr</t>
  </si>
  <si>
    <t>Yoo, Dohyeon/AAS-2073-2021; Shin, Wook-Geun/ITT-7020-2023; Min, Chul/AAI-2012-2019</t>
  </si>
  <si>
    <t>Shin, Wook-Geun/0000-0002-8622-1888; Kim, Jung-in/0000-0002-0305-5969; Yoo, Dohyeon/0000-0002-1790-0297; Cheon, Bo Wi/0000-0001-6430-6744; Park, HyoJun/0000-0002-7582-4763</t>
  </si>
  <si>
    <t>Basic Science Research Program through the National Research Foundation of Korea (NRF) - Ministry of Science, ICT &amp; Future Planning [NRF-2017M2A2A4A01019817, 2017R1A2B4010416]</t>
  </si>
  <si>
    <t>Basic Science Research Program through the National Research Foundation of Korea (NRF) - Ministry of Science, ICT &amp; Future Planning(National Research Foundation of KoreaMinistry of Science, ICT &amp; Future Planning, Republic of Korea)</t>
  </si>
  <si>
    <t>The Basic Science Research Program through the National Research Foundation of Korea (NRF), which is funded by the Ministry of Science, ICT &amp; Future Planning (NRF-2017M2A2A4A01019817, and 2017R1A2B4010416), supported this research.</t>
  </si>
  <si>
    <t>10.1088/1361-6560/ab2ef5</t>
  </si>
  <si>
    <t>WOS:000481852600005</t>
  </si>
  <si>
    <t>van Haveren, R; Breedveld, S</t>
  </si>
  <si>
    <t>van Haveren, R.; Breedveld, S.</t>
  </si>
  <si>
    <t>Fast and exact Hessian computation for a class of nonlinear functions used in radiation therapy treatment planning</t>
  </si>
  <si>
    <t>point evaluation gradient and Hessian; full-Newton methods; radiation therapy treatment planning; medium-scale nonlinear optimization</t>
  </si>
  <si>
    <t>OPTIMIZATION; IMRT; ALGORITHM; IMPLEMENTATION; GENERATION</t>
  </si>
  <si>
    <t>In nonlinear optimisation, using exact Hessian computations (full-Newton) hold superior convergence properties over quasi-Newton methods or gradient-based methods. However, for medium-scale problems, computing the Hessian can be computationally expensive and thus time-consuming. For solvers dedicated to a specific problem type, it can be advantageous to hard-code optimised implementations to keep the computation time to a minimum. In this paper we derive a computationally efficient canonical form for a class of additively and multiplicatively separable functions. The major computational cost is reduced to a single multiplication of the data matrix with itself, allowing simple parallellisation on modern-day multi-core processors. We present the approach in the practical application of radiation therapy treatment planning, where this form appears for many common functions. In this case, the data matrices are the dose-influence matrices. The method is compared against automatic differentiation.</t>
  </si>
  <si>
    <t>[van Haveren, R.; Breedveld, S.] Univ Med Ctr Rotterdam, Erasmus MC Canc Inst, Dept Radiat Oncol, POB 2040, NL-3000 CA Rotterdam, Netherlands</t>
  </si>
  <si>
    <t>Erasmus University Rotterdam; Erasmus MC; Erasmus MC Cancer Institute</t>
  </si>
  <si>
    <t>van Haveren, R (通訊作者)， Univ Med Ctr Rotterdam, Erasmus MC Canc Inst, Dept Radiat Oncol, POB 2040, NL-3000 CA Rotterdam, Netherlands.</t>
  </si>
  <si>
    <t>r.vanhaveren@erasmusmc.nl</t>
  </si>
  <si>
    <t>Breedveld, Sebastiaan/0000-0001-8954-4554; van Haveren, Rens/0000-0001-6092-1854</t>
  </si>
  <si>
    <t>16NT01</t>
  </si>
  <si>
    <t>10.1088/1361-6560/ab1e17</t>
  </si>
  <si>
    <t>IS0PB</t>
  </si>
  <si>
    <t>WOS:000481852400001</t>
  </si>
  <si>
    <t>Xu, JF; Xie, SW; Zhang, X; Tao, WJ; Yang, JW; Zhao, ZX; Weng, FH; Huang, Q; Yi, F; Peng, QY</t>
  </si>
  <si>
    <t>Xu, Jianfeng; Xie, Siwei; Zhang, Xi; Tao, Weijie; Yang, Jingwu; Zhao, Zhixiang; Weng, Fenghua; Huang, Qiu; Yi, Fei; Peng, Qiyu</t>
  </si>
  <si>
    <t>A preclinical PET detector constructed with a monolithic scintillator ring</t>
  </si>
  <si>
    <t>PET scanner; scintillator crystal ring; phantom imaging; resolution; artificial neural network</t>
  </si>
  <si>
    <t>SMALL-ANIMAL PET; MOUSE-BRAIN; PERFORMANCE; CRYSTAL</t>
  </si>
  <si>
    <t>This paper presents a unique preclinical positron emission tomography (PET) detector constructed with a monolithic scintillator ring (MSR) and two rings of silicon photomultipliers (SiPM). The inner diameter, outer diameter and length of the MSR were 48.5 mm, 58.5 mm, and 25.1 mm, respectively. The two SiPM rings, constructed with 46 SiPMs, were air-coupled to the two ends of the MSR detector. The center of gravity (COG) and artificial neural network (ANN) methods were adapted to decode the positions of the gamma interactions in the circumferential (theta) and axial (Z) directions, respectively. Collimating systems, consisting of a tungsten collimator and a high-precision displacement and rotating platform, were constructed to assess the decoding accuracies of the MSR detector in both theta and Z directions. The average intrinsic full-width half maximums (FWHMs) and mean absolute errors (MAEs) of the decoding accuracies were 0.94 mm and 0.33 mm in the circumferential direction, 2.45 mm and 1.08 mm in the axial direction. An energy resolution of 10.7% was measured at 511 keV. The scintillating photons generated by a pair of coincidence gamma photons overlap with each other, and cause circumferential parallax errors in the lines of response (LOR). The experimental results show that the average FWHM errors in the theta direction increased slightly from 0.94 mm to 1.14 mm when Delta theta of the two single events was larger than 70 degrees. The imaging performance of the MSR detector was also initially assessed with a Derenzo phantom filled with F-18-FDG. The rods with a diameter larger than 1.2 mm can be resolved. The energy resolutions were 12.3% at 511 keV (single events), and 11.4% at 1022 keV (coincidence events). We concluded that it is feasible to construct the high-performance preclinical PET scanners using one or multiple MSR detectors.</t>
  </si>
  <si>
    <t>[Xu, Jianfeng; Xie, Siwei; Zhang, Xi; Yang, Jingwu] Huazhong Univ Sci &amp; Technol, Sch Mech Sci &amp; Engn, State Key Lab Digital Mfg Equipment &amp; Technol, Wuhan 430074, Hubei, Peoples R China; [Tao, Weijie; Zhao, Zhixiang; Weng, Fenghua; Huang, Qiu] Shanghai Jiao Tong Univ, Sch Biomed Engn, Shanghai 200025, Peoples R China; [Yi, Fei] Huazhong Univ Sci &amp; Technol, Sch Opt &amp; Elect Informat, Wuhan 430074, Hubei, Peoples R China; [Xie, Siwei; Peng, Qiyu] Lawrence Berkeley Natl Lab, Dept Mol Biophys &amp; Integrated Bioimaging, Berkeley, CA 94720 USA</t>
  </si>
  <si>
    <t>Huazhong University of Science &amp; Technology; Shanghai Jiao Tong University; Huazhong University of Science &amp; Technology; United States Department of Energy (DOE); Lawrence Berkeley National Laboratory</t>
  </si>
  <si>
    <t>Xu, JF (通訊作者)， Huazhong Univ Sci &amp; Technol, Sch Mech Sci &amp; Engn, State Key Lab Digital Mfg Equipment &amp; Technol, Wuhan 430074, Hubei, Peoples R China.;Peng, QY (通訊作者)， Lawrence Berkeley Natl Lab, Dept Mol Biophys &amp; Integrated Bioimaging, Berkeley, CA 94720 USA.</t>
  </si>
  <si>
    <t>jfxu@hust.edu.cn; qpeng@lbl.gov</t>
  </si>
  <si>
    <t>yi, fei/C-9939-2010; Zhao, Zhixiang/LTD-0221-2024; TAO, weijie/GSM-6852-2022; Huang, Qiujie/IXD-2058-2023</t>
  </si>
  <si>
    <t>Zhao, Zhixiang/0000-0002-7893-2719; Zhang, Xi/0000-0002-4918-0810;</t>
  </si>
  <si>
    <t>National Natural Science Foundation of China [51627807]; National Natural Science Foundation-Guangdong Joint Funds of China [U1501256]; 111 Project [B16019]; Hubei International Cooperation Project [2018AHB001]; National Institutes of Health, National Institute of Biomedical Imaging and Bioengineering [R01EB006085]</t>
  </si>
  <si>
    <t>National Natural Science Foundation of China(National Natural Science Foundation of China (NSFC)); National Natural Science Foundation-Guangdong Joint Funds of China; 111 Project(Ministry of Education, China - 111 Project); Hubei International Cooperation Project; National Institutes of Health, National Institute of Biomedical Imaging and Bioengineering(United States Department of Health &amp; Human ServicesNational Institutes of Health (NIH) - USANIH National Institute of Biomedical Imaging &amp; Bioengineering (NIBIB))</t>
  </si>
  <si>
    <t>This work was supported by the National Natural Science Foundation of China (51627807), the National Natural Science Foundation-Guangdong Joint Funds of China (U1501256), the 111 Project(B16019), Hubei International Cooperation Project(2018AHB001), and the National Institutes of Health, National Institute of Biomedical Imaging and Bioengineering (R01EB006085). We sincerely thank the Micro and Nano Fabrication and Measurement Laboratory of Mechanical Science and Engineering in HUST.</t>
  </si>
  <si>
    <t>10.1088/1361-6560/ab2ca4</t>
  </si>
  <si>
    <t>WOS:000480292700004</t>
  </si>
  <si>
    <t>Zhu, YN; Wang, Q; Li, MF; Jiang, M; Zhang, P</t>
  </si>
  <si>
    <t>Zhu, Yining; Wang, Qian; Li, Mengfei; Jiang, Ming; Zhang, Peng</t>
  </si>
  <si>
    <t>Image reconstruction by Mumford-Shah regularization for low-dose CT with multi-GPU acceleration</t>
  </si>
  <si>
    <t>huge data; low dose; Mumford-Shah regularization; multi-GPU</t>
  </si>
  <si>
    <t>TOTAL VARIATION MINIMIZATION; TOMOGRAPHY; DECOMPOSITION; ALGORITHM</t>
  </si>
  <si>
    <t>Mumford-Shah (MS) functional has emerged as a regularization technique in x-ray computed tomography (CT) recently. However, for high-resolution CT applications, the huge size of both projection data and image leads to an implementation difficulty. In this work, we propose an approach to implement and accelerate MS regularization on a multi-GPU platform to resolve the issue of data size and rich onboard memory and computing units. We have established a novel partition scheme of the 3D volume under reconstruction and corresponding multithread parallel acceleration strategy to fully utilize the computing resource of multi-GPUs. Our implementation is highly modularized and can be easily scaled with the configuration of GPUs. Experiment results with simulation data as well as real data demonstrate a superior reconstruction quality in contrast to the total variation regularization approach, especially for the ultra-low-dose case. Moreover, this is the first time that MS regularization is used for 3D reconstruction of huge images up to 3072(3) voxels within 12 min.</t>
  </si>
  <si>
    <t>[Zhu, Yining; Wang, Qian; Li, Mengfei; Zhang, Peng] Capital Normal Univ, Sch Math Sci, Beijing 100048, Peoples R China; [Zhu, Yining; Jiang, Ming] Peking Univ, Sch Math Sci, LMAM, Beijing 100871, Peoples R China; [Zhu, Yining; Jiang, Ming] Peking Univ, Beijing Int Ctr Math Res, Beijing 100871, Peoples R China; [Wang, Qian] Univ Massachusetts Lowell, Dept Elect &amp; Comp Engn, Lowell, MA 01854 USA; [Jiang, Ming] Shanghai Jiao Tong Univ, Cooperat Medianet Innovat Ctr, Shanghai 200240, Peoples R China; [Zhu, Yining] Peking Univ, Sch Math Sci, Beijing, Peoples R China</t>
  </si>
  <si>
    <t>Capital Normal University; Peking University; Peking University; University of Massachusetts System; University of Massachusetts Lowell; Shanghai Jiao Tong University; Peking University</t>
  </si>
  <si>
    <t>Jiang, M (通訊作者)， Peking Univ, Sch Math Sci, LMAM, Beijing 100871, Peoples R China.;Jiang, M (通訊作者)， Peking Univ, Beijing Int Ctr Math Res, Beijing 100871, Peoples R China.;Jiang, M (通訊作者)， Shanghai Jiao Tong Univ, Cooperat Medianet Innovat Ctr, Shanghai 200240, Peoples R China.</t>
  </si>
  <si>
    <t>ming-jiang@ieee.org</t>
  </si>
  <si>
    <t>王, 前/HOF-9878-2023; Jiang, Ming/A-9840-2008; Zhang, Peng/AAH-4853-2019</t>
  </si>
  <si>
    <t>National Basic Research Program of China (973 Program) [2015CB351803]; National Science Foundation of China [61501310, 61520106004, 61421062, 61671311]; Sino-German Center [GZ 1025]</t>
  </si>
  <si>
    <t>National Basic Research Program of China (973 Program)(National Basic Research Program of China); National Science Foundation of China(National Natural Science Foundation of China (NSFC)); Sino-German Center</t>
  </si>
  <si>
    <t>This was supported in part by the National Basic Research Program of China (973 Program) (2015CB351803), the National Science Foundation of China (61501310, 61520106004, 61421062, 61671311), and Sino-German Center (GZ 1025).</t>
  </si>
  <si>
    <t>10.1088/1361-6560/ab2c85</t>
  </si>
  <si>
    <t>WOS:000480292700012</t>
  </si>
  <si>
    <t>Fredette, NR; Kavuri, A; Das, M</t>
  </si>
  <si>
    <t>Fredette, Nathaniel R.; Kavuri, Amar; Das, Mini</t>
  </si>
  <si>
    <t>Multi-step material decomposition for spectral computed tomography</t>
  </si>
  <si>
    <t>photon counting spectral detectors; material decomposition; spectral CT; spectral x-ray; algorithm</t>
  </si>
  <si>
    <t>MULTIMATERIAL DECOMPOSITION; CT; RECONSTRUCTION</t>
  </si>
  <si>
    <t>Spectral images from photon counting detectors are being explored for material decomposition applications such as for obtaining quantitative maps of tissue types and contrast agents. While these detectors allow acquisition of multi-energy data in a single exposure, separating the total photon counts into multiple energy bins can lead to issues of count starvation and increased quantum noise in resultant maps. Furthermore, the complex decomposition problem is often solved in a single inversion step making it difficult to separate materials with dose properties. We propose a multi-step decomposition method which allows solving the problem in multiple steps using the same spectral data collected in a single exposure. During each step, quantitative accuracy of a single material is under focus and one can flexibly optimize the bins chosen in that step. The result thus obtained becomes part of the input data for the next step in the multi-step process. This makes the problem less ill-conditioned and allows better quantitation of more challenging materials within the object. In comparison to a conventional single-step method, we show excellent quantitative accuracy for decomposing up to six materials involving a mix of soft tissue types and contrast agents in micro-CT sized digital phantoms.</t>
  </si>
  <si>
    <t>[Fredette, Nathaniel R.; Kavuri, Amar; Das, Mini] Univ Houston, Dept Biomed Engn, Houston, TX 77204 USA; [Das, Mini] Univ Houston, Dept Phys, Houston, TX 77204 USA</t>
  </si>
  <si>
    <t>University of Houston System; University of Houston; University of Houston System; University of Houston</t>
  </si>
  <si>
    <t>Das, M (通訊作者)， Univ Houston, Dept Biomed Engn, Houston, TX 77204 USA.;Das, M (通訊作者)， Univ Houston, Dept Phys, Houston, TX 77204 USA.</t>
  </si>
  <si>
    <t>mdas@uh.edu</t>
  </si>
  <si>
    <t>Kavuri, Amar/HGF-0287-2022</t>
  </si>
  <si>
    <t>Kavuri, Amar/0009-0006-8325-3207</t>
  </si>
  <si>
    <t>US Department of Defense (DOD) Congressionally Directed Medical Research Program (CDMRP) [BC151607]; National Science Foundation CAREER Award [1652892]; Div Of Biological Infrastructure; Direct For Biological Sciences [1652892] Funding Source: National Science Foundation</t>
  </si>
  <si>
    <t>US Department of Defense (DOD) Congressionally Directed Medical Research Program (CDMRP); National Science Foundation CAREER Award(National Science Foundation (NSF)); Div Of Biological Infrastructure; Direct For Biological Sciences(National Science Foundation (NSF)NSF - Directorate for Biological Sciences (BIO))</t>
  </si>
  <si>
    <t>This work was partially supported by funding from the US Department of Defense (DOD) Congressionally Directed Medical Research Program (CDMRP) Breakthrough Award BC151607 and the National Science Foundation CAREER Award 1652892.</t>
  </si>
  <si>
    <t>10.1088/1361-6560/ab2b0e</t>
  </si>
  <si>
    <t>WOS:000475378800001</t>
  </si>
  <si>
    <t>Gong, J; Liu, JY; Hao, W; Nie, SD; Wang, SP; Peng, WJ</t>
  </si>
  <si>
    <t>Gong, Jing; Liu, Jiyu; Hao, Wen; Nie, Shengdong; Wang, Shengping; Peng, Weijun</t>
  </si>
  <si>
    <t>Computer-aided diagnosis of ground-glass opacity pulmonary nodules using radiomic features analysis</t>
  </si>
  <si>
    <t>computer-aided diagnosis (CADx); ground-glass opacity (GGO); CT scan; pulmonary nodule classification; radiomic features</t>
  </si>
  <si>
    <t>LUNG NODULES; CLASSIFICATION; IMAGES; MODEL</t>
  </si>
  <si>
    <t>This study aims to develop a CT-based radiomic features analysis approach for diagnosis of groundg-lass opacity (GGO) pulmonary nodules, and also assess whether computer-aided diagnosis (CADx) performance changes in classifying between benign and malignant nodules associated with histopathological subtypes namely, adenocarcinoma in situ (AIS), minimally invasive adenocarcinoma (MIA), and invasive adenocarcinoma (IAC), respectively. The study involves 182 histopathology-confirmed GGO nodules collected from two cancer centers. Among them, 59 are benign, 50 are AIS, 32 are MIA, and 41 are IAC nodules. Four training/ testing data sets-(1) all nodules, (2) benign and AIS nodules, (3) benign and MIA nodules, (4) benign and IAC nodules-are assembled based on their histopathological subtypes. We first segment pulmonary nodules depicted in CT images by using a 3D region growing and geodesic active contour level set algorithm. Then, we computed and extracted 1117 quantitative imaging features based on the 3D segmented nodules. After conducting radiomic features normalization process, we apply a leave-one-out cross-validation (LOOCV) method to build models by embedding with a Relief feature selection, synthetic minority oversampling technique (SMOTE) and three machine-learning classifiers namely, support vector machine classifier, logistic regression classifier and Gaussian Nave Bayes classifier. When separately using four data sets to train and test three classifiers, the average areas under receiver operating characteristic curves (AUC) are 0.75, 0.55, 0.77 and 0.93, respectively. When testing on an independent data set, our scheme yields higher accuracy than two radiologists (61.3% versus radiologist 1: 53.1% and radiologist 2: 56.3%). This study demonstrates that: (1) the feasibility of using CT-based radiomic features analysis approach to distinguish between benign and malignant GGO nodules, (2) higher performance of CADx scheme in diagnosing GGO nodules comparing with radiologist, and (3) a consistently positive trend between classification performance and invasive grade of GGO nodules. Thus, to improve the CADx performance in diagnosing of GGO nodules, one should assemble an optimal training data set dominated with more nodules associated with non-invasive lung adenocarcinoma (i.e. AIS and MIA).</t>
  </si>
  <si>
    <t>[Gong, Jing; Hao, Wen; Wang, Shengping; Peng, Weijun] Fudan Univ, Dept Radiol, Shanghai Canc Ctr, 270 Dongan Rd, Shanghai 200032, Peoples R China; [Gong, Jing; Wang, Shengping; Peng, Weijun] Fudan Univ, Shanghai Med Coll, Dept Oncol, Shanghai 200032, Peoples R China; [Liu, Jiyu] Shanghai Pulm Hosp, Dept Radiol, 507 Zheng Min Rd, Shanghai 200433, Peoples R China; [Nie, Shengdong] Univ Shanghai Sci &amp; Technol, Sch Med Instrument &amp; Food Engn, 516 Jun Gong Rd, Shanghai 200093, Peoples R China</t>
  </si>
  <si>
    <t>Fudan University; Fudan University; University of Shanghai for Science &amp; Technology</t>
  </si>
  <si>
    <t>Wang, SP; Peng, WJ (通訊作者)， Fudan Univ, Dept Radiol, Shanghai Canc Ctr, 270 Dongan Rd, Shanghai 200032, Peoples R China.;Wang, SP; Peng, WJ (通訊作者)， Fudan Univ, Shanghai Med Coll, Dept Oncol, Shanghai 200032, Peoples R China.</t>
  </si>
  <si>
    <t>cjr.pengweijun@vip.163.com</t>
  </si>
  <si>
    <t>Gong, Jing/X-5971-2019; wang, shengping/J-3901-2014</t>
  </si>
  <si>
    <t>China Postdoctoral Science Foundation [2019M651372]; Shanghai Science and Technology Funds [13411950107]; Natural Science Foundation of Shanghai [14ZR1427900]</t>
  </si>
  <si>
    <t>China Postdoctoral Science Foundation(China Postdoctoral Science Foundation); Shanghai Science and Technology Funds; Natural Science Foundation of Shanghai(Natural Science Foundation of Shanghai)</t>
  </si>
  <si>
    <t>This work was partially funded by China Postdoctoral Science Foundation under Grant No. 2019M651372, the Shanghai Science and Technology Funds under Grant No. 13411950107, the Natural Science Foundation of Shanghai under Grant No. 14ZR1427900.</t>
  </si>
  <si>
    <t>10.1088/1361-6560/ab2757</t>
  </si>
  <si>
    <t>WOS:000474396800001</t>
  </si>
  <si>
    <t>Yamamoto, S; Yamaguchi, M; Akagi, T; Sasano, M; Kawachi, N</t>
  </si>
  <si>
    <t>Yamamoto, Seiichi; Yamaguchi, Mitsutaka; Akagi, Takashi; Sasano, Makoto; Kawachi, Naoki</t>
  </si>
  <si>
    <t>Development of a YAP(Ce) camera for the imaging of secondary electron bremsstrahlung x-ray emitted during carbon-ion irradiation toward the use of clinical conditions</t>
  </si>
  <si>
    <t>YAP(Ce); secondary electron bremsstrahlung x-ray; carbon ion; clinical dose; attenuation</t>
  </si>
  <si>
    <t>PROMPT GAMMA-RAYS; RANGE VERIFICATION; POSITRON-EMISSION; PROTON; BEAMS; RADIOTHERAPY; TRANSPORT; DELIVERY</t>
  </si>
  <si>
    <t>Low-energy x-ray imaging of the secondary electron bremsstrahlung (SEB) x-ray emitted during carbon-ion irradiation is a promising method for range estimation. However, it remains unclear whether the method can be used for imaging with the clinical dose levels of carbon-ion and whether the bremsstrahlung x-ray can be detected from the deeper part of the body. To clarify these points, we developed a new high resolution low-energy x-ray camera and conducted imaging of the SEB x-ray during the irradiation of carbon-ions of different energies and intensities. Imaging was also tried with an x-ray camera using a human-head-sized, 17 cm diameter cylindrical phantom. To develop a high resolution imaging detector for a low-energy x-ray, we used a 20 x 20 x 0.5 mm thick cerium-doped yttrium aluminum perovskite,YA1O(3) (YAP(Ce)) scintillator plate, which was optically coupled to a 25 mm square high quantum efficiency (HQE) type position sensitive photomultiplier tube (PSPMT). The imaging detector was encased in a 2 cm thick tungsten container and a pinhole collimator was attached to its camera head. After evaluating the camera's performance, SEB x-ray imaging was tried during irradiation of the carbon-ion and compared the results with a Monte Carlo simulation. We imaged the beam tracks by the SEB x-ray in real-time during irradiation of the carbon-ion and imaging and range estimation were possible even with near clinical dose level of 7.5 x 10(8) particles of carbon-ion. Clear images of a SEB x-ray were also obtained for a 17 cm diameter cylindrical phantom. The measured images were good agreement with the Monte Carlo simulation. We confirmed that our developed YAP(Ce) camera is promising for imaging SEB x-rays during irradiation of carbon-ions even near clinical conditions.</t>
  </si>
  <si>
    <t>[Yamamoto, Seiichi] Nagoya Univ, Radiol &amp; Med Lab Sci, Grad Sch Med, Higashi Ku, 1-1-20 Daiko Minami, Nagoya, Aichi 4618673, Japan; [Yamaguchi, Mitsutaka; Kawachi, Naoki] Natl Inst Quantum &amp; Radiol Sci QST, Takasaki Adv Radiat Res Inst, Quantum Beam Sci Res Direc Torate, Takasaki, Gunma, Japan; [Akagi, Takashi] Hyogo Ion Beam Med Ctr, Tatsuno, Japan; [Sasano, Makoto] Mitsubishi Electr Corp, Adv Technol R&amp;D Ctr, Amagasaki, Hyogo, Japan</t>
  </si>
  <si>
    <t>Nagoya University; National Institutes for Quantum Science &amp; Technology; Mitsubishi International Corporation (MIC); Mitsubishi Electric Corporation</t>
  </si>
  <si>
    <t>Yamamoto, S (通訊作者)， Nagoya Univ, Radiol &amp; Med Lab Sci, Grad Sch Med, Higashi Ku, 1-1-20 Daiko Minami, Nagoya, Aichi 4618673, Japan.</t>
  </si>
  <si>
    <t>s-yama@met.nagoya-u.ac.jp</t>
  </si>
  <si>
    <t>Kawachi, Naoki/ABD-6675-2021</t>
  </si>
  <si>
    <t>Kawachi, Naoki/0000-0002-3991-5035; Yamaguchi, Mitsutaka/0000-0002-3412-4066</t>
  </si>
  <si>
    <t>JSPS KAKENHI [JP18K19909]</t>
  </si>
  <si>
    <t>JSPS KAKENHI(Ministry of Education, Culture, Sports, Science and Technology, Japan (MEXT)Japan Society for the Promotion of ScienceGrants-in-Aid for Scientific Research (KAKENHI))</t>
  </si>
  <si>
    <t>This work was partly supported by JSPS KAKENHI Grant Number JP18K19909.</t>
  </si>
  <si>
    <t>10.1088/1361-6560/ab2072</t>
  </si>
  <si>
    <t>WOS:000474396800005</t>
  </si>
  <si>
    <t>Gao, H; Clasie, B; Liu, T; Lin, YT</t>
  </si>
  <si>
    <t>Gao, Hao; Clasie, Benjamin; Liu, Tian; Lin, Yuting</t>
  </si>
  <si>
    <t>Minimum MU optimization (MMO): an inverse optimization approach for the PBS minimum MU constraint</t>
  </si>
  <si>
    <t>proton therapy; pencil beam scanning (PBS); intensity modulated proton therapy (IMPT); alternating direction method of multipliers (ADMM)</t>
  </si>
  <si>
    <t>CONE-BEAM CT; ALGORITHM</t>
  </si>
  <si>
    <t>The deliverability of proton pencil beam scanning (PBS) treatment plans is subject to the minimum monitor unit (MU) constraint. This work introduces an inverse optimization approach to enforce the minimum MU constraint on planned spots, for accurate delivery of the planned dose. We formulate the minimum MU problem as an inverse optimization problem that accounts for the minimum MU constraint, i.e. minimum MU optimization (MMO). The MMO minimizes the difference between planned dose and deliverable dose while simultaneously enforcing the minimum MU constraint. Owing to the minimum MU constraint, MMO is nonconvex. Iterative convex relaxations are applied so that a sequence of convex subproblems of MMO need to be solved. The solution algorithm to the convex subproblem is developed based on alternating direction method of multipliers (ADMM). The MMO is validated in comparison with a greedy reassignment (GR) algorithm, and the gamma-index results suggest MMO can provide more accurate deliverable plans than GR. A simple-to-implement ADMM based MMO is developed to deal with the minimum MU constraint for high-quality deliverable PBS treatment plans.</t>
  </si>
  <si>
    <t>[Gao, Hao; Liu, Tian; Lin, Yuting] Emory Univ, Dept Radiat Oncol, Winship Canc Inst, Atlanta, GA 30322 USA; [Clasie, Benjamin] Massachusetts Gen Hosp, Dept Radiat Oncol, Boston, MA 02114 USA; [Clasie, Benjamin] Harvard Med Sch, Boston, MA 02115 USA</t>
  </si>
  <si>
    <t>Emory University; Harvard University; Harvard University Medical Affiliates; Massachusetts General Hospital; Harvard University; Harvard Medical School</t>
  </si>
  <si>
    <t>Gao, H (通訊作者)， Emory Univ, Dept Radiat Oncol, Winship Canc Inst, Atlanta, GA 30322 USA.</t>
  </si>
  <si>
    <t>hgao24@emory.edu</t>
  </si>
  <si>
    <t>10.1088/1361-6560/ab2133</t>
  </si>
  <si>
    <t>KT3PU</t>
  </si>
  <si>
    <t>WOS:000518929800001</t>
  </si>
  <si>
    <t>Alnaghy, S; Kyme, A; Caillet, V; Nguyen, DT; O'Brien, R; Booth, JT; Keall, PJ</t>
  </si>
  <si>
    <t>Alnaghy, Saree; Kyme, Andre; Caillet, Vincent; Doan Trang Nguyen; O'Brien, Ricky; Booth, Jeremy T.; Keall, Paul J.</t>
  </si>
  <si>
    <t>A six-degree-of-freedom robotic motion system for quality assurance of real-time image-guided radiotherapy</t>
  </si>
  <si>
    <t>six degrees of freedom; intrafraction motion; motion adaptive radiotherapy; quality assurance; robotic motion</t>
  </si>
  <si>
    <t>MODULATED ARC THERAPY; RADIATION-THERAPY; COUCH TRACKING; PROSTATE; ACCURACY; IMPLEMENTATION; LOCALIZATION; EXPERIENCE; ROTATION; QA</t>
  </si>
  <si>
    <t>In this study we develop and characterise a six degree-of-freedom (6 DoF) robotic motion system for quality assurance of real-time image-guided radiotherapy techniques. The system consists of a commercially available robotic arm, an acrylic phantom with embedded Calypso markers, a custom base plate to mount the robot to the treatment couch, and control software implementing the appropriate sequence of transformations to reproduce measured tumour motion traces. The robotic motion system was evaluated in terms of the set-up and motion trace repeatability, static localization accuracy and dynamic localization accuracy. Four prostate, two liver and three lung motion traces, representing a range of tumor motion trajectories recorded in real patient treatments, were executed using the robotic motion system and compared with motion measurements from the clinical Calypso motion tracking system. System set-up and motion trace repeatability was better than 0.5 deg and 0.3 mm for rotation and translation, respectively. The static localization accuracy of the robotic motion system in the LR, SI and AP directions was 0.09 mm, 0.08 mm and 0.02 mm for translations, respectively, and 0.2 degrees, 0.06 degrees and 0.06 degrees for rotations, respectively. The dynamic localization accuracy of the robotic motion system was &lt;0.2 mm and &lt;0.6 degrees for translations and rotations, respectively. Thus, we have demonstrated the ability to accurately mimic rigid-body tumor motion using a robotically controlled phantom to provide precise geometric QA for advanced radiotherapy delivery approaches.</t>
  </si>
  <si>
    <t>[Alnaghy, Saree; Caillet, Vincent; Doan Trang Nguyen; O'Brien, Ricky; Keall, Paul J.] Univ Sydney, Cent Clin Sch, ACRF Image Inst 10, Sydney, NSW, Australia; [Kyme, Andre] Univ Sydney, Sch Aerosp Mech &amp; Mechatron Engn, Sydney, NSW, Australia; [Caillet, Vincent; Booth, Jeremy T.] Royal North Shore Hosp, Northern Sydney Canc Ctr, Sydney, NSW, Australia; [Booth, Jeremy T.] Univ Sydney, Sch Phys, Inst Med Phys, Sydney, NSW, Australia</t>
  </si>
  <si>
    <t>University of Sydney; University of Sydney; University of Sydney; Royal North Shore Hospital; University of Sydney</t>
  </si>
  <si>
    <t>Alnaghy, S (通訊作者)， Univ Sydney, Cent Clin Sch, ACRF Image Inst 10, Sydney, NSW, Australia.</t>
  </si>
  <si>
    <t>saree@uow.edu.au; paul.keall@sydney.edu.au</t>
  </si>
  <si>
    <t>Keall, Paul/A-6453-2018; Kyme, Andre/IXD-9023-2023; Alnaghy, Saree/X-5285-2019; Nguyen, Doan/KCL-7287-2024</t>
  </si>
  <si>
    <t>O'Brien, Ricky/0000-0002-6586-7356; Caillet, Vincent/0000-0002-9910-8454; Alnaghy, Saree/0000-0002-6887-9694; Booth, Jeremy/0000-0003-4004-1109; Kyme, Andre/0000-0003-3297-5390; Nguyen, Doan Trang/0000-0003-1581-0359</t>
  </si>
  <si>
    <t>Australian Government NHMRC Senior Principal Research Fellowship - Cancer Australia</t>
  </si>
  <si>
    <t>This work was supported by an Australian Government NHMRC Senior Principal Research Fellowship and a grant awarded through the 2014 round of the Priority-driven Collaborative Cancer Research Scheme and funded by Cancer Australia.</t>
  </si>
  <si>
    <t>10.1088/1361-6560/ab1935</t>
  </si>
  <si>
    <t>WOS:000468634900001</t>
  </si>
  <si>
    <t>Gang, GJ; Mao, A; Wang, WY; Siewerdsen, JH; Mathews, A; Kawamoto, S; Levinson, R; Stayman, JW</t>
  </si>
  <si>
    <t>Gang, Grace J.; Mao, Andrew; Wang, Wenying; Siewerdsen, Jeffrey H.; Mathews, Aswin; Kawamoto, Satomi; Levinson, Reuven; Stayman, J. Webster</t>
  </si>
  <si>
    <t>Dynamic fluence field modulation in computed tomography using multiple aperture devices</t>
  </si>
  <si>
    <t>dynamic bowtie; adaptive imaging; CT image quality; x-ray filtration; task driven imaging; optimized data acquisition</t>
  </si>
  <si>
    <t>OPTIMIZATION; RECONSTRUCTION; STRATEGIES; NOISE</t>
  </si>
  <si>
    <t>A novel beam filter consisting of multiple aperture devices (MADs) has been developed for dynamic fluence field modulation (FFM) in CT. Each MAD achieves spatial modulation of x-ray through fine-scale, highly attenuating tungsten bars of varying widths and spacings. Moire patterns produced by relative motions between two MADs provide versatile classes of modulation profiles. The dual-MAD filter can be designed to achieve specific classes of target profiles. The designed filter was manufactured through a laser-sintering process and integrated to an experimental imaging system that enables linear actuation of the MADs. Dynamic FFM was achieved through a combination of beam shape modulation (by relative MAD motion) and amplitude modulation (by view-dependent mAs). To correct for gains associated with the MADs, we developed an algorithm to account for possible focal spot changes during/between scans and spectral effects introduced by the MADs. We performed FFM designs for phantoms following two imaging objectives: (1) to achieve minimum mean variance in filtered backprojection (FBP) reconstruction, and (2) to flatten the fluence behind the phantom. Comparisons with conventional FFM strategies involving a static bowtie and pulse width modulation were performed. The dual-MAD filter produced modulation profiles closely matched with the design target, providing varying beam widths not achievable by the static bowtie. The entire range of modulation profiles was achieved by 0.373 mm of MAD displacement. The correction algorithm effectively alleviated ring artifacts as a result of MADs while preserving phantom details such as wires and tissue boundaries. Dynamic FFM enabled by the MADs were effective in achieving the imaging objectives and demonstrated superior FFM capabilities compared to the static bowtie. In an ellipse phantom, the FFM of objective 1 achieved the lowest mean variance in all cases investigated. The FFM of objective 2 produce nearly isotropic local noise power spectrum and homogeneous noise magnitude. The dual-MAD filter provides an effective tool for fluence control in CT to overcome limitations of conventional static bowties and to further enable patient-specific FFM studies for a wide range of dose and image quality objectives.</t>
  </si>
  <si>
    <t>[Gang, Grace J.; Mao, Andrew; Wang, Wenying; Siewerdsen, Jeffrey H.; Mathews, Aswin; Stayman, J. Webster] Johns Hopkins Univ, Dept Biomed Engn, Baltimore, MD 21218 USA; [Kawamoto, Satomi] Johns Hopkins Univ, Dept Radiol &amp; Radiol Sci, Baltimore, MD USA; [Levinson, Reuven] Philips Healthcare, Haifa, Israel</t>
  </si>
  <si>
    <t>Johns Hopkins University; Johns Hopkins University; Philips; Philips Healthcare</t>
  </si>
  <si>
    <t>Stayman, JW (通訊作者)， Johns Hopkins Univ, Dept Biomed Engn, Baltimore, MD 21218 USA.</t>
  </si>
  <si>
    <t>grace.j.gang@jhu.edu; web.stayman@jhu.edu</t>
  </si>
  <si>
    <t>; Mao, Andrew/JDV-7590-2023</t>
  </si>
  <si>
    <t>Stayman, Joseph/0000-0003-4358-378X; Mao, Andrew/0000-0002-1398-0699; Gang, Grace Jianan/0000-0002-3882-0210</t>
  </si>
  <si>
    <t>NIH [U01EB018758]</t>
  </si>
  <si>
    <t>This work is supported by NIH grant U01EB018758. Part of this research project was conducted using computational resources at the Maryland Advanced Research Computing Center (MARCC).</t>
  </si>
  <si>
    <t>10.1088/1361-6560/ab155e</t>
  </si>
  <si>
    <t>WOS:000468634900004</t>
  </si>
  <si>
    <t>Wang, HK; Yu, DY; Tan, ZY; Hu, RX; Zhang, B; Yu, J</t>
  </si>
  <si>
    <t>Wang, Hongkai; Yu, Dongyu; Tan, Ziyu; Hu, Ruxue; Zhang, Bin; Yu, Jing</t>
  </si>
  <si>
    <t>Estimation of thyroid volume from scintigraphy through 2D/3D registration of a statistical shape model</t>
  </si>
  <si>
    <t>thyroid volume estimation; statistical shape model; 2D/3D registration; scintigraphy</t>
  </si>
  <si>
    <t>3D/2D REGISTRATION; MOUSE ATLAS; RECONSTRUCTION</t>
  </si>
  <si>
    <t>Accurate measurement of thyroid volume is important for thyroid disease diagnosis and therapy. In nuclear medicine, the thyroid volume is usually estimated from scintigraphy images using empirical equations. However, due to the lack of volumetric information from the scintigraphy image, the accuracy of equation-based estimation is imperfect. To solve this problem, this paper proposes a method which registers a 3D thyroid statistical shape model (SSM) to a single-view scintigraphy image to achieve more accurate volume estimation. The SSM was constructed based on a training set of segmented 3D CT images, and the thyroid shape variations between the training subjects were modelled using the point distribution model. For thyroid volume estimation, the SSM was projected into the scintigraphy image of the target patient, and then the projected model shape was nonrigidly registered with the patient's scintigraphy image. The resultant 2D deformation file was back-rojected to 3D space to guide the deformation of the 3D SSM. This process was repeated iteratively until convergence, and the volume of the finally deformed SSM was considered as the estimation of the patient's thyroid volume. For validation, this method was evaluated based on a test set of 20 scintigraphy images, achieving an estimation error of -2.10% +/- 5.20% which was much less than the error of the conventional equation-based method (35.76% +/- 15.20%) based on the same test set. The robustness of this method was further tested using a challenging case, i.e. a scintigraphy image with a large thyroid tumor. For this case, the volume estimation error was only 6.08%. Our method has significantly improved the accuracy of thyroid volume estimation from scintigraphy images, and it will enhance the value of scintigraphy imaging for thyroid disease diagnosis and radioiodine therapy.</t>
  </si>
  <si>
    <t>[Wang, Hongkai; Zhang, Bin] Dalian Univ Technol, Sch Biomed Engn, Dalian 116024, Liaoning, Peoples R China; [Yu, Dongyu; Yu, Jing] Dalian Med Univ, Affiliated Hosp 2, Nucl Med Div, Dalian 116023, Liaoning, Peoples R China; [Tan, Ziyu] Univ Toronto, Dept Med Biophys, Toronto, ON, Canada; [Tan, Ziyu] Sunnybrook Res Inst, Phys Sci, Toronto, ON, Canada; [Hu, Ruxue] Univ Jyvaskyla, Fac Informat Technol, Jyvaskyla, Finland</t>
  </si>
  <si>
    <t>Dalian University of Technology; Dalian Medical University; University of Toronto; University of Toronto; Sunnybrook Health Science Center; Sunnybrook Research Institute; University of Jyvaskyla</t>
  </si>
  <si>
    <t>Yu, J (通訊作者)， Dalian Med Univ, Affiliated Hosp 2, Nucl Med Div, Dalian 116023, Liaoning, Peoples R China.</t>
  </si>
  <si>
    <t>medimg@qq.com</t>
  </si>
  <si>
    <t>National Natural Science Fund of China [81401475, 61571076]; Nature Science Foundation of Liaoning Province of China [201602243]; general program of Liaoning Science &amp; Technology Project [2015020040]; National Key Research and Development Program [2016YFC0103101, 2016YFC0103102]; Science and Technology Star Project Fund of Dalian City [2016RQ019]; Fundamental Research Funds for the Central Universities [DUT14RC(3)066, DUT16RC(3)099]; Xinghai Scholar Cultivating Funding of Dalian University of Technology [DUT15LN02]</t>
  </si>
  <si>
    <t>National Natural Science Fund of China(National Natural Science Foundation of China (NSFC)); Nature Science Foundation of Liaoning Province of China; general program of Liaoning Science &amp; Technology Project; National Key Research and Development Program(National Key Research &amp; Development Program of China); Science and Technology Star Project Fund of Dalian City; Fundamental Research Funds for the Central Universities(Fundamental Research Funds for the Central Universities); Xinghai Scholar Cultivating Funding of Dalian University of Technology</t>
  </si>
  <si>
    <t>Our study was funded by the youth program of the National Natural Science Fund of China (No. 81401475), the general program of the National Natural Science Fund of China (No. 61571076), the Nature Science Foundation of Liaoning Province of China (No. 201602243), the general program of Liaoning Science &amp; Technology Project (No. 2015020040), the National Key Research and Development Program (No. 2016YFC0103101, 2016YFC0103102), the Science and Technology Star Project Fund of Dalian City (No. 2016RQ019), the Fundamental Research Funds for the Central Universities (Nos. DUT14RC(3)066 and DUT16RC(3)099), and the Xinghai Scholar Cultivating Funding of Dalian University of Technology (No. DUT15LN02).</t>
  </si>
  <si>
    <t>10.1088/1361-6560/ab186d</t>
  </si>
  <si>
    <t>WOS:000466572600002</t>
  </si>
  <si>
    <t>Novillo, F; Van Eyndhoven, S; Moeyersons, J; Bogaer, J; Claessen, G; La Gerche, A; Van Huffel, S; Claus, P</t>
  </si>
  <si>
    <t>Novillo, Felipe; Van Eyndhoven, Simon; Moeyersons, Jonathan; Bogaer, Jan; Claessen, Guido; La Gerche, Andre; Van Huffel, Sabine; Claus, Piet</t>
  </si>
  <si>
    <t>Unsupervised respiratory signal extraction from ungated cardiac magnetic resonance imaging at rest and during exercise</t>
  </si>
  <si>
    <t>respiratory motion extraction; principle component analysis; exercise cardiac magiielic resonance imaging</t>
  </si>
  <si>
    <t>MOTION; MRI; HEART</t>
  </si>
  <si>
    <t>We propose and evaluate a method to estimate a respiratory signal from ungated cardiac magnetic resonance (CMR) images. Ungated CMR images were acquired in five subjects who performed exercise at different intensity levels under different physiological conditions while breathing freely. The respiratory motion was estimated by applying principal components analysis (PCA). A sign correction procedure was developed to correctly define inspiration and expiration, based on either tracking of the diaphragmatic motion or estimation of the lung volume or a combination of both. Evaluation was done using a plethysmograph signal as reference. There was a good correspondence between the plethysmograph and the estimated respiratory signals. Respiratory motion was effectively captured by one of the PCA components in 88% of the cases. Moreover, the proposed method successfully estimated the respiratory phase in 91% of the evaluated slices. The pipeline is robust, admitting a slight decline in performance with increased exercise intensity. Respiratory motion was accurately estimated by means of PCA and the application of a sign correction procedure. Our method showed promising results even for acquisitions during exercise where excessive body motion occurs. The proposed method provides a way to extract the respiratory signal from ungated CMR images, at rest as well as during exercise, in a fully unsupervised fashion, which may reduce the clinician's workload drastically.</t>
  </si>
  <si>
    <t>[Novillo, Felipe; Claus, Piet] Katholieke Univ Leuven, Dept Cardiovasc Sci Cardiovasc Imaging &amp; Dynam, Leuven, Belgium; [Van Eyndhoven, Simon; Moeyersons, Jonathan; Van Huffel, Sabine] Katholieke Univ Leuven, Dept Elect Engn ESAT, STADIUS Ctr Dynam Syst Signal Proc &amp; Data Analyt, Leuven, Belgium; [Van Eyndhoven, Simon; Moeyersons, Jonathan; Van Huffel, Sabine] Imec, Leuven, Belgium; [Bogaer, Jan] Katholieke Univ Leuven, Dept Imaging &amp; Pathol, Translat MRI Unit, Leuven, Belgium; [Claessen, Guido] Katholieke Univ Leuven, Dept Cardiovasc Sci, Cardiol Unit, Leuven, Belgium; [La Gerche, Andre] Baker Heart &amp; Diabet Inst, Melbourne, Vic, Australia</t>
  </si>
  <si>
    <t>KU Leuven; KU Leuven; Interuniversity Microelectronics Centre; KU Leuven; KU Leuven; Baker Heart and Diabetes Institute</t>
  </si>
  <si>
    <t>Claus, P (通訊作者)， Katholieke Univ Leuven, Dept Cardiovasc Sci Cardiovasc Imaging &amp; Dynam, Leuven, Belgium.</t>
  </si>
  <si>
    <t>piet.claus@kuleuven.be</t>
  </si>
  <si>
    <t>La Gerche, Andre/O-4733-2017; Van Huffel, Sabine/T-2282-2017; Claus, Piet/ABB-5756-2021; Claessen, Guido/AAH-9332-2021</t>
  </si>
  <si>
    <t>La Gerche, Andre/0000-0002-3906-3784; Claus, Piet/0000-0002-2013-639X; Van Huffel, Sabine/0000-0001-5939-0996; Moeyersons, Jonathan/0000-0003-1152-1293; Van Eyndhoven, Simon/0000-0003-0752-4969; Novillo Armijos, Felipe Gustavo/0000-0002-3356-7690;</t>
  </si>
  <si>
    <t>10.1088/1361-6560/ab02cd</t>
  </si>
  <si>
    <t>HO3KZ</t>
  </si>
  <si>
    <t>WOS:000460822700001</t>
  </si>
  <si>
    <t>Guan, FD; Geng, CR; Carlson, DJ; Ma, DH; Bronk, L; Gates, D; Wang, XC; Kry, SF; Grosshans, D; Mohan, R</t>
  </si>
  <si>
    <t>Guan, Fada; Geng, Changran; Carlson, David J.; Ma, Duo H.; Bronk, Lawrence; Gates, Drake; Wang, Xiaochun; Kry, Stephen F.; Grosshans, David; Mohan, Radhe</t>
  </si>
  <si>
    <t>A mechanistic relative biological effectiveness model-based biological dose optimization for charged particle radiobiology studies</t>
  </si>
  <si>
    <t>charged particle; RBE; Monte Carlo; python; biological dose optimization; RMF</t>
  </si>
  <si>
    <t>EFFECTIVENESS RBE VALUES; MONTE-CARLO-SIMULATION; LINEAR-QUADRATIC MODEL; HEAVY-ION RADIOTHERAPY; PROTON THERAPY; CELL-SURVIVAL; DNA-DAMAGE; IN-VITRO; TREATMENT PLAN; BRAGG PEAKS</t>
  </si>
  <si>
    <t>In charged particle therapy, the objective is to exploit both the physical and radiobiological advantages of charged particles to improve the therapeutic index. Use of the beam scanning technique provides the flexibility to implement biological dose optimized intensity-modulated ion therapy (IMIT). An easy-to-implement algorithm was developed in the current study to rapidly generate a uniform biological dose distribution, namely the product of physical dose and the relative biological effectiveness (RBE), within the target volume using scanned ion beams for charged particle radiobiological studies. Protons, helium ions and carbon ions were selected to demonstrate the feasibility and flexibility of our method. The general-purpose Monte Carlo simulation toolkit Geant4 was used for particle tracking and generation of physical and radiobiological data needed for later dose optimizations. The dose optimization algorithm was developed using the Python (version 3) programming language. A constant RBE-weighted dose (RWD) spread-out Bragg peak (SOBP) in a water phantom was selected as the desired target dose distribution to demonstrate the applicability of the optimization algorithm. The mechanistic repair-misrepair-fixation (RMF) model was incorporated into the Monte Carlo particle tracking to generate radiobiological parameters and was used to predict the RBE of cell survival in the iterative process of the biological dose optimization for the three selected ions. The post-optimization generated beam delivery strategy can be used in radiation biology experiments to obtain radiobiological data to further validate and improve the accuracy of the RBE model. This biological dose optimization algorithm developed for radiobiology studies could potentially be extended to implement biologically optimized IMIT plans for patients.</t>
  </si>
  <si>
    <t>[Guan, Fada; Ma, Duo H.; Wang, Xiaochun; Kry, Stephen F.; Mohan, Radhe] Univ Texas MD Anderson Canc Ctr, Dept Radiat Phys, Houston, TX 77030 USA; [Geng, Changran] Nanjing Univ Aeronaut &amp; Astronaut, Dept Nucl Sci &amp; Engn, Nanjing 210016, Jiangsu, Peoples R China; [Carlson, David J.] Yale Univ, Sch Med, Dept Therapeut Radiol, 333 Cedar St, New Haven, CT 06511 USA; [Bronk, Lawrence; Grosshans, David] Univ Texas MD Anderson Canc Ctr, Dept Radiat Oncol, Houston, TX 77030 USA; [Gates, Drake] NASA, Johnson Space Ctr, Orbital Debris Program Off, Houston, TX 77058 USA</t>
  </si>
  <si>
    <t>University of Texas System; UTMD Anderson Cancer Center; Nanjing University of Aeronautics &amp; Astronautics; Yale University; University of Texas System; UTMD Anderson Cancer Center; National Aeronautics &amp; Space Administration (NASA); NASA Johnson Space Center</t>
  </si>
  <si>
    <t>Guan, FD (通訊作者)， Univ Texas MD Anderson Canc Ctr, Dept Radiat Phys, Houston, TX 77030 USA.</t>
  </si>
  <si>
    <t>FGuan@mdanderson.org</t>
  </si>
  <si>
    <t>Geng, Changran/AFR-4420-2022</t>
  </si>
  <si>
    <t>GUAN, FADA/0000-0001-8477-7391; , Changran/0000-0002-6332-6193</t>
  </si>
  <si>
    <t>National Institutes of Health [U19 CA021239, U24 CA180803]</t>
  </si>
  <si>
    <t>This work was supported by National Institutes of Health grants U19 CA021239 and U24 CA180803. The authors would like to thank Dr Robert Stewart from University of Washington for discussing the use of MCDS software. We thank Dr Geoffrey Ibbott for sharing his knowledge in radiation biology and Erica Goodoff for her editorial assistance.</t>
  </si>
  <si>
    <t>10.1088/1361-6560/aaf5df</t>
  </si>
  <si>
    <t>HF4YH</t>
  </si>
  <si>
    <t>WOS:000454239200001</t>
  </si>
  <si>
    <t>Wang, HK; Han, Y; Chen, ZH; Hu, RX; Chatziioannou, AF; Zhang, B</t>
  </si>
  <si>
    <t>Wang, Hongkai; Han, Ye; Chen, Zhonghua; Hu, Ruxue; Chatziioannou, Arion F.; Zhang, Bin</t>
  </si>
  <si>
    <t>Prediction of major torso organs in low-contrast micro-CT images of mice using a two-stage deeply supervised fully convolutional network</t>
  </si>
  <si>
    <t>fully convolutional network; micro-CT; mouse image; deeply supervised network; organ segmentation</t>
  </si>
  <si>
    <t>ATLAS REGISTRATION; PET IMAGES; SEGMENTATION; MOUSE</t>
  </si>
  <si>
    <t>Delineation of major torso organs is a key step of mouse micro-CT image analysis. This task is challenging due to low soft tissue contrast and high image noise, therefore anatomical prior knowledge is needed for accurate prediction of organ regions. In this work, we develop a deeply supervised fully convolutional network which uses the organ anatomy prior learned from independently acquired contrast-enhanced micro-CT images to assist the segmentation of non-enhanced images. The network is designed with a two-stage workflow which firstly predicts the rough regions of multiple organs and then refines the accuracy of each organ in local regions. The network is trained and evaluated with 40 mouse micro-CT images. The volumetric prediction accuracy (Dice score) varies from 0.57 for the spleen to 0.95 for the heart. Compared to a conventional atlas registration method, our method dramatically improves the Dice of the abdominal organs by 18%-26%. Moreover, the incorporation of anatomical prior leads to more accurate results for small-sized low-contrast organs (e.g. the spleen and kidneys). We also find that the localized stage of the network has better accuracy than the global stage, indicating that localized single organ prediction is more accurate than global multiple organ prediction. With this work, the accuracy and efficiency of mouse micro-CT image analysis are greatly improved and the need for using contrast agent and high x-ray dose is potentially reduced.</t>
  </si>
  <si>
    <t>[Wang, Hongkai; Han, Ye; Zhang, Bin] Dalian Univ Technol, Sch Biomed Engn, Dalian 116024, Liaoning, Peoples R China; [Chen, Zhonghua; Hu, Ruxue] Univ Jyvaskyla, Fac Informat Technol, Jyvaskyla, Finland; [Chatziioannou, Arion F.] Univ Calif Los Angeles, David Geffen Sch Med, Crump Inst Mol Imaging, Los Angeles, CA 90066 USA</t>
  </si>
  <si>
    <t>Dalian University of Technology; University of Jyvaskyla; University of California System; University of California Los Angeles; University of California Los Angeles Medical Center; David Geffen School of Medicine at UCLA</t>
  </si>
  <si>
    <t>Zhang, B (通訊作者)， Dalian Univ Technol, Sch Biomed Engn, Dalian 116024, Liaoning, Peoples R China.</t>
  </si>
  <si>
    <t>general program of the National Natural Science Fund of China [61571076]; youth program of the National Natural Science Fund of China [81401475]; general program of Liaoning Science &amp; Technology Project [2015020040]; Science and Technology Innovation Fund of Dalian City [2018J12GX042]; Fundamental Research Funds for the Central Universities [DUT16RC(3)099]; Xinghai Scholar Cultivating Funding of Dalian University of Technology [DUT15LN02]</t>
  </si>
  <si>
    <t>general program of the National Natural Science Fund of China; youth program of the National Natural Science Fund of China; general program of Liaoning Science &amp; Technology Project; Science and Technology Innovation Fund of Dalian City; Fundamental Research Funds for the Central Universities(Fundamental Research Funds for the Central Universities); Xinghai Scholar Cultivating Funding of Dalian University of Technology</t>
  </si>
  <si>
    <t>This study was funded by the general program of the National Natural Science Fund of China (No. 61571076), the youth program of the National Natural Science Fund of China (No. 81401475), the general program of Liaoning Science &amp; Technology Project (No. 2015020040), the Science and Technology Innovation Fund of Dalian City (2018J12GX042), the Fundamental Research Funds for the Central Universities (DUT16RC(3)099), and the Xinghai Scholar Cultivating Funding of Dalian University of Technology (No. DUT15LN02).</t>
  </si>
  <si>
    <t>10.1088/1361-6560/ab59a4</t>
  </si>
  <si>
    <t>KK8TY</t>
  </si>
  <si>
    <t>WOS:000513010200001</t>
  </si>
  <si>
    <t>Dong, X; Wang, TH; Lei, Y; Higgins, K; Liu, T; Curran, WJ; Mao, H; Nye, JA; Yang, XF</t>
  </si>
  <si>
    <t>Dong, Xue; Wang, Tonghe; Lei, Yang; Higgins, Kristin; Liu, Tian; Curran, Walter J.; Mao, Hui; Nye, Jonathon A.; Yang, Xiaofeng</t>
  </si>
  <si>
    <t>Synthetic CT generation from non-attenuation corrected PET images for whole-body PET imaging</t>
  </si>
  <si>
    <t>whole-body PET; attenuation correction; deep learning</t>
  </si>
  <si>
    <t>QUANTITATIVE-EVALUATION; GUIDED ATTENUATION; PET/MRI; MRI; SEGMENTATION; ATLAS; CLASSIFICATION; CHALLENGES</t>
  </si>
  <si>
    <t>Attenuation correction (AC) of PET/MRI faces challenges including inter-scan motion, image artifacts such as truncation and distortion, and erroneous transformation of structural voxel-intensities to PET mu-map values. We propose a deep-learning-based method to derive synthetic CT (sCT) images from non-attenuation corrected PET (NAC PET) images for AC on whole-body PET/MRI imaging. A 3D cycle-consistent generative adversarial networks (CycleGAN) framework was employed to synthesize CT images from NAC PET. The method learns a transformation that minimizes the difference between sCT, generated from NAC PET, and true CT. It also learns an inverse transformation such that cycle NAC PET image generated from the sCT is close to true NAC PET image. A self-attention strategy was also utilized to identify the most informative component and mitigate the disturbance of noise. We conducted a retrospective study on a total of 119 sets of whole-body PET/CT, with 80 sets for training and 39 sets for testing and evaluation. The whole-body sCT images generated with proposed method demonstrate great resemblance to true CT images, and show good contrast on soft tissue, lung and bony tissues. The mean absolute error (MAE) of sCT over true CT is less than 110 HU. Using sCT for whole-body PET AC, the mean error of PET quantification is less than 1% and normalized mean square error (NMSE) is less than 1.4%. Average normalized cross correlation on whole body is close to one, and PSNR is larger than 42 dB. We proposed a deep learning-based approach to generate sCT from whole-body NAC PET for PET AC. sCT generated with proposed method shows great similarity to true CT images both qualitatively and quantitatively, and demonstrates great potential for whole-body PET AC in the absence of structural information.</t>
  </si>
  <si>
    <t>[Dong, Xue; Wang, Tonghe; Lei, Yang; Higgins, Kristin; Liu, Tian; Curran, Walter J.; Yang, Xiaofeng] Emory Univ, Dept Radiat Oncol, Atlanta, GA 30322 USA; [Higgins, Kristin; Liu, Tian; Curran, Walter J.; Mao, Hui] Emory Univ, Winship Canc Inst, Atlanta, GA 30322 USA; [Mao, Hui; Nye, Jonathon A.] Emory Univ, Dept Radiol &amp; Imaging Sci, Atlanta, GA 30322 USA</t>
  </si>
  <si>
    <t>; Yang, Xiaofeng/G-9479-2012; Wang, Tonghe/AAL-9431-2020; Lei, Yang/AAE-5089-2019</t>
  </si>
  <si>
    <t>Wang, Tonghe/0000-0001-9021-1204; Lei, Yang/0000-0002-3572-0345; Yang, Xiaofeng/0000-0001-9023-5855;</t>
  </si>
  <si>
    <t>This research was supported in part by the National Cancer Institute of the National Institutes of Health Award Number R01CA215718 and the Emory Winship Cancer Institute pilot grant.</t>
  </si>
  <si>
    <t>10.1088/1361-6560/ab4eb7</t>
  </si>
  <si>
    <t>JK5BL</t>
  </si>
  <si>
    <t>WOS:000494858500001</t>
  </si>
  <si>
    <t>Schopphoven, S; Cavael, P; Bock, K; Fiebich, M; Mäder, U</t>
  </si>
  <si>
    <t>Schopphoven, Stephan; Cavael, Pierre; Bock, Karin; Fiebich, Martin; Maeder, Ulf</t>
  </si>
  <si>
    <t>Breast phantoms for 2D digital mammography with realistic anatomical structures and attenuation characteristics based on clinical images using 3D printing</t>
  </si>
  <si>
    <t>anthropomorphic breast phantom; 2D digital mammography; 3D printing; quality assessment; inter-system comparisons</t>
  </si>
  <si>
    <t>SIMULATED MICROCALCIFICATIONS; QUALITY</t>
  </si>
  <si>
    <t>The aim of this work was to develop a production process for breast phantoms for 2D digital mammography (DM) with realistic anatomical structures and attenuation characteristics based on clinical images using 3D printing. The presented production process is based on PolyJet 3D printing technology using a polypropylene like printing material. First, an attenuation calibration function for this material and the achievable lateral resolution of the printing process of about 200 mu m was determined. Subsequently, to generate the digital 3D model of the breast phantom, the pixel intensities of the unprocessed clinical image that are related to the attenuation along the z-axis of the breast, were converted to corresponding phantom heights using the calibration function. To validate the process, an image of the 3D printed breast phantom was acquired on the full field digital mammography (FFDM) system used for calibration and compared with the clinical image in terms of anatomical structures and associated attenuation characteristics. The exposure parameters and image impression of the phantom were evaluated using five other FFDM systems of different manufacturers and types. Results demonstrated that the anatomical structures in the images and the attenuation characteristics of a female breast and the derived phantom agreed on the FFDM system used for calibration. The automatic exposure control segmentation, the automatically selected exposure parameters and the image postprocessing of the clinical and phantom image indicated a high level of conformity. As shown, the phantom is also suitable for other FFDM systems. In conclusion, an approach to produce anthropomorphic breast phantoms for DM offering realistic anatomical structures and attenuation characteristics based on clinical images was successfully developed. As shown, the phantom realistically simulated the original female breast. Therefore, it is expected that such phantoms are promising to support bridging the gap between physical-technical and diagnostic image quality assessment. In addition, they enable a variety of practical and scientific applications for which present technical phantoms are not suitable.</t>
  </si>
  <si>
    <t>[Schopphoven, Stephan; Cavael, Pierre; Bock, Karin] Reference Ctr Mammog Screening Southwest Germany, Referenzzentrum Mammog Sud West, Bahnhofstr 7, D-35037 Marburg, Germany; [Fiebich, Martin; Maeder, Ulf] Univ Appl Sci, Tech Hsch Mittelhessen, Wiesenstr 14, D-35390 Giessen, Germany</t>
  </si>
  <si>
    <t>Schopphoven, S (通訊作者)， Reference Ctr Mammog Screening Southwest Germany, Referenzzentrum Mammog Sud West, Bahnhofstr 7, D-35037 Marburg, Germany.</t>
  </si>
  <si>
    <t>schopphoven@referenzzentrum-suedwest.de; cavael@referenzzentrum-suedwest.de; bock@referenzzentrum-suedwest.de; martin.fiebich@lse.thm.de; ulf.maeder@lse.thm.de</t>
  </si>
  <si>
    <t>10.1088/1361-6560/ab3f6a</t>
  </si>
  <si>
    <t>WOS:000518764400005</t>
  </si>
  <si>
    <t>Ziegler, M; Brandt, T; Lettmaier, S; Fietkau, R; Bert, C</t>
  </si>
  <si>
    <t>Ziegler, Marc; Brandt, Tobias; Lettmaier, Sebastian; Fietkau, Rainer; Bert, Christoph</t>
  </si>
  <si>
    <t>Method for a motion model based automated 4D dose calculation</t>
  </si>
  <si>
    <t>tumor tracking; stereotactic body radiation therapy; real-time monitoring; motion modelling; 4D dose calculation</t>
  </si>
  <si>
    <t>GIMBALED LINAC SYSTEM; REAL-TIME TRACKING; TUMOR-TRACKING; BREATH-HOLD; RADIATION-THERAPY; LUNG-CANCER; RADIOTHERAPY; LIVER; CYBERKNIFE; ACCURACY</t>
  </si>
  <si>
    <t>The Vero system can treat intra-fractionally moving tumors with gimbaled dynamic tumor tracking (DTT) by rotating the treatment beam so that it follows the motion of the tumor. However, the changes in the beam geometry and the constant breathing motion of the patient influence the dose applied to the patient. This study aims to perform a full 4D dose reconstruction for thirteen patients treated with DTT at the Vero system at the Universit;tsklinikum Erlangen and investigates the temporal resolution required to perform an accurate 4D dose reconstruction. For all patients, a 4DCT was used to train a 4D motion model, which is able to calculate pseudo-CT images for arbitrary breathing phases. A new CT image was calculated for every 100?ms of treatment and a dose calculation was performed according to the current beam geometry (i.e. the rotation of the treatment beam at this moment in time) by rotating according to the momentary beam rotation, which is extracted from log-files. The resulting dose distributions were accumulated on the planning CT and characteristic parameters were extracted and compared. -evaluations of dose accumulations with different spatial-temporal resolutions were performed to determine the minimal required resolution. In total 173?700 dose calculations were performed. The accumulated 4D dose distributions show a reduced mean GTV dose of 0.77% compared to the static treatment plan. For some patients larger deviations were observed, especially in the presence of a poor 4DCT quality. The -evaluation showed that a temporal resolution of 500?ms is sufficient for an accurate dose reconstruction. If the tumor motion is regarded as well, a spatial-temporal sampling of 1400?ms and 2?mm yields accurate results, which reduces the workload by 84%.</t>
  </si>
  <si>
    <t>[Ziegler, Marc; Brandt, Tobias; Lettmaier, Sebastian; Fietkau, Rainer; Bert, Christoph] Univ Klinikum Erlangen, Friedrich Alexander Univ Erlangen Nurnberg, Dept Radiat Oncol, Univ Str 27, D-91054 Erlangen, Germany</t>
  </si>
  <si>
    <t>University of Erlangen Nuremberg</t>
  </si>
  <si>
    <t>Bert, C (通訊作者)， Univ Klinikum Erlangen, Friedrich Alexander Univ Erlangen Nurnberg, Dept Radiat Oncol, Univ Str 27, D-91054 Erlangen, Germany.</t>
  </si>
  <si>
    <t>christoph.bert@uk-erlangen.de</t>
  </si>
  <si>
    <t>Bert, Christoph/C-2585-2013</t>
  </si>
  <si>
    <t>Bert, Christoph/0000-0002-8539-6600</t>
  </si>
  <si>
    <t>10.1088/1361-6560/ab4e51</t>
  </si>
  <si>
    <t>JR9FI</t>
  </si>
  <si>
    <t>WOS:000499921800001</t>
  </si>
  <si>
    <t>Namías, M; Jeraj, R</t>
  </si>
  <si>
    <t>Namias, M.; Jeraj, R.</t>
  </si>
  <si>
    <t>Patient and scanner-specific variable acquisition times for whole-body PET/CT imaging</t>
  </si>
  <si>
    <t>image quality; optimization; PET/CT; image noise; adaptive imaging</t>
  </si>
  <si>
    <t>CLINICAL PET; CT IMAGES; OPTIMIZATION; NOISE; RECONSTRUCTION; FRAMEWORK</t>
  </si>
  <si>
    <t>Image quality in positron emission tomography (PET) is limited by the number of detected photons. Heavier patients present higher photon attenuation levels, thus increasing image noise. In this work, we propose a new method that uses the combined patient attenuation/system matrix together with a tracer uptake prediction model to optimize scan times for different bed positions in whole body scans. Our main goal is to achieve consistent noise levels across patients and anatomical regions. We propose to optimize scan times for individual bed positions, for patients of any size, based on the scanner sensitivity and patient-specific attenuation. Variable scan times for every bed position were determined by combining the system matrix, derived from the computed tomography (CT) and the scanner-specific geometric sensitivity profiles, and estimations of the global tracer uptake for each patient. The method was validated with anthropomorphic phantoms and whole-body patient F-18-FDG PET/CT scans, where variable and fixed times were compared. Phantom experiments showed that the proposed method was successful in keeping noise level constant for different attenuation setups. In real patients, image noise variability was reduced to less than one-half compared with conventional fixed-time scans at the expense of a four-fold increase in scan times between the biggest and smallest patients. Our method can homogenize image quality not only across patients of different sizes but also across different bed positions of the same patient.</t>
  </si>
  <si>
    <t>[Namias, M.] Fdn Ctr Diagnost Nucl, Dept Med Phys, Buenos Aires, DF, Argentina; [Jeraj, R.] Univ Wisconsin, Carbone Canc Ctr, Madison, WI USA; [Jeraj, R.] Univ Ljubljana, Fac Math &amp; Phys, Ljubljana, Slovenia</t>
  </si>
  <si>
    <t>IRCCS Istituto di Ricerca Diagnostica e Nucleare (SDN); University of Wisconsin System; University of Wisconsin Madison; University of Ljubljana</t>
  </si>
  <si>
    <t>Namías, M (通訊作者)， Fdn Ctr Diagnost Nucl, Dept Med Phys, Buenos Aires, DF, Argentina.</t>
  </si>
  <si>
    <t>mnamias@fcdn.org.ar; rjeraj@wisc.edu</t>
  </si>
  <si>
    <t>; Namias, Mauro/MSX-7213-2025</t>
  </si>
  <si>
    <t>Namias, Mauro/0000-0001-5808-4102; Jeraj, Robert/0000-0002-2192-2931</t>
  </si>
  <si>
    <t>10.1088/1361-6560/ab4495</t>
  </si>
  <si>
    <t>WOS:000500247900013</t>
  </si>
  <si>
    <t>Neira, S; Brualla-Gónzalez, L; Prieto-Pena, J; Gómez, F; Pardo-Montero, J</t>
  </si>
  <si>
    <t>Neira, Sara; Brualla-Gonzalez, Luis; Prieto-Pena, Juan; Gomez, Faustino; Pardo-Montero, Juan</t>
  </si>
  <si>
    <t>A kinetic model of diode detector response to pulsed radiation beams</t>
  </si>
  <si>
    <t>diode detectors; dosimetry; mathematical model; recombination</t>
  </si>
  <si>
    <t>DOSE-RATE DEPENDENCE; DOSIMETRY</t>
  </si>
  <si>
    <t>Diodes dosimeters present a complex response to pulsed beams, with diode sensitivity varying with dose-per-pulse, monitor unit rate (time between pulses) or number of integrated pulses. Such a response is caused by the complex kinetics of the interplay among charge carriers, recombination-generation centers, which capture excess minority charge carriers and facilitate recombination with a majority charge carrier, and traps with energy levels close to the conduction/valence band, which can trap and release charge carriers. This behavior has been well characterized experimentally, and modeled with phenomenological models. In this work we present a kinetic multi-compartment model of the response of diode detectors, which includes the interplay among charge carriers, recombination-generation centers, and traps. The model can qualitatively fit experimental data extracted from the literature on diode response versus dose-per-pulse, monitor unit rate (time between pulses), or number of integrated pulses. In this regard, our work provides further insight on the response of diode detectors, and a theoretical framework for the development of simple phenomenological models.</t>
  </si>
  <si>
    <t>[Neira, Sara; Pardo-Montero, Juan] IDIS, Grp Med Phys &amp; Biomath, Santiago De Compostela, Spain; [Brualla-Gonzalez, Luis] Hosp Gen Univ Valencia, Serv Radiofis, ERESA, Valencia, Spain; [Prieto-Pena, Juan; Gomez, Faustino] Univ Santiago de Compostela, Dept Particle Phys, Santiago De Compostela, Spain; [Gomez, Faustino] IDIS, Grp Mol Imaging &amp; Oncol, Santiago De Compostela, Spain; [Pardo-Montero, Juan] Complexo Hosp Univ Santiago de Compostela, Serv Radiofis &amp; Protect Radiolox, Santiago De Compostela, Spain</t>
  </si>
  <si>
    <t>Hospital Clinic Universitari de Valencia; Universidade de Santiago de Compostela; Complexo Hospitalario Universitario de Santiago de Compostela</t>
  </si>
  <si>
    <t>Pardo-Montero, J (通訊作者)， IDIS, Grp Med Phys &amp; Biomath, Santiago De Compostela, Spain.;Pardo-Montero, J (通訊作者)， Complexo Hosp Univ Santiago de Compostela, Serv Radiofis &amp; Protect Radiolox, Santiago De Compostela, Spain.</t>
  </si>
  <si>
    <t>juan.pardo.montero@sergas.es</t>
  </si>
  <si>
    <t>; Pardo-Montero, Juan/A-4459-2017</t>
  </si>
  <si>
    <t>Prieto-Pena, Juan/0000-0001-5436-9266; Neira Castro, Sara/0000-0003-4539-1415; Pardo-Montero, Juan/0000-0001-7990-3971</t>
  </si>
  <si>
    <t>Instituto de Salud Carlos III (ISCIII) (FEDER) [PI17/01428, DTS17/00123]; ISCIII through a Miguel Servet II grant (FEDER) [CPII17/00028]</t>
  </si>
  <si>
    <t>Instituto de Salud Carlos III (ISCIII) (FEDER)(Instituto de Salud Carlos IIIEuropean Union (EU)); ISCIII through a Miguel Servet II grant (FEDER)</t>
  </si>
  <si>
    <t>This work was funded by Instituto de Salud Carlos III (ISCIII) through research grants PI17/01428 and DTS17/00123 (FEDER co-funding).JP-M is supported by ISCIII through a Miguel Servet II grant (CPII17/00028, FEDER co-funding).</t>
  </si>
  <si>
    <t>10.1088/1361-6560/ab4460</t>
  </si>
  <si>
    <t>WOS:000500247900007</t>
  </si>
  <si>
    <t>Rajaee, A; Wang, S; Zhao, LY; Wang, D; Liu, YQ; Wang, JJ; Ying, K</t>
  </si>
  <si>
    <t>Rajaee, Azimeh; Wang, Shi; Zhao, Lingyun; Wang, Dan; Liu, Yaqiang; Wang, Junjie; Ying, Kui</t>
  </si>
  <si>
    <t>Multifunction bismuth gadolinium oxide nanoparticles as radiosensitizer in radiation therapy and imaging</t>
  </si>
  <si>
    <t>molecular imaging; nanomedicine; radiotherapy; bismuth-based nanoparticles; theranostics</t>
  </si>
  <si>
    <t>DOSE ENHANCEMENT; NANOTHERANOSTIC AGENT; GOLD NANOPARTICLES; POLYMER GELS; RADIOTHERAPY; BIODISTRIBUTION; PERMEABILITY; NANOAGENTS</t>
  </si>
  <si>
    <t>Multifunction bismuth-based nanoparticles with the ability to display diagnostic and therapeutic functions have drawn extensive attention as theranostic agents in radiation therapy and imaging due to their high atomic number, low toxicity, and low cost. Herein, we tried to introduce multifunction bismuth gadolinium oxide nanoparticles (BiGdO3) as a new theranostic agent for radiation therapy, computed tomography (CT) and magnetic resonance imaging (MRI). After synthesis of BiGdO3 nanoparticles and surface modifications of them with PEG, biocompatibility of the nanoparticles was evaluated by a CCK-8 assay. We investigated dose amplification properties of the nanoparticles using gel dosimetry and in vitro and in vivo assays. According to clonogenic assay radiation, a sensitizer enhancement ratio (SER) of 1.75 and 1.66 (100 mu g ml(-1)-nanoparticles), for MCF-7 and 4T1 cell lines at low energy x-ray was achieved, respectively. Radiation dose enhancement effect of the nanoparticles was proven for high concentrations (500 mu g ml(-1)) by gel dosimetry. For further investigation, in vivo cancer radiotherapy was carried out using female BALB/c mice with 4T1 breast tumors. In vivo results emphasized the radiosensitizing effect of BiGdO3-PEG nanoparticles. Both bismuth and gadolinium provide CT contrast, while gadolinium can be employed for MRI T1 contrast, so we evaluated contrast enhancement of BiGdO3-PEG nanoparticles as a dualmodal imaging agent in MR and CT imaging. Collectively, our experimental results clearly display properties of BiGdO3-PEG nanoparticles as multimodal imaging and radiosensitizing agents. The results show that the nanoparticles deserve further study as a new theranostic agent.</t>
  </si>
  <si>
    <t>[Rajaee, Azimeh; Wang, Shi; Liu, Yaqiang; Ying, Kui] Tsinghua Univ, Inst Med Phys &amp; Engn, Dept Engn Phys, Beijing 100084, Peoples R China; [Zhao, Lingyun; Wang, Dan] Tsinghua Univ, Sch Mat Sci &amp; Engn, State Key Lab New Ceram &amp; Fine Proc, Beijing 100084, Peoples R China; [Wang, Junjie] Peking Univ, Hosp 3, Dept Radiat Oncol, Beijing 100191, Peoples R China</t>
  </si>
  <si>
    <t>Tsinghua University; Tsinghua University; Peking University</t>
  </si>
  <si>
    <t>Rajaee, A (通訊作者)， Tsinghua Univ, Inst Med Phys &amp; Engn, Dept Engn Phys, Beijing 100084, Peoples R China.;Zhao, LY (通訊作者)， Tsinghua Univ, Sch Mat Sci &amp; Engn, State Key Lab New Ceram &amp; Fine Proc, Beijing 100084, Peoples R China.</t>
  </si>
  <si>
    <t>rajaeea10@mails.tsinghua.edu.cn; lyzhao@mail.tsinghua.edu.cn</t>
  </si>
  <si>
    <t>wang, dan/JPX-0483-2023; wang, junjie/R-4930-2016</t>
  </si>
  <si>
    <t>wang, dan/0000-0002-9758-3614</t>
  </si>
  <si>
    <t>National Nature Science Foundation of China [1127510, 81671829]</t>
  </si>
  <si>
    <t>National Nature Science Foundation of China(National Natural Science Foundation of China (NSFC))</t>
  </si>
  <si>
    <t>The authors are grateful for the professional technical support for the MRI analysis by the Center for Biomedical Imaging Research, Tsinghua University. This work was financially supported by the National Nature Science Foundation of China under Grant Nos. 1127510 and 81671829.</t>
  </si>
  <si>
    <t>10.1088/1361-6560/ab2154</t>
  </si>
  <si>
    <t>WOS:000505953700001</t>
  </si>
  <si>
    <t>Borman, PTS; Raaymakers, BW; Glitzner, M</t>
  </si>
  <si>
    <t>Borman, P. T. S.; Raaymakers, B. W.; Glitzner, M.</t>
  </si>
  <si>
    <t>ReconSocket: a low-latency raw data streaming interface for real-time MRI-guided radiotherapy</t>
  </si>
  <si>
    <t>MRI guidance; real-time; raw data streaming; low latency; low jitter; online</t>
  </si>
  <si>
    <t>BODY RADIATION-THERAPY; PROOF-OF-CONCEPT; MOTION; LINAC; MLC; ACCURACY; FIELD</t>
  </si>
  <si>
    <t>With the recent advent of hybrid MRI-guided radiotherapy systems, continuous intra-fraction MR imaging for motion monitoring has become feasible. The ability to perform real-time custom image reconstructions is however often lacking. In this work we present a low-latency streaming solution, ReconSocket, which provides a real-time stream of k-space data from the magnetic resonance imaging (MRI) to custom reconstruction servers. We determined the performance of the data streaming by measuring the streaming latency (i.e. non-zero time delay due to data transfer and processing) and jitter (i.e. deviations from periodicity) using an ultra-fast 1D MRI acquisition of a moving phantom. Simultaneously, its position was recorded with near-zero time delay. The feasibility of low-latency custom reconstructions was tested by measuring the imaging latency (i.e. time delay between physical change and appearance of that change on the image) for several non-Cartesian 2D and 3D acquisitions using an in-house implemented reconstruction server. The measured streaming latency of the ReconSocket interface was 3.18 +/- 1.67 ms. 98% of the incoming data packets arrived within a jitter range of 367 mu s. This shows that the ReconSocket interface can provide reliable real-time access to MRI data, acquired during the course of a MRI-guided radiotherapy fraction. The total imaging latency was measured to be 221 ms (2D) and 3889 ms (3D) for exemplary acquisitions, using the custom image reconstruction server. These imaging latencies are approximately equal to half of the temporal footprint (T(acq/)2) of the respective 2D and 3D golden-angle radial sequences. For radial sequences, it was previously showed that T(acq/)2 is the expected contribution of only the data acquisition to the total imaging latency. Indeed, the contribution of the non-Cartesian reconstruction to the total imaging latency was minor ( &lt;10%): 21 ms for 2D, 300 ms for 3D, indicating that the acquisition, i.e. the physical encoding of the image itself is the major contributor to the total imaging latency.</t>
  </si>
  <si>
    <t>[Borman, P. T. S.; Raaymakers, B. W.; Glitzner, M.] Univ Med Ctr Utrecht, Dept Radiotherapy, Heidelberglaan 100, NL-3584 CX Utrecht, Netherlands</t>
  </si>
  <si>
    <t>Utrecht University; Utrecht University Medical Center</t>
  </si>
  <si>
    <t>Borman, PTS (通訊作者)， Univ Med Ctr Utrecht, Dept Radiotherapy, Heidelberglaan 100, NL-3584 CX Utrecht, Netherlands.</t>
  </si>
  <si>
    <t>p.t.s.borman@umcutrecht.nl</t>
  </si>
  <si>
    <t>Borman, Pim/0000-0003-4153-2241; Glitzner, Markus/0000-0002-6223-9397</t>
  </si>
  <si>
    <t>Elekta AB (Stockholm, Sweden); Philips (Best, The Netherlands); ITEA project [16016 STARLIT]</t>
  </si>
  <si>
    <t>Elekta AB (Stockholm, Sweden); Philips (Best, The Netherlands)(Netherlands Government); ITEA project</t>
  </si>
  <si>
    <t>This research was supported by Elekta AB (Stockholm, Sweden) and Philips (Best, The Netherlands) and was partially funded by the ITEA project 16016 STARLIT. The Titan V used for this research was donated by the NVIDIA Corporation.</t>
  </si>
  <si>
    <t>10.1088/1361-6560/ab3e99</t>
  </si>
  <si>
    <t>WOS:000486374400002</t>
  </si>
  <si>
    <t>Nesteruk, KP; Calzolaio, C; Meer, D; Rizzoglio, V; Seidel, M; Schippers, JM</t>
  </si>
  <si>
    <t>Nesteruk, K. P.; Calzolaio, C.; Meer, D.; Rizzoglio, V; Seidel, M.; Schippers, J. M.</t>
  </si>
  <si>
    <t>Large energy acceptance gantry for proton therapy utilizing superconducting technology</t>
  </si>
  <si>
    <t>proton therapy; gantry; superconducting magnets; large energy acceptance; fast dose delivery</t>
  </si>
  <si>
    <t>DESIGN</t>
  </si>
  <si>
    <t>When using superconducting (SC) magnets in a gantry for proton therapy, the gantry will benefit from some reduction in size and a large reduction in weight. In this contribution we show an important additional advantage of SC magnets in proton therapy treatments. We present the design of a gantry with a SC bending section and achromatic beam optics with a very large beam momentum acceptance of +/- 15% (corresponding to about +/- 30% in the energy domain). Due to the related very large energy acceptance, approximately 70% of the treatments can be performed without changing the magnetic field for synchronization with energy modulation. In our design this is combined with a 2D lateral scanning system and a fast degrader mounted in the gantry, so that this gantry will be able to perform pencil beam scanning with very rapid energy variations at the patient, allowing a significant reduction of the irradiation time. We describe the iterative process we have applied to design the magnets and the beam transport, for which we have used different codes. COSY Infinity and OPAL have been used to design the beam transport optics and to track the particles in the magnetic fields, which are produced by the magnets designed in Opera. With beam optics calculations we have derived an optimal achromatic beam transport with the large momentum acceptance of the proton pencil beam and we show the agreement with particle tracking calculations in the 3D magnetic field map. A new cyclotron based facility with this gantry will have a significantly smaller footprint, since one can refrain from the standard degrader and energy selection system behind the cyclotron. In the treatments, this gantry will enable a very fast proton beam delivery sequence, which may be of advantage for treatments in moving tissue.</t>
  </si>
  <si>
    <t>[Nesteruk, K. P.; Calzolaio, C.; Meer, D.; Rizzoglio, V; Seidel, M.; Schippers, J. M.] Paul Scherrer Inst, Forsch Str 111, CH-5232 Villigen, Switzerland</t>
  </si>
  <si>
    <t>Swiss Federal Institutes of Technology Domain; Paul Scherrer Institute</t>
  </si>
  <si>
    <t>Nesteruk, KP (通訊作者)， Paul Scherrer Inst, Forsch Str 111, CH-5232 Villigen, Switzerland.</t>
  </si>
  <si>
    <t>konrad.nesteruk@psi.ch</t>
  </si>
  <si>
    <t>; Seidel, Marcus/AAA-4799-2022; Nesteruk, Konrad/AAT-6278-2020</t>
  </si>
  <si>
    <t>Seidel, Mike/0009-0007-1850-6156; Nesteruk, Konrad Pawel/0000-0002-7482-2264</t>
  </si>
  <si>
    <t>10.1088/1361-6560/ab2f5f</t>
  </si>
  <si>
    <t>WOS:000483095200007</t>
  </si>
  <si>
    <t>Bernal, M; Saldarriaga, J; Cabeza, C; Negreira, C; Bustamante, J; Brum, J</t>
  </si>
  <si>
    <t>Bernal, Miguel; Saldarriaga, Jorge; Cabeza, Cecilia; Negreira, Carlos; Bustamante, John; Brum, Javier</t>
  </si>
  <si>
    <t>Development and evaluation of anisotropic and nonlinear aortic models made from clinical images for in vitro experimentation</t>
  </si>
  <si>
    <t>arterial model; shear wave elastography; anisotropy; non linear elasticity</t>
  </si>
  <si>
    <t>SHEAR-WAVE ELASTOGRAPHY; POLYVINYL-ALCOHOL HYDROGEL; ARTERIAL STIFFNESS; CARDIOVASCULAR MORTALITY; MECHANICAL-PROPERTIES; EFSUMB GUIDELINES; SOFT-TISSUE; PULSE-WAVE; ELASTICITY; PHANTOMS</t>
  </si>
  <si>
    <t>In this work we developed a methodology to manufacture a new type of arterial model that could be used in experimental setting instead of excised arteries while developing new imaging modalities. CT-images of the descending aorta were used to create molds with patient specific morphology. A polyvinyl alcohol (PVA) solution with a reinforcing cotton mesh was used to generate the models. The mesh is circumferentially elastic while non-compliant longitudinally and is responsible for the non-linear anisotropic mechanical behavior of the models. Two models were fabricated following the same manufacturing procedure. Their circumferential and longitudinal mechanical properties were evaluated and compared to those of excised healthy pig aortas via tensile testing. A very good agreement was found for the circumferential direction, while the longitudinal direction showed to have a more marked anisotropic behavior compared to the excise arteries. An increase from 113 kPa at 2.5% strain, to 914 kPa at 40% strain was obtained for the models, while the arteries showed an increase from 172 kPa at 2.5% strain to 922 kPa at 38% strain. Furthermore, by plugging the models into a cardiovascular simulator their mechanical response in a more realistic setting was evaluated under static and dynamic pressure conditions by using shear wave elastography (SWE). Static and dynamic experiments showed an increase in the shear modulus as a function of pressure from 61 kPa to 263 kPa, between 20 mmHg and 150 mmHg for Model 1 (similar values within 10% were obtained for Model 2). These values are in good agreement with those reported in the literature for healthy human arteries. To our knowledge the models presented in this study are the first morphologically realistic phantoms that have demonstrated nonlinear and anisotropic elastic behaviors close to those of healthy arteries.</t>
  </si>
  <si>
    <t>[Bernal, Miguel; Bustamante, John] Univ Pontificia Bolivariana, Grp Dianam Cardiovasc, Medellin, Colombia; [Saldarriaga, Jorge] Univ Pontificia Bolivariana, Grp Invest Nuevos Mat, Medellin, Colombia; [Cabeza, Cecilia] Univ Republica, Fis No Lineal, Inst Fis, Fac Ciencias, Montevideo, Uruguay; [Negreira, Carlos; Brum, Javier] Univ Republica, Lab Acust Ultrasonora, Inst Fis, Fac Ciencias, Montevideo, Uruguay</t>
  </si>
  <si>
    <t>Universidad Pontificia Bolivariana; Universidad Pontificia Bolivariana; Universidad de la Republica, Uruguay; Universidad de la Republica, Uruguay</t>
  </si>
  <si>
    <t>Bernal, M (通訊作者)， Univ Pontificia Bolivariana, Grp Dianam Cardiovasc, Medellin, Colombia.;Brum, J (通訊作者)， Univ Republica, Lab Acust Ultrasonora, Inst Fis, Fac Ciencias, Montevideo, Uruguay.</t>
  </si>
  <si>
    <t>miguelbernalrpo@gmail.com; jbrum@fisica.edu.uy</t>
  </si>
  <si>
    <t>Brum, Javier/M-1601-2017; Bustamante, John/D-1372-2012</t>
  </si>
  <si>
    <t>Brum, Javier/0000-0002-3429-126X</t>
  </si>
  <si>
    <t>Administrative Department of Science, Technology and Innovation of the Colombian Government (Colciencias); Research and Development Center (CIDI) of the Universidad Pontificia Bolivariana through the program 'Es tiempo de Volver' [548B-01/16-04]</t>
  </si>
  <si>
    <t>Administrative Department of Science, Technology and Innovation of the Colombian Government (Colciencias)(Departamento Administrativo de Ciencia, Tecnologia e Innovacion Colciencias); Research and Development Center (CIDI) of the Universidad Pontificia Bolivariana through the program 'Es tiempo de Volver'</t>
  </si>
  <si>
    <t>This work was supported by the Administrative Department of Science, Technology and Innovation of the Colombian Government (Colciencias) and the Research and Development Center (CIDI) of the Universidad Pontificia Bolivariana through the program 'Es tiempo de Volver' (Grant No 548B-01/16-04). Ruta NColombia. ECOS-Sud under reference U14S04, ANII-Uruguay, PEDECIBA Fisica-Uruguay, CSIC Uruguay through the I + D project 2016 'Estudio de la dinamica de un flujo pulsatil y sus implicaciones hemodinamicas vascular'. The authors would like to thank the Instituto de Alta Tecnologia Medica de Antioquia in Colombia for providing the clinical images. The authors would like to thank Constanza Cortes for the technical assistance and Dr. Nicolas Benech for the fruitful discussions.</t>
  </si>
  <si>
    <t>10.1088/1361-6560/ab2db5</t>
  </si>
  <si>
    <t>WOS:000481852600006</t>
  </si>
  <si>
    <t>Glitzner, M; Woodhead, PL; Borman, PTS; Lagendijk, JJW; Raaymakers, BW</t>
  </si>
  <si>
    <t>Glitzner, M.; Woodhead, P. L.; Borman, P. T. S.; Lagendijk, J. J. W.; Raaymakers, B. W.</t>
  </si>
  <si>
    <t>Technical note: MLC racking performance on the Elekta unity MRI-linac</t>
  </si>
  <si>
    <t>MRI-linac; MLC tracking; MRI-guided radiotherapy; real-time MRI; online guidance</t>
  </si>
  <si>
    <t>PROOF-OF-CONCEPT; RADIOTHERAPY; TRACKING; ACCURACY; MOTION; FIELD</t>
  </si>
  <si>
    <t>Recently, multileaf collimator (MLC)-tracking has been technically and clinically demonstrated showing promising improvements of radiotherapy of mobile sites. Furthermore, magnetic resonance imaging (MRI)-guided treatments have shown to provide superior targetting performance due to on-line soft-tissue imaging. Hitherto, the combination of MLC-tracking and MRI has not been investigated using clinically released hardware. In this note we aim to describe the technical feasibilty of such a combination on a clinically operating MRI-linac. The MLC-tracking system is characterized by quantifying the latencies and geometric errors produced by the system. In order to reach optimization recommendations, the tracking system was first characterized using a quasi-ideal position sensor, isolating the performance of the MLC only. Subsequently, the analysis was repeated using real-time MRI as the positioning source for the MLC. For the isolated MLC, we found latencies of 20.67 ms and minimal overshooting behaviour. The latencies for MRI-guidance were 347.45 ms at 4 Hz imaging and 204 ms at 8 Hz. We showed that MLC-tracking on the Elekta Unity using integrated MRI is technically supported and feasible. The isolated analysis of the MLC demonstrated the negligible contribution of the MLC in MRI-guided tracking. The latency and geometric errors caused by the sampling properties of MRI exceed the MLC-related errors by several factors. Most gain for real-time MRI-based adaptive radiotherapy can therefore be realized by optimizing and accelerating the MRI acquisition process.</t>
  </si>
  <si>
    <t>[Glitzner, M.; Woodhead, P. L.; Borman, P. T. S.; Lagendijk, J. J. W.; Raaymakers, B. W.] Univ Med Ctr Utrecht, Dept Radiotherapy, Heidelberglaan 100, NL-3584 CX Utrecht, Netherlands; [Woodhead, P. L.] Elekta AB, Stockholm, Sweden</t>
  </si>
  <si>
    <t>Utrecht University; Utrecht University Medical Center; Elekta</t>
  </si>
  <si>
    <t>Glitzner, M (通訊作者)， Univ Med Ctr Utrecht, Dept Radiotherapy, Heidelberglaan 100, NL-3584 CX Utrecht, Netherlands.</t>
  </si>
  <si>
    <t>markus.glitzner@outlook.com</t>
  </si>
  <si>
    <t>Glitzner, Markus/0000-0002-6223-9397</t>
  </si>
  <si>
    <t>Elekta AB (Stockholm, Sweden); ITEA project [16016 STARLIT]</t>
  </si>
  <si>
    <t>Elekta AB (Stockholm, Sweden); ITEA project</t>
  </si>
  <si>
    <t>This research was supported by Elekta AB (Stockholm, Sweden) and was partially funded by the ITEA project 16016 STARLIT.</t>
  </si>
  <si>
    <t>15NT02</t>
  </si>
  <si>
    <t>10.1088/1361-6560/ab2667</t>
  </si>
  <si>
    <t>IN4BR</t>
  </si>
  <si>
    <t>WOS:000478620700002</t>
  </si>
  <si>
    <t>Pizzichemi, M; Polesel, A; Stringhini, G; Gundacker, S; Lecoq, P; Tavernier, S; Paganoni, M; Auffray, E</t>
  </si>
  <si>
    <t>Pizzichemi, M.; Polesel, A.; Stringhini, G.; Gundacker, S.; Lecoq, P.; Tavernier, S.; Paganoni, M.; Auffray, E.</t>
  </si>
  <si>
    <t>On light sharing TOF-PET modules with depth of interaction and 157 ps FWHM coincidence time resolution</t>
  </si>
  <si>
    <t>time of flight positron emission tomography; depth of interaction; time resolution; time resolution of 10 ps; high resolution PET system</t>
  </si>
  <si>
    <t>OF-FLIGHT; INTERACTION DETECTOR; CRYSTAL ARRAY; DOI DETECTOR; LYSO; SCINTILLATORS; READOUT; DESIGN; LENGTH</t>
  </si>
  <si>
    <t>The performance of a light sharing and recirculation mechanism that allows the extraction of depth of interaction (DOI) are investigated in this paper, with a particular focus on timing. In parallel, a method to optimize the coincidence time resolution (CTR) of PET detectors by use of the DOI information is proposed and tested. For these purposes, a dedicated 64-channels readout setup has been developed with intrinsic timing resolution of 16 ps FWHM. Several PET modules have been produced, based on LYSO:Ce scintillators and commercial silicon photomultiplier (SiPM) arrays, with 3 x 3 mm(2) individual SiPM size. The results show the possibility to achieve a timing resolution of 157 ps FWHM, combined with the already demonstrated spatial resolution of 1.5 mm FWHM, DOI resolution of 3 mm FWHM, and energy resolution of 9% FWHM at 511 keV, with 15 mm long crystals of section 1.53 x 1.53 mm(2) and 3.1 x 3.1 mm(2). At the same time, the extraction of the DOI coordinate has been demonstrated not to deteriorate the timing performance of the PET module.</t>
  </si>
  <si>
    <t>[Pizzichemi, M.; Polesel, A.; Stringhini, G.; Gundacker, S.; Lecoq, P.; Auffray, E.] CERN, Geneva, Switzerland; [Polesel, A.; Stringhini, G.; Gundacker, S.; Paganoni, M.] Univ Milano Bicocca, Milan, Italy; [Tavernier, S.] Lab Instrumentacao &amp; Fis Expt Particulas, Lisbon, Portugal; [Tavernier, S.] Vrije Univ Brussel, Brussels, Belgium</t>
  </si>
  <si>
    <t>European Organization for Nuclear Research (CERN); University of Milano-Bicocca; Laboratorio de Instrumentacao e Fisica Experimental de Particulas; Vrije Universiteit Brussel</t>
  </si>
  <si>
    <t>Pizzichemi, M (通訊作者)， CERN, Geneva, Switzerland.</t>
  </si>
  <si>
    <t>marco.pizzichemi@cern.ch</t>
  </si>
  <si>
    <t>Gundacker, Stefan/FBD-4491-2022; LECOQ, Paul/S-7246-2019; Pizzichemi, Marco/AAS-5000-2020; Paganoni, Marco/A-4235-2016</t>
  </si>
  <si>
    <t>Gundacker, Stefan/0000-0003-2087-3266; Pizzichemi, Marco/0000-0001-5189-230X; Paganoni, Marco/0000-0003-2461-275X</t>
  </si>
  <si>
    <t>CERN Knowledge Transfer Funds; CERN Medical Applications Funds; H2020 Ascimat Project; FAST COST Action [TD1401]; TICAL ERC [338953]</t>
  </si>
  <si>
    <t>CERN Knowledge Transfer Funds; CERN Medical Applications Funds; H2020 Ascimat Project; FAST COST Action; TICAL ERC</t>
  </si>
  <si>
    <t>This work has been carried out in the frame of the Crystal Clear Collaboration and supported by CERN Knowledge Transfer Funds, CERN Medical Applications Funds, H2020 Ascimat Project, FAST COST Action TD1401, and TICAL ERC 338953. The authors would like to thank Stefano Banfi, Dominique Deyrail, and Igor Tarasov for helping in setting up the experimental benches.</t>
  </si>
  <si>
    <t>10.1088/1361-6560/ab2cb0</t>
  </si>
  <si>
    <t>WOS:000480292700003</t>
  </si>
  <si>
    <t>Ormachea, J; Parker, KJ; Barr, RG</t>
  </si>
  <si>
    <t>Ormachea, Juvenal; Parker, Kevin J.; Barr, Richard G.</t>
  </si>
  <si>
    <t>An initial study of complete 2D shear wave dispersion images using a reverberant shear wave field</t>
  </si>
  <si>
    <t>reverberant shear wave field; shear dispersion; shear elastography; deep tissue viscoelasticity</t>
  </si>
  <si>
    <t>WFUMB GUIDELINES; CLINICAL-USE; ELASTOGRAPHY; RECOMMENDATIONS; TISSUE; VISCOELASTICITY; DIAGNOSIS; BENIGN; SOFT</t>
  </si>
  <si>
    <t>Within the field of elastography, a relatively new approach analyzes the limiting case of shear waves established as a reverberant field. In this framework, it is assumed that a distribution of shear waves exists, oriented across all directions in 3D and continuous in time. The simultaneous multi-frequency application of reverberant shear wave fields can be accomplished by applying an array of external sources that can be excited by multiple frequencies within a bandwidth, for example 50, 100, 150, ..., 500 Hz, all contributing to the shear wave field produced in the liver or other target organ. This enables the analysis of the dispersion of shear wave speed as it increases with frequency, indicating the viscoelastic and lossy nature of the tissue under study. Furthermore, dispersion images can be created and displayed alongside the shear wave speed images. We report preliminary studies on breast and liver tissues using the multi-frequency reverberant shear wave technique, employing frequencies up to 700 Hz in breast tissue, and robust reverberant patterns of shear waves across the entire liver and kidney in obese patients. Dispersion images are shown to have contrast between tissue types and with quantitative values that align with previous studies.</t>
  </si>
  <si>
    <t>[Ormachea, Juvenal; Parker, Kevin J.] Univ Rochester, Dept Elect &amp; Comp Engn, Comp Studies Bldg,POB 270231, Rochester, NY 14627 USA; [Barr, Richard G.] Northeastern Ohio Med Univ, Dept Radiol, Rootstown Ohio &amp; Sou Thwoods Imaging, 7623 Market St, Youngstown, OH 44512 USA</t>
  </si>
  <si>
    <t>University of Rochester; University System of Ohio; Northeast Ohio Medical University (NEOMED)</t>
  </si>
  <si>
    <t>Parker, KJ (通訊作者)， Univ Rochester, Dept Elect &amp; Comp Engn, Comp Studies Bldg,POB 270231, Rochester, NY 14627 USA.</t>
  </si>
  <si>
    <t>kevin.parker@rochester.edu</t>
  </si>
  <si>
    <t>Barr, Richard/AEN-6134-2022</t>
  </si>
  <si>
    <t>Barr, Richard/0000-0001-8021-0072</t>
  </si>
  <si>
    <t>Peruvian Government scholarship [213-2014-FONDECYT]; Hajim School of Engineering and Applied Sciences at the University of Rochester</t>
  </si>
  <si>
    <t>Peruvian Government scholarship; Hajim School of Engineering and Applied Sciences at the University of Rochester</t>
  </si>
  <si>
    <t>Juvenal Ormachea was supported by Peruvian Government scholarship 213-2014-FONDECYT. This work was supported by the Hajim School of Engineering and Applied Sciences at the University of Rochester. We are grateful to Elastance Imaging for the loan of their Quad Resonator.</t>
  </si>
  <si>
    <t>10.1088/1361-6560/ab2778</t>
  </si>
  <si>
    <t>WOS:000475775200002</t>
  </si>
  <si>
    <t>Girardi, A; Fiandra, C; Giglioli, FR; Gallio, E; Ali, OH; Ragona, R</t>
  </si>
  <si>
    <t>Girardi, Andrea; Fiandra, Christian; Giglioli, Francesca Romana; Gallio, Elena; Ali, Omar Hammad; Ragona, Riccardo</t>
  </si>
  <si>
    <t>Small field correction factors determination for several active detectors using a Monte Carlo method in the Elekta Axesse linac equipped with circular cones</t>
  </si>
  <si>
    <t>small field dosimetry; PTW microDiamond; W1 scintillator; A26 microchamber; Monte Carlo</t>
  </si>
  <si>
    <t>EXRADIN W1 SCINTILLATOR; REFERENCE DOSIMETRY; DIAMOND DETECTORS; PHOTON; FILM; DENSITY; MV</t>
  </si>
  <si>
    <t>A Monte Carlo (MC) method was used to determine small field output correction factors for several active detectors (Exradin A16, Exradin A26, PTW microLion, PTW microDiamond, Exradin W1 and IBA RAZOR) for an Elekta Axesse linac equipped with circular cones. MC model of the linac was built with the GamBet software, using the Penelope code system. The dose-to-water simulation for each cone, ranging from 5 to 30 mm of diameter size, was used to calculate field factors and the results were validated together with Gafchromic EBT3 film. Output factors (OFs) were measured with the active detectors and correction factors were determined using the MC results. The MC simulations agreed with films within 1.2%. OFs measured with Exradin WI scintillator were in agreement within 0.8% with MC simulations. The Exradin A16 and A26 microchambers under-responded for small fields relative to the MC ( -13.1% and -4.6%, respectively). PTW microLion, IBA RAZOR and PTW microDiamond overestimated the output factor for the smallest field (+3.9%, +5.4 and +7.1%, respectively). The present study pointed out that it is crucial to apply the appropriate correction factors in order to provide accurate measurements in small beams geometry. The results showed that the Exradin W1 can be used for very small field dosimetry without correction factors, which shall be contrariwise employed for other detectors.</t>
  </si>
  <si>
    <t>[Girardi, Andrea] Vrije Univ Brussel, Univ Ziekenhuis Brussel, Dept Radiotherapy, Brussels, Belgium; [Fiandra, Christian; Ali, Omar Hammad; Ragona, Riccardo] Univ Torino, Dept Oncol, Radiat Oncol Unit, Turin, Italy; [Giglioli, Francesca Romana; Gallio, Elena] Univ Citta Salute &amp; Sci, Med Phys Unit, Azienda Osped, Turin, Italy</t>
  </si>
  <si>
    <t>Vrije Universiteit Brussel; University Hospital Brussels; University of Turin; A.O.U. Citta della Salute e della Scienza di Torino</t>
  </si>
  <si>
    <t>Girardi, A (通訊作者)， Vrije Univ Brussel, Univ Ziekenhuis Brussel, Dept Radiotherapy, Brussels, Belgium.</t>
  </si>
  <si>
    <t>Andrea.Girardi@uzbrussel.be</t>
  </si>
  <si>
    <t>Ali, Omar/HHY-8838-2022</t>
  </si>
  <si>
    <t>Gallio, Elena/0000-0003-1388-061X; Giglioli, Francesca Romana/0000-0003-0212-7307; Hammad Ali, Omar/0000-0001-6294-8233</t>
  </si>
  <si>
    <t>11NTO1</t>
  </si>
  <si>
    <t>10.1088/1361-6560/ab1f26</t>
  </si>
  <si>
    <t>IC2SA</t>
  </si>
  <si>
    <t>WOS:000470808900001</t>
  </si>
  <si>
    <t>Lalonde, A; Xie, YH; Burgdorf, B; O'Reilly, S; Ingram, WS; Yin, LS; Zou, W; Dong, L; Bouchard, H; Teo, BKK</t>
  </si>
  <si>
    <t>Lalonde, Arthur; Xie, Yunhe; Burgdorf, Brendan; O'Reilly, Shannon; Ingram, William Scott; Yin, Lingshu; Zou, Wei; Dong, Lei; Bouchard, Hugo; Teo, Boon-Ken Kevin</t>
  </si>
  <si>
    <t>Influence of intravenous contrast agent on dose calculation in proton therapy using dual energy CT</t>
  </si>
  <si>
    <t>dual-energy CT; proton therapy; dose calculation; contrast agent</t>
  </si>
  <si>
    <t>VIRTUAL NON-CONTRAST; COMPUTED-TOMOGRAPHY; IODINE QUANTIFICATION; CALIBRATION; ATTENUATION; RANGE; BEAM; HEAD</t>
  </si>
  <si>
    <t>The purpose of this study is to evaluate the effect of an intravenous (IV) contrast agent on proton therapy dose calculation using dual-energy computed tomography (DECT). Two DECT methods are considered. The first one, rho(e) - Z(med), attempts to accurately predict the proton stopping powers relative to water (SPR) of contrast enhanced (CE) DECT images, while the second generates a virtual non-contrast (VNC) volume that can be processed as a native non-contrast (NC) one. Both methods are compared against single-energy computed tomography (SECT). The accuracy of SPR predicted for different concentrations of IV contrast diluted in water is first evaluated using simulated data. Results then are validated in an experimental set-up comparing SPR predictions for both NC and CE images to measurements made with a multi-layer ionisation chamber (MLIC). Finally, the impact of IV contrast on dose calculation using both SECT and DECT is evaluated for one liver and one head and neck patient. Using simulated data, DECT is shown to be less sensitive to the presence of IV contrast than SECT, although the performance of the rho(e) - Z(med) method is sensitive to the level of beam hardening considered. For different concentrations of IV contrast diluted in water, experimental MLIC measurement of SPR agrees with DECT predictions within 3% while SECT introduce errors above 20%. This error in the SPR value results in a range error of up to 3.2 mm (2.6%) for proton beams calculated on SECT CE patient images. The error is reduced below 1 mm using DECT with the rho(e) - Z(med) and VNC methods. Globally, it is observed that the influence of IV contrast on proton therapy dose calculation is mitigated using DECT over SECT. In patient anatomies, the VNC approach provides the best agreement with the reference dose distribution.</t>
  </si>
  <si>
    <t>[Lalonde, Arthur; Bouchard, Hugo] Univ Montreal, Dept Phys, Pavillon Roger Gaudry,2900 Blvd Edouard Montpetit, Montreal, PQ H3T 1J4, Canada; [Xie, Yunhe] Massachusetts Gen Hosp, Dept Radiat Oncol, Boston, MA 02114 USA; [Burgdorf, Brendan; O'Reilly, Shannon; Ingram, William Scott; Yin, Lingshu; Zou, Wei; Dong, Lei; Teo, Boon-Ken Kevin] Univ Penn, Dept Radiat Oncol, Philadelphia, PA 19104 USA</t>
  </si>
  <si>
    <t>Universite de Montreal; Harvard University; Harvard University Medical Affiliates; Massachusetts General Hospital; University of Pennsylvania</t>
  </si>
  <si>
    <t>Lalonde, A (通訊作者)， Univ Montreal, Dept Phys, Pavillon Roger Gaudry,2900 Blvd Edouard Montpetit, Montreal, PQ H3T 1J4, Canada.</t>
  </si>
  <si>
    <t>arthur.lalonde@umontreal.ca</t>
  </si>
  <si>
    <t>; Lalonde, Arthur/L-6210-2019; Dong, Lei/IUP-4861-2023; O'Reilly, Shannon/P-8534-2019; Bouchard, Hugo/AAW-6909-2020</t>
  </si>
  <si>
    <t>Dong, Lei/0000-0003-2623-3198; Yin, Lingshu/0000-0003-4254-3559; Lalonde, Arthur/0000-0002-8715-8235</t>
  </si>
  <si>
    <t>Fonds de recherche du Quebec-Nature et Technologies (FRQNT)</t>
  </si>
  <si>
    <t>We acknowledge financial support by the Fonds de recherche du Quebec-Nature et Technologies (FRQNT).</t>
  </si>
  <si>
    <t>10.1088/1361-6560/ab1e9d</t>
  </si>
  <si>
    <t>WOS:000518929800003</t>
  </si>
  <si>
    <t>Lopresto, V; Argentieri, A; Pinto, R; Cavagnaro, M</t>
  </si>
  <si>
    <t>Lopresto, V; Argentieri, A.; Pinto, R.; Cavagnaro, M.</t>
  </si>
  <si>
    <t>Temperature dependence of thermal properties of ex vivo liver tissue up to ablative temperatures</t>
  </si>
  <si>
    <t>microwave thermal ablation; tissue thermal properties; ex-vivo studies; treatment planning</t>
  </si>
  <si>
    <t>DIELECTRIC-PROPERTIES; CONDUCTIVITY; DIFFUSIVITY; SHRINKAGE; MODELS; HEAT</t>
  </si>
  <si>
    <t>Thermal properties of ex vivo bovine liver were measured as a function of temperature, by heating tissue samples in a temperature-controlled oil bath over a temperature range from about 21 degrees C to about 113 degrees C. Results evidenced temperature-dependent non-linear changes of the thermal properties, with the temperature of 100 degrees C representing a break point: the thermal properties increased with temperature up to 99 degrees C and then decreased above 100 degrees C. The rate of increase appeared dramatic between 90 degrees C and 99 degrees C, owing to the onset of vaporisation of water contained in the tissue. In particular, at 99 degrees C, the thermal conductivity reported an increase of about four times with respect to the value measured at 90 degrees C, whilst about a two-fold increase was reported for both the volumetric heat capacity and the thermal diffusivity. Temperatures higher than 100 degrees C were reached only after complete vaporisation of water contained in the tissue, resulting in about 70% loss of weight from the tissue. An overall decrease of about 71% and 63% was reported for the thermal conductivity and volumetric heat capacity, respectively, in the temperature range 101 degrees C-113 degrees C. A decrease of about 25% was reported in the measured values of the thermal diffusivity in the temperature range 101 degrees C-108 degrees C, whilst a slight increase of measured values, not statistically significant, was observed in the temperature range 108 degrees C-113 degrees C. The temperature dependent changes of the thermal parameters were modelled with non-linear regression analysis to calculate the best-fit curves interpolating measured data. The proposed regression models could be used to numerically assess the changes in the thermal properties of biological tissues at supraphysiological temperatures relevant in thermal ablation procedures, as well as their effect on the prediction of the ablation zone dimensions in computational models for treatment planning.</t>
  </si>
  <si>
    <t>[Lopresto, V; Argentieri, A.; Pinto, R.] Italian Natl Agcy New Technol, Energy &amp; Sustainable Econ Dev ENEA, Div Hlth Protect Technol, Via Anguillarese 301, I-00123 Rome, Italy; [Argentieri, A.; Cavagnaro, M.] Sapienza Univ Rome, Dept Informat Engn Elect &amp; Telecommun, Via Eudossiana 18, I-00184 Rome, Italy</t>
  </si>
  <si>
    <t>Italian National Agency New Technical Energy &amp; Sustainable Economics Development; Italian National Agency New Technical Energy &amp; Sustainable Economics Development; Sapienza University Rome</t>
  </si>
  <si>
    <t>Lopresto, V (通訊作者)， Italian Natl Agcy New Technol, Energy &amp; Sustainable Econ Dev ENEA, Div Hlth Protect Technol, Via Anguillarese 301, I-00123 Rome, Italy.</t>
  </si>
  <si>
    <t>vanni.lopresto@enea.it</t>
  </si>
  <si>
    <t>Cavagnaro, Marta/AAD-2087-2021</t>
  </si>
  <si>
    <t>Lopresto, Vanni/0000-0002-9517-6994</t>
  </si>
  <si>
    <t>10.1088/1361-6560/ab1663</t>
  </si>
  <si>
    <t>HY7AQ</t>
  </si>
  <si>
    <t>WOS:000468283500001</t>
  </si>
  <si>
    <t>Mikkonen, M; Laakso, I</t>
  </si>
  <si>
    <t>Mikkonen, Marko; Laakso, Ilkka</t>
  </si>
  <si>
    <t>Effects of posture on electric fields of non-invasive brain stimulation</t>
  </si>
  <si>
    <t>transcranial magnetic stimulation; transcranial direct current stimulation; magnetic resonance imaging; posture; brain motion</t>
  </si>
  <si>
    <t>TRANSCRANIAL MAGNETIC STIMULATION; SURFACE-BASED ANALYSIS; HUMAN CEREBRAL-CORTEX; DIELECTRIC-PROPERTIES; INDUCED CURRENTS; CONDUCTIVITY; MODELS; MOTOR; TISSUE; TDCS</t>
  </si>
  <si>
    <t>The brain moves when the orientation of the head changes. This inter-postural motion has been shown to affect the distribution of cerebrospinal fluid (CSF). As CSF layer thickness affects the distribution of electric fields (EF) in non-invasive brain stimulation methods such as transcranial direct current (TDCS) and magnetic (TMS) stimulation, possible differences in body position between sessions could affect the stimulation efficacy. Additionally, inter-postural differences might distort the modeling results of TDCS and TMS, as the models are usually built based on magnetic resonance images (MRI) obtained while the subject is in the supine position, whereas the actual stimulation is given while the subject is in an upright position. Here, we studied the effects of changing the position of the subject between supine, prone, and left lateral on the conformation of the brain. This study aimed to determine whether small inter-postural changes in the shape of the brain can affect TDCS and TMS EFs as hypothesized. We obtained MRI from five subjects in each position and used them to build anatomically realistic models for use in finite element simulations of the EFs. Position was found to affect EFs, with them being approximately 10% stronger and more diffuse while subjects were in the prone and left lateral than in the supine positions for TDCS. In TMS, a similar trend was observed, but the effect was smaller, approximately 2%, than that observed for TDCS. Thus, the effect of posture should be considered in the design of TDCS and TMS experiments.</t>
  </si>
  <si>
    <t>[Mikkonen, Marko; Laakso, Ilkka] Aalto Univ, Dept Elect Engn &amp; tona tion, Espoo, Finland; [Mikkonen, Marko] Aalto Univ, Aalto NeuroImaging, FI-00076 Espoo, Finland</t>
  </si>
  <si>
    <t>Aalto University; Aalto University</t>
  </si>
  <si>
    <t>Mikkonen, M (通訊作者)， Aalto Univ, Dept Elect Engn &amp; tona tion, Espoo, Finland.;Mikkonen, M (通訊作者)， Aalto Univ, Aalto NeuroImaging, FI-00076 Espoo, Finland.</t>
  </si>
  <si>
    <t>marko.mikkonen@aalto.fi</t>
  </si>
  <si>
    <t>; Mikkonen, Marko/AAC-5403-2020; Laakso, Ilkka/J-8699-2014</t>
  </si>
  <si>
    <t>Laakso, Ilkka/0000-0002-8162-1356;</t>
  </si>
  <si>
    <t>10.1088/1361-6560/ab03f5</t>
  </si>
  <si>
    <t>HP1KU</t>
  </si>
  <si>
    <t>WOS:000461426500004</t>
  </si>
  <si>
    <t>Tahir, BA; Marshall, H; Hughes, PJC; Brightling, CE; Collier, G; Ireland, RH; Wild, JM</t>
  </si>
  <si>
    <t>Tahir, Bilal A.; Marshall, Helen; Hughes, Paul J. C.; Brightling, Christopher E.; Collier, Guilhem; Ireland, Rob H.; Wild, Jim M.</t>
  </si>
  <si>
    <t>Comparison of CT ventilation imaging and hyperpolarised gas MRI: effects of breathing manoeuvre</t>
  </si>
  <si>
    <t>CT ventilation imaging; functional lung imaging; hyperpolarised gas MRI; lung inflation; lung diseases; pulmonary image registration</t>
  </si>
  <si>
    <t>LUNG VENTILATION; REGIONAL VENTILATION; HE-3; REGISTRATION; ASTHMA; ACQUISITION; IMAGES; QUANTIFICATION; INFLATION; MUSCLE</t>
  </si>
  <si>
    <t>Image registration of lung CT images acquired at different inflation levels has been proposed as a surrogate method to map lung 'ventilation'. Prior to clinical use, it is important to understand how this technique compares with direct ventilation imaging modalities such as hyperpolarised gas MRI. However, variations in lung inflation level have been shown to affect regional ventilation distributions. Therefore, the aim of this study was to evaluate the impact of lung inflation levels when comparing CT ventilation imaging to ventilation from He-3-MRI. Seven asthma patients underwent breath-hold CT at total lung capacity (TLC) and functional residual capacity (FRC). He-3-MRI and a same-breath H-1-MRI were acquired at FRC+1L and TLC. Percentage ventilated volumes (%VVs) were calculated for FRC+1L and TLC He-3-MRI. TLC-CT and registered FRC-CT were used to compute a surrogate ventilation map from voxel-wise intensity differences in Hounsfield unit values, which was thresholded at the 10th and 20th percentiles. For direct comparison of CT and He-3-MRI ventilation, FRC+1L and TLC 3He-MRI were registered to TLC-CT indirectly via the corresponding same-breath H-1-MRI data. For He-3-MRI and CT ventilation comparison, Dice similarity coefficients (DSCs) between the binary segmentations were computed. The median (range) of %VVs for FRC+1L and TLC He-3-MRI were 90.5 (54.9-93.6) and 91.8 (67.8-96.2), respectively (p = 0.018). For MRI versus CT ventilation comparison, statistically significant improvements in DSCs were observed for TLC He-3 MRI when compared with FRC+1L, with median (range) values of 0.93 (0.86-0.93) and 0.86 (0.68-0.92), respectively (p = 0.017), for the 10-100th percentile and 0.87 (0.83-0.88) and 0.81 (0.66-0.87), respectively (p = 0.027), for the 20-100th percentile. Correlation of CT ventilation imaging and hyperpolarised gas MRI is sensitive to lung inflation level. For ventilation maps derived from CT acquired at FRC and TLC, a higher correlation with gas ventilation MRI can be achieved if the MRI is acquired at TLC.</t>
  </si>
  <si>
    <t>[Tahir, Bilal A.; Marshall, Helen; Hughes, Paul J. C.; Collier, Guilhem; Ireland, Rob H.; Wild, Jim M.] Univ Sheffield, Acad Radiol, POLARIS, Sheffield, S Yorkshire, England; [Tahir, Bilal A.; Ireland, Rob H.] Univ Sheffield, Acad Unit Clin Oncol, Sheffield, S Yorkshire, England; [Brightling, Christopher E.] Univ Leicester, Inst Lung Hlth, Leicester, Leics, England</t>
  </si>
  <si>
    <t>University of Sheffield; University of Sheffield; University of Leicester</t>
  </si>
  <si>
    <t>Tahir, BA (通訊作者)， Univ Sheffield, Acad Radiol, POLARIS, Sheffield, S Yorkshire, England.;Tahir, BA (通訊作者)， Univ Sheffield, Acad Unit Clin Oncol, Sheffield, S Yorkshire, England.</t>
  </si>
  <si>
    <t>b.tahir@sheffield.ac.uk</t>
  </si>
  <si>
    <t>; Marshall, Helen/HJI-7204-2023; Briedis, Vitalis/AAY-9241-2020; Hughes, Paul/AAH-4611-2020</t>
  </si>
  <si>
    <t>Tahir, Bilal/0000-0003-0531-3519; Hughes, Paul/0000-0002-7979-5840; brightling, chris/0000-0002-9345-4903; Marshall, Helen/0000-0002-7425-1449; Wild, Jim/0000-0002-7246-8660;</t>
  </si>
  <si>
    <t>University of Sheffield James Morrison Fund; Sheffield Hospitals Charity; Weston Park Hospital Cancer Charity; National Institute of Health Research; AirPROM (EU FP7); Novartis; Yorkshire Cancer Research senior research fellowship; British Heart Foundation [SP/14/6/31350] Funding Source: researchfish; Medical Research Council [MR/M008894/1] Funding Source: researchfish; National Institute for Health Research [NIHR-RP-R3-12-027] Funding Source: researchfish; MRC [MR/M008894/1] Funding Source: UKRI</t>
  </si>
  <si>
    <t>University of Sheffield James Morrison Fund; Sheffield Hospitals Charity; Weston Park Hospital Cancer Charity; National Institute of Health Research(National Institutes of Health Research (NIHR)); AirPROM (EU FP7); Novartis(Novartis); Yorkshire Cancer Research senior research fellowship; British Heart Foundation(British Heart Foundation); Medical Research Council(UK Research &amp; Innovation (UKRI)Medical Research Council UK (MRC)); National Institute for Health Research(National Institutes of Health Research (NIHR)); MRC(UK Research &amp; Innovation (UKRI)Medical Research Council UK (MRC))</t>
  </si>
  <si>
    <t>This work was supported by the University of Sheffield James Morrison Fund, Sheffield Hospitals Charity, Weston Park Hospital Cancer Charity, National Institute of Health Research, AirPROM (EU FP7) and Novartis. Dr Bilal Tahir is a recipient of a Yorkshire Cancer Research senior research fellowship.</t>
  </si>
  <si>
    <t>10.1088/1361-6560/ab0145</t>
  </si>
  <si>
    <t>HO2UQ</t>
  </si>
  <si>
    <t>WOS:000460772200001</t>
  </si>
  <si>
    <t>Winterhalter, C; Meier, G; Oxley, D; Weber, DC; Lomax, AJ; Safai, S</t>
  </si>
  <si>
    <t>Winterhalter, Carla; Meier, Gabriel; Oxley, David; Weber, Damien C.; Lomax, Antony J.; Safai, Sairos</t>
  </si>
  <si>
    <t>Contour scanning, multi-leaf collimation and the combination thereof for proton pencil beam scanning</t>
  </si>
  <si>
    <t>proton therapy; pencil beam scanning; penumbra; collimation; optimisation</t>
  </si>
  <si>
    <t>PATIENT-SPECIFIC APERTURE; MONTE-CARLO; DYNAMIC COLLIMATION; THERAPY; SYSTEM; RECONSTRUCTION; PENUMBRA; QUALITY; IMPACT</t>
  </si>
  <si>
    <t>In proton therapy, the lateral fall-off is often used to spare critical organs. It is therefore crucial to improve the penumbra for proton pencil beam scanning. However, previous work has shown that collimation may not be necessary for depths of &gt;15 cm in water. As such, in this work we investigate the effectiveness of a thin multi leaf collimator (just thick enough to completely stop protons with ranges of &lt;15 cm in water) for energy layer specific collimation in patient geometries, when applied in combination with both grid and contour scanned PBS proton therapy. For this, an analytical model of collimated beam shapes, based solely on data available in the treatment planning system, has been included in the optimization, with the resulting optimised plans then being recalculated using Monte Carlo in order to most accurately simulate the full physics effects of the collimator. For grid based scanning, energy specific collimation has been found to reduce the V30 outside the PTV by 19.8% for an example patient when compared to the same pencil beam placement without collimation. V30 could be even reduced by a further 5.6% when combining collimation and contour scanning. In addition, mixed plans, consisting of contour scanning for deep fields (max range &gt;15 cm WER) and collimated contour scanning for superficial fields (&lt;15 cm), have been created for four patients, by which V30 could be reduced by 0.8% to 8.0% and the mean dose to the brain stem by 1.5% to 3.3%. Target dose homogeneity however is not substantially different when compared to the best un-collimated scenario. In conclusion, we demonstrate the potential advantages of a thin, multi leaf collimator in combination with contour scanning for energy layer specific collimation in PBS proton therapy.</t>
  </si>
  <si>
    <t>[Winterhalter, Carla; Meier, Gabriel; Oxley, David; Weber, Damien C.; Lomax, Antony J.; Safai, Sairos] Paul Scherrer Inst, Ctr Proton Therapy, Villigen, Switzerland; [Winterhalter, Carla; Lomax, Antony J.] Swiss Fed Inst Technol, Phys Dept, Zurich, Switzerland; [Weber, Damien C.] Univ Hosp Bern, Radiat Oncol Dept, Bern, Switzerland; [Weber, Damien C.] Univ Hosp Zurich, Radiat Oncol Dept, Zurich, Switzerland</t>
  </si>
  <si>
    <t>Swiss Federal Institutes of Technology Domain; Paul Scherrer Institute; Swiss Federal Institutes of Technology Domain; ETH Zurich; University of Bern; University Hospital of Bern; University of Zurich; University Zurich Hospital</t>
  </si>
  <si>
    <t>Winterhalter, C (通訊作者)， Paul Scherrer Inst, Ctr Proton Therapy, Villigen, Switzerland.;Winterhalter, C (通訊作者)， Swiss Fed Inst Technol, Phys Dept, Zurich, Switzerland.</t>
  </si>
  <si>
    <t>carla.winterhalter@psi.ch</t>
  </si>
  <si>
    <t>Winterhalter, Carla/0009-0008-4289-984X; Safai, Sairos/0000-0002-0459-4534</t>
  </si>
  <si>
    <t>Varian Medical Systems-Particle Therapy, Germany</t>
  </si>
  <si>
    <t>This work was supported by a research grant from Varian Medical Systems-Particle Therapy, Germany.</t>
  </si>
  <si>
    <t>10.1088/1361-6560/aaf2e8</t>
  </si>
  <si>
    <t>HF4RS</t>
  </si>
  <si>
    <t>WOS:000454221600001</t>
  </si>
  <si>
    <t>Badali, DS; Plateau, GR; Ellenor, CW; Ku, CY; Vatahov, P; Esterline, J; Wilfley, BP; Mitchell, CR; Fishman, K; Funk, T</t>
  </si>
  <si>
    <t>Badali, Daniel S.; Plateau, Guillaume R.; Ellenor, Christopher W.; Ku, Chwen-Yuan; Vatahov, Petre; Esterline, Jane; Wilfley, Brian P.; Mitchell, Christopher R.; Fishman, Kalman; Funk, Tobias</t>
  </si>
  <si>
    <t>Characterization of an x-ray source with a partitioned diamond-tungsten target for electronic brachytherapy with 3D beam directionality</t>
  </si>
  <si>
    <t>electronic brachytherapy; beam sculpting; 3D beam directionality; intraoperative radiation therapy; high dose rate; dosimetry; Monte Carlo simulations</t>
  </si>
  <si>
    <t>AAPM PROTOCOL; GEANT4; RADIOTHERAPY; DOSIMETRY; VALIDATION; TOOLKIT; PHYSICS; PHOTON</t>
  </si>
  <si>
    <t>The Sculptura (TM) is a new high-dose-rate electronic brachytherapy system developed by Sensus Healthcare. By combining a steerable electron beam with a partitioned diamond-tungsten x-ray target, the x-ray source of the Sculptura (TM) is capable of producing highly anisotropic dose distributions, thus achieving true 3D beam directionality. This article reports the spectral and dosimetric characterization of the Sculpture (TM) x-ray source through a combination of measurements and Monte Carlo simulations for operating points between 50-100 kV. Excellent agreement (similar to 5% discrepancy) between the simulations and measurements was obtained for in-air dose rate characterization. The validated simulations were then used to calculate the dose distribution in water. Dose rates of &gt;2 cGy/min/mu A can be produced at 100 kV, thus delivering 10 Gy in 1 min for typical operating conditions. The dose distributions are sharply peaked, with a full-width at half-maximum azimuth of about 100 degrees.</t>
  </si>
  <si>
    <t>[Badali, Daniel S.; Plateau, Guillaume R.; Ellenor, Christopher W.; Ku, Chwen-Yuan; Vatahov, Petre; Esterline, Jane; Wilfley, Brian P.; Mitchell, Christopher R.; Funk, Tobias] Triple Ring Technol, Newark, CA 94560 USA; [Fishman, Kalman] Sensus Healthcare Inc, Boca Raton, FL 33487 USA</t>
  </si>
  <si>
    <t>Funk, T (通訊作者)， Triple Ring Technol, Newark, CA 94560 USA.;Fishman, K (通訊作者)， Sensus Healthcare Inc, Boca Raton, FL 33487 USA.</t>
  </si>
  <si>
    <t>kal@sensushealthcare.com; tfunk@tripleringtech.com</t>
  </si>
  <si>
    <t>Wilfley, Brian/0000-0001-8009-8615; Badali, Daniel/0000-0002-9456-0855</t>
  </si>
  <si>
    <t>10.1088/1361-6560/ab5130</t>
  </si>
  <si>
    <t>WOS:000513009900007</t>
  </si>
  <si>
    <t>Holstensson, M; Smedby, Ö; Poludniowski, G; Sanchez-Crespo, A; Savitcheva, I; Öberg, M; Grybäck, P; Gabrielson, S; Sandqvist, P; Bartholdson, E; Axelsson, R</t>
  </si>
  <si>
    <t>Holstensson, Maria; Smedby, Orjan; Poludniowski, Gavin; Sanchez-Crespo, Alejandro; Savitcheva, Irina; Oberg, Michael; Gryback, Per; Gabrielson, Stefan; Sandqvist, Patricia; Bartholdson, Erika; Axelsson, Rimma</t>
  </si>
  <si>
    <t>Comparison of acquisition protocols for ventilation/perfusion SPECT-a Monte Carlo study</t>
  </si>
  <si>
    <t>ventilation; perfusion; lung scintigraphy; Monte Carlo; pulmonary embolism; SPECT</t>
  </si>
  <si>
    <t>EMISSION COMPUTED-TOMOGRAPHY; PULMONARY-EMBOLISM DIAGNOSIS; LUNG SCINTIGRAPHY; V/Q SPECT; MANAGEMENT; PLANAR; THROMBOEMBOLISM</t>
  </si>
  <si>
    <t>One of the most commonly used imaging techniques for diagnosing pulmonary embolism (PE) is ventilation/perfusion (V/P) scintigraphy. The aim of this study was to evaluate the performance of the currently used imaging protocols for V/P single photon emission computed tomography (V/P SPECT) at two nuclear medicine department sites and to investigate the effect of altering important protocol parameters. The Monte Carlo technique was used to simulate 4D digital phantoms with perfusion defects. Six imaging protocols were included in the study and a total of 72 digital patients were simulated. Six dually trained radiologists/nuclear medicine physicians reviewed the images and reported all perfusion mismatch findings. The radiologists also visually graded the image quality. No statistically significant differences in diagnostic performance were found between the studied protocols, but visual grading analysis pointed out one protocol as significantly superior to four of the other protocols. Considering the study results, we have decided to harmonize our clinical protocols for imaging patients with suspected PE. The administered Technegas and macro aggregated albumin activities have been altered, a low energy all purpose collimator is used instead of a low energy high resolution collimator and the acquisition times have been lowered.</t>
  </si>
  <si>
    <t>[Holstensson, Maria; Poludniowski, Gavin; Sanchez-Crespo, Alejandro; Savitcheva, Irina; Oberg, Michael; Gryback, Per; Gabrielson, Stefan; Sandqvist, Patricia; Bartholdson, Erika; Axelsson, Rimma] Karolinska Univ Hosp, Med Radiat Phys &amp; Nucl Med Imaging &amp; Physiol, Stockholm, Sweden; [Holstensson, Maria; Axelsson, Rimma] Karolinska Inst, Dept Clin Sci Intervent &amp; Technol CLINTEC, Div Funct Imaging &amp; Technol, Stockholm, Sweden; [Smedby, Orjan] KTH Royal Inst Technol, Dept Biomed Engn &amp; Hlth Syst, Stockholm, Sweden; [Sanchez-Crespo, Alejandro] Karolinska Inst, Dept Oncol Pathol OnkPat, Med Radiat Phys, SLL, Stockholm, Sweden; [Gabrielson, Stefan] Karolinska Inst, Dept Clin Sci Intervent &amp; Technol CLINTEC, Div Radiol, Stockholm, Sweden</t>
  </si>
  <si>
    <t>Karolinska Institutet; Karolinska University Hospital; Karolinska Institutet; Royal Institute of Technology; Karolinska Institutet; Karolinska Institutet</t>
  </si>
  <si>
    <t>Holstensson, M (通訊作者)， Karolinska Univ Hosp, Med Radiat Phys &amp; Nucl Med Imaging &amp; Physiol, Stockholm, Sweden.;Holstensson, M (通訊作者)， Karolinska Inst, Dept Clin Sci Intervent &amp; Technol CLINTEC, Div Funct Imaging &amp; Technol, Stockholm, Sweden.</t>
  </si>
  <si>
    <t>maria.k.holstensson@sll.se</t>
  </si>
  <si>
    <t>Poludniowski, Gavin/MEP-4471-2025; Sanchez-Crespo, Alejandro/AER-2589-2022; Gabrielson, Stefan/AAF-4102-2020</t>
  </si>
  <si>
    <t>Poludniowski, Gavin/0000-0001-9945-0543; Sanchez-Crespo, Alejandro/0000-0002-5964-0024; Smedby, Orjan/0000-0002-7750-1917</t>
  </si>
  <si>
    <t>10.1088/1361-6560/ab36ee</t>
  </si>
  <si>
    <t>WOS:000518765200008</t>
  </si>
  <si>
    <t>Daly, MJ; Chan, H; Muhanna, N; Akens, MK; Wilson, BC; Irish, JC; Jaffray, DA</t>
  </si>
  <si>
    <t>Daly, M. J.; Chan, H.; Muhanna, N.; Akens, M. K.; Wilson, B. C.; Irish, J. C.; Jaffray, D. A.</t>
  </si>
  <si>
    <t>Intraoperative cone-beam CT spatial priors for diffuse optical fluorescence tomography</t>
  </si>
  <si>
    <t>fluorescence-guided surgery; diffuse optical tomography; surgical navigation; cone-beam CT; spatial priors</t>
  </si>
  <si>
    <t>IMAGE-GUIDED INTERVENTIONS; NEAR-INFRARED TOMOGRAPHY; COMPUTED-TOMOGRAPHY; IN-VIVO; MOLECULAR TOMOGRAPHY; BREAST-CANCER; NECK-SURGERY; GUIDANCE; REAL; ARM</t>
  </si>
  <si>
    <t>A hybrid system for intraoperative cone-beam CT (CBCT) imaging and continuous-wave fluorescence tomography (FT) has been developed using an image-guidance framework. Intraoperative CBCT images with sub-millimeter spatial resolution are acquired with a flat-panel C-Arm. Tetrahedral meshes are generated from CBCT for finite element method implementation of diffuse optical tomography (NIRFAST). Structural data from CBCT is incorporated directly into the optical reconstruction process using Laplacian-type regularization ('soft spatial priors'). Experiments were performed using an in-house optical system designed for indocyanine green (ICG) fluorescence. A dynamic non-contact geometry was achieved using a stereoscopic optical tracker for real-time localization of a laser diode and CCD camera. Source and detector positions were projected onto the boundary elements of the tissue mesh using algorithms for ray-triangle intersection and camera lens calibration. Simulation studies showed the capabilities of a soft-prior approach, even in the presence of segmentation uncertainties. Experiments with ICG targets embedded in liquid phantoms determined the improvements in the quantification of the fluorophore yield, with errors of 85% and &lt;20% for no priors and spatial priors, respectively. Similar results were observed with the ICG target embedded in ex vivo porcine loin, with errors of 52% and 12%, respectively. A proof-of-principal animal study was performed in a VX2-tumor in vivo rabbit model using liposomal nanoparticles co-encapsulating contrast for CT (iohexol) and fluorescence (ICG) imaging. Fusion of CBCT and FT reconstructions demonstrated concurrent anatomical and functional delineations of contrast enhancement around the periphery of the buccal tumor. These developments motivate future clinical translation of the FT system into an ongoing CBCT-guided head and neck surgery trial.</t>
  </si>
  <si>
    <t>[Daly, M. J.; Irish, J. C.; Jaffray, D. A.] Univ Toronto, Inst Med Sci, Toronto, ON, Canada; [Daly, M. J.; Chan, H.; Muhanna, N.; Akens, M. K.; Wilson, B. C.; Irish, J. C.; Jaffray, D. A.] Univ Hlth Network, TECHNA Inst, Toronto, ON, Canada; [Muhanna, N.; Irish, J. C.] Univ Toronto, Dept Otolaryngol Head &amp; Neck Surg, Toronto, ON, Canada; [Muhanna, N.] Tel Aviv Univ, Tel Aviv Sourasky Med Ctr, Dept Otolaryngol Head &amp; Neck &amp; Maxillofacial Surg, Tel Aviv, Israel; [Akens, M. K.] Univ Toronto, Dept Surg, Toronto, ON, Canada; [Akens, M. K.; Wilson, B. C.; Jaffray, D. A.] Univ Toronto, Dept Med Biophys, Toronto, ON, Canada; [Wilson, B. C.; Jaffray, D. A.] Univ Hlth Network, Princess Margaret Canc Ctr, Toronto, ON, Canada; [Irish, J. C.] Univ Hlth Network, Dept Surg Oncol, Toronto, ON, Canada; [Jaffray, D. A.] Univ Hlth Network, Dept Med Phys, Toronto, ON, Canada</t>
  </si>
  <si>
    <t>University of Toronto; University of Toronto; University Health Network Toronto; University of Toronto; Tel Aviv University; Sackler Faculty of Medicine; Tel Aviv Sourasky Medical Center; University of Toronto; University of Toronto; University of Toronto; University Health Network Toronto; Princess Margaret Cancer Centre; University of Toronto; University Health Network Toronto; University of Toronto; University Health Network Toronto</t>
  </si>
  <si>
    <t>Jaffray, DA (通訊作者)， Univ Toronto, Inst Med Sci, Toronto, ON, Canada.;Jaffray, DA (通訊作者)， Univ Hlth Network, TECHNA Inst, Toronto, ON, Canada.;Jaffray, DA (通訊作者)， Univ Toronto, Dept Med Biophys, Toronto, ON, Canada.;Jaffray, DA (通訊作者)， Univ Hlth Network, Princess Margaret Canc Ctr, Toronto, ON, Canada.;Jaffray, DA (通訊作者)， Univ Hlth Network, Dept Med Phys, Toronto, ON, Canada.</t>
  </si>
  <si>
    <t>david.jaffray@rmp.uhn.ca</t>
  </si>
  <si>
    <t>; Akens, Margarete/K-5502-2013</t>
  </si>
  <si>
    <t>Jaffray, David/0000-0001-7378-7543; Akens, Margarete/0000-0003-3523-2381</t>
  </si>
  <si>
    <t>Canadian Institutes of Health Research (CIHR) Doctoral Award (Frederick Banting and Charles Best Canada Graduate Scholarship); Harry Barberian Scholarship Fund (Dept. of Otolaryngology-Head &amp; Neck Surgery, University of Toronto)</t>
  </si>
  <si>
    <t>Canadian Institutes of Health Research (CIHR) Doctoral Award (Frederick Banting and Charles Best Canada Graduate Scholarship)(Canadian Institutes of Health Research (CIHR)); Harry Barberian Scholarship Fund (Dept. of Otolaryngology-Head &amp; Neck Surgery, University of Toronto)</t>
  </si>
  <si>
    <t>This work was supported by a Canadian Institutes of Health Research (CIHR) Doctoral Award (Frederick Banting and Charles Best Canada Graduate Scholarship), the Harry Barberian Scholarship Fund (Dept. of Otolaryngology-Head &amp; Neck Surgery, University of Toronto), and philanthropic donations to the Princess Margaret Cancer Foundation (Sullivan Chair in Surgical Oncology, RACH Fund, Garron Fund). The opensource software community is acknowledged, including IGSTK (Children's National/Kitware) and NIRFAST (Dartmouth College/University of Birmingham).</t>
  </si>
  <si>
    <t>10.1088/1361-6560/ab4917</t>
  </si>
  <si>
    <t>JK5BT</t>
  </si>
  <si>
    <t>WOS:000494859300001</t>
  </si>
  <si>
    <t>Krah, N; Létang, JM; Rit, S</t>
  </si>
  <si>
    <t>Krah, N.; Letang, J. M.; Rit, S.</t>
  </si>
  <si>
    <t>Polynomial modelling of proton trajectories in homogeneous media for fast most likely path estimation and trajectory simulation</t>
  </si>
  <si>
    <t>proton imaging; Monte Carlo modelling; multiple Coulomb scattering; proton computed tomography; proton therapy</t>
  </si>
  <si>
    <t>MULTIPLE COULOMB SCATTERING; COMPUTED-TOMOGRAPHY; HETEROGENEOUS MEDIUM; RECONSTRUCTION; RADIOGRAPHY; FORMALISM; PARTICLE</t>
  </si>
  <si>
    <t>Protons undergo many small angle deflections when traversing a medium, such as a patient. This effect, known as multiple Coulomb scattering (MCS), leads to degraded image resolution in proton radiography and computed tomography (CT) and to lateral spreading of the dose distribution in proton therapy. To optimally account for MCS in proton imaging, the most likely path (MLP) of a proton is estimated based on its position and propagation angle measured in front of and behind the object. In this work, we propose a functional which quantifies the likelihood of a proton trajectory and study how it can be used to model proton trajectories in a homogeneous medium. We focus on two aspects: first, we present an analytical method to quickly generate proton trajectories in a homogeneous medium based on the likelihood functional and validate it through Monte Carlo simulations. It could be used for fast generation of proton CT images without a full Monte Carlo simulation, or potentially to complement the components in a treatment planning Monte Carlo which simulate MCS. Second, by maximising the likelihood functional, we derive an expression for the MLP which is equivalent to the conventional ones reported in the literature yet computationally more convenient. Moreover, we show that the MLP is strictly a polynomial function if the protons' energy loss in the medium is approximated as a polynomial and that the orders of both are linked. We validate our MLP through Monte Carlo simulations and compare proton CT images reconstructed with our expression and with the conventional one. We find that an MLP polynomial of orders larger than five do not lead to increased spatial resolution compared to lower order expressions.</t>
  </si>
  <si>
    <t>[Krah, N.; Letang, J. M.; Rit, S.] Univ Lyon, CNRS, CREATIS, UMR5220, Lyon, France; [Krah, N.; Letang, J. M.; Rit, S.] Univ Lyon 1, INSERM, U1044, INSA Lyon,Ctr Leon Berard, Lyon, France; [Krah, N.] Univ Lyon, Inst Nucl Phys Lyon IPNL, CNRS, UMR 5822, Villeurbanne, France</t>
  </si>
  <si>
    <t>Institut National des Sciences Appliquees de Lyon - INSA Lyon; Institut National de la Sante et de la Recherche Medicale (Inserm); Centre National de la Recherche Scientifique (CNRS); CNRS - Institute for Engineering &amp; Systems Sciences (INSIS); UNICANCER; Centre Leon Berard; Universite Claude Bernard Lyon 1; Institut National de la Sante et de la Recherche Medicale (Inserm); Institut National des Sciences Appliquees de Lyon - INSA Lyon; Centre National de la Recherche Scientifique (CNRS); CNRS - National Institute of Nuclear and Particle Physics (IN2P3)</t>
  </si>
  <si>
    <t>Krah, N (通訊作者)， Univ Lyon, CNRS, CREATIS, UMR5220, Lyon, France.;Krah, N (通訊作者)， Univ Lyon 1, INSERM, U1044, INSA Lyon,Ctr Leon Berard, Lyon, France.;Krah, N (通訊作者)， Univ Lyon, Inst Nucl Phys Lyon IPNL, CNRS, UMR 5822, Villeurbanne, France.</t>
  </si>
  <si>
    <t>nils.krah@creatis.insa-lyon.fr</t>
  </si>
  <si>
    <t>Letang, Jean Michel/H-4170-2014; Rit, Simon/H-9410-2014; Létang, Jean/H-4170-2014</t>
  </si>
  <si>
    <t>Letang, Jean Michel/0000-0003-2583-782X; Rit, Simon/0000-0003-2530-1013; Krah, Nils/0000-0002-1376-6633;</t>
  </si>
  <si>
    <t>European Union's Horizon 2020 research and innovation programme under the Marie Sklodowska-Curie Grant [753370]; 'Fondation pour la Recherche Medicale' (FRM) [DIC20161236452]; SIRIC LYriCAN [INCa_INSERM_DGOS_12563]; LABEX PRIMES of Universitede Lyon, within the program 'Investissements d'Avenir' [ANR-11-LABX-0063, ANR-11IDEX-0007]; Marie Curie Actions (MSCA) [753370] Funding Source: Marie Curie Actions (MSCA)</t>
  </si>
  <si>
    <t>European Union's Horizon 2020 research and innovation programme under the Marie Sklodowska-Curie Grant(Marie Curie Actions); 'Fondation pour la Recherche Medicale' (FRM)(Fondation pour la Recherche Medicale); SIRIC LYriCAN; LABEX PRIMES of Universitede Lyon, within the program 'Investissements d'Avenir'(Agence Nationale de la Recherche (ANR)); Marie Curie Actions (MSCA)(Marie Curie Actions)</t>
  </si>
  <si>
    <t>The work of Nils Krah was supported by funding from the European Union's Horizon 2020 research and innovation programme under the Marie Sklodowska-Curie Grant agreement No 753370. This work was performed within the framework of the project DIC20161236452 of the 'Fondation pour la Recherche Medicale' (FRM), of the SIRIC LYriCAN Grant INCa_INSERM_DGOS_12563 and of the LABEX PRIMES (ANR-11-LABX-0063) of Universitede Lyon, within the program 'Investissements d'Avenir' (ANR-11IDEX-0007) operated by the ANR.</t>
  </si>
  <si>
    <t>10.1088/1361-6560/ab3d0b</t>
  </si>
  <si>
    <t>KA7CN</t>
  </si>
  <si>
    <t>WOS:000505954900001</t>
  </si>
  <si>
    <t>Malimban, J; Nam, UW; Pyo, J; Youn, S; Ye, SJ</t>
  </si>
  <si>
    <t>Malimban, Justin; Nam, Uk-Won; Pyo, Jeonghyun; Youn, Sukwon; Ye, Sung-Joon</t>
  </si>
  <si>
    <t>Characterization of a new tissue equivalent proportional counter for dosimetry of neutron and photon fields: comparison of measurements and Monte Carlo simulations</t>
  </si>
  <si>
    <t>tissue equivalent proportional counter; mixed radiation field; lineal energy distribution; microdosimetry</t>
  </si>
  <si>
    <t>LINEAL ENERGY CALIBRATION; MICRODOSIMETRIC MEASUREMENTS; SPECTRA; TEPC; GAMMA; DISTRIBUTIONS; PERFORMANCE; THERAPY; CF-252; BEAMS</t>
  </si>
  <si>
    <t>The tissue equivalent proportional counter (TEPC) is widely recognized as an important dosimetric technique particularly for complex radiation fields. The Korea Astronomy and Space Science Institute (KASI) has recently developed a new spherical TEPC to monitor the space radiation environment in the low earth orbit. The purpose of this study is to examine the performance of the TEPC against standard photon (Cs-137) and neutron (Cf-252) sources through ground-based measurements and Monte Carlo simulations prior to its actual implementation. Lineal energy distributions, microdosimetric spectra and dosimetric quantities for a 2 mu m simulated site in pure propane gas were determined for both sources. Both the measured and calculated Cs-137 spectra were shown to occur below 11 keV mu m(-1) that is the typical range covered by photon sources. Complete coincidence of their electron edge regions was also observed. Meanwhile, the proton edge from the measured Cf-252 spectra was found to be in good agreement with those from the simulated ones and the literature. The gamma, recoil proton and heavy ions peaks expected for neutron sources were well defined, albeit deviations in the gamma region. The absorbed dose and dose equivalent for both irradiation conditions were also successfully obtained. The dose equivalent for Cf-252 was found to be ten times the absorbed dose whereas it remained the same for Cs-137. The discrepancies observed in the low lineal energy region for both irradiation conditions were caused by intrinsic limitations on the experimental set-up and simulation configurations. This mainly contributed to a difference in the measured and calculated dose mean lineal energies of about 4.1% and 8.7% for the photon and neutron cases, respectively. Nevertheless, fair consistency with published data suggested that our TEPC could adequately reproduce the expected microdosimetric distributions for complex radiation fields.</t>
  </si>
  <si>
    <t>[Malimban, Justin; Youn, Sukwon; Ye, Sung-Joon] Seoul Natl Univ, Grad Sch Convergence Sci &amp; Technol, Dept Transdisciplinary Studies, Program Biomed Radiat Sci, Seoul, South Korea; [Nam, Uk-Won; Pyo, Jeonghyun] Korea Astron &amp; Space Sci Inst, Daejeon, South Korea; [Ye, Sung-Joon] Seoul Natl Univ Hosp, Biomed Res Inst, Seoul, South Korea; [Ye, Sung-Joon] Seoul Natl Univ, Adv Inst Convergence Technol, Robot Res Lab Extreme Environm, Suwon, South Korea</t>
  </si>
  <si>
    <t>Seoul National University (SNU); Korea Astronomy &amp; Space Science Institute (KASI); Seoul National University (SNU); Seoul National University Hospital; Seoul National University (SNU)</t>
  </si>
  <si>
    <t>Ye, SJ (通訊作者)， Seoul Natl Univ, Grad Sch Convergence Sci &amp; Technol, Dept Transdisciplinary Studies, Program Biomed Radiat Sci, Seoul, South Korea.;Ye, SJ (通訊作者)， Seoul Natl Univ Hosp, Biomed Res Inst, Seoul, South Korea.;Ye, SJ (通訊作者)， Seoul Natl Univ, Adv Inst Convergence Technol, Robot Res Lab Extreme Environm, Suwon, South Korea.</t>
  </si>
  <si>
    <t>sye@snu.ac.kr</t>
  </si>
  <si>
    <t>Malimban, Justin/0000-0001-7783-2647</t>
  </si>
  <si>
    <t>National Research Foundation (NRF) - Korean government (Ministry of Science and ICT) [NRF-2017M1A3A4A01077220]</t>
  </si>
  <si>
    <t>National Research Foundation (NRF) - Korean government (Ministry of Science and ICT)</t>
  </si>
  <si>
    <t>This work was supported by the National Research Foundation (NRF) grant funded by the Korean government (Ministry of Science and ICT) (No. NRF-2017M1A3A4A01077220). The authors also gratefully acknowledge Dr Wonmo Sung for his insights regarding the TEPC simulation set-up.</t>
  </si>
  <si>
    <t>17NT02</t>
  </si>
  <si>
    <t>10.1088/1361-6560/ab2f1f</t>
  </si>
  <si>
    <t>IW1LI</t>
  </si>
  <si>
    <t>WOS:000484729500001</t>
  </si>
  <si>
    <t>Paganelli, C; Portoso, S; Garau, N; Meschini, G; Via, R; Buizza, G; Keall, P; Riboldi, M; Baroni, G</t>
  </si>
  <si>
    <t>Paganelli, C.; Portoso, S.; Garau, N.; Meschini, G.; Via, R.; Buizza, G.; Keall, P.; Riboldi, M.; Baroni, G.</t>
  </si>
  <si>
    <t>Time-resolved volumetric MRI in MRI-guided radiotherapy: an in silico comparative analysis</t>
  </si>
  <si>
    <t>MRI-guidance; time-resolved MRI; organ motion; radiotherapy</t>
  </si>
  <si>
    <t>ADVANCED LUNG-CANCER; CINE-MRI; MOTION TRACKING; RESPIRATORY MOTION; RADIATION-THERAPY; ORGAN MOTION; LINAC; SURROGATE; GUIDANCE; PHANTOM</t>
  </si>
  <si>
    <t>MRI-treatment units enable 2D cine-MRI centred in the tumour for motion detection in radiotherapy, but they lack 3D information due to spatio-temporal limits. To derive time-resolved 3D information, different approaches have been proposed in the literature, but a rigorous comparison among these strategies has not yet been performed. The goal of this study is to quantitatively investigate five published strategies that derive time-resolved volumetric MRI in MRI-guided radiotherapy: Propagation, out-of-plane motion compensation, Fayad model, ROI-based model and Stemkens model. Comparisons were performed using an MRI digital phantom generated with six different patient-derived motion signals and tumour-shapes. An average 4D cycle was generated as well as 2D cine-MRI data with corresponding 3D in-room ground truth. Quantitative analysis was performed by comparing the estimated 3D volume to the ground truth available for each 2D cine-MRI sample. A grouped patient statistical analysis was performed to evaluate the performance of the selected methods, in case of tumour tracking or motion estimation of the whole anatomy. Analyses were also performed based on patient characteristics. Quantitative ranking of the investigated methods highlighted that Propagation and ROI-based model strategies achieved an overall median tumour centre of mass 3D distance from the ground truth of 1.1 mm and 1.3 mm, respectively, and a diaphragm distance below 1.6 mm. Higher errors and variabilities were instead obtained for other methods, which lack the ability to compensate for in-room variations and to account for regional changes. These results were especially evident when further analysing patient characteristics, where errors above 2 mm/5 mm in tumour/diaphragm were found for more irregular breathing patterns in case of out-of-plane motion compensation, Fayad and Stemkens models. These findings suggest the potential of the proposed in silico framework to develop and compare strategies to estimate time-resolved 3DMRI in MRI-guided radiotherapy.</t>
  </si>
  <si>
    <t>[Paganelli, C.; Portoso, S.; Garau, N.; Meschini, G.; Buizza, G.; Baroni, G.] Politecn Milan, Dipartimento Elettron Informaz &amp; Bioingn, Milan, Italy; [Garau, N.] IRCCS, Ist Europeo Oncol, Div Radiol, Milan, Italy; [Via, R.] Paul Scherrer Inst, Ctr Proton Therapy, Villigen, Switzerland; [Keall, P.] Univ Sydney, Sydney Med Sch, ACRF Image X Inst, Sydney, NSW, Australia; [Riboldi, M.] Ludwig Maximilian Univ Munchen, Dept Med Phys, Munich, Germany; [Baroni, G.] CNAO Fdn, Bioengn Unit, Pavia, Italy</t>
  </si>
  <si>
    <t>Polytechnic University of Milan; IRCCS European Institute of Oncology (IEO); Swiss Federal Institutes of Technology Domain; Paul Scherrer Institute; University of Sydney; University of Munich; Centro Nazionale di Adroterapia Oncologica (CNAO)</t>
  </si>
  <si>
    <t>Paganelli, C (通訊作者)， Politecn Milan, Dipartimento Elettron Informaz &amp; Bioingn, Milan, Italy.</t>
  </si>
  <si>
    <t>chiara.paganelli@polimi.it</t>
  </si>
  <si>
    <t>Riboldi, Marco/AAE-1272-2020; Keall, Paul/A-6453-2018; Baroni, Guido/D-3012-2011; Garau, Noemi/AAB-3083-2021; Meschini, Giorgia/AAB-1730-2021; Riboldi, Marco/I-2980-2014</t>
  </si>
  <si>
    <t>Buizza, Giulia/0000-0001-5504-1262; Keall, Paul/0000-0003-4803-6507; Via, Riccardo/0000-0003-3310-4802; Baroni, Guido/0000-0002-5464-0164; Riboldi, Marco/0000-0002-2431-4966</t>
  </si>
  <si>
    <t>Australian National Health and Medical Research Council, Australia [APP1132471]; German Research Foundation (DFG) Cluster of Excellence Munich-Centre for Advanced Photonics (MAP)</t>
  </si>
  <si>
    <t>Australian National Health and Medical Research Council, Australia(National Health &amp; Medical Research Council (NHMRC) of Australia); German Research Foundation (DFG) Cluster of Excellence Munich-Centre for Advanced Photonics (MAP)(German Research Foundation (DFG))</t>
  </si>
  <si>
    <t>This project is supported by the Australian National Health and Medical Research Council Program Grant APP1132471, Australia. MR acknowledges the German Research Foundation (DFG) Cluster of Excellence Munich-Centre for Advanced Photonics (MAP) for the support. The authors would also like to thank John Kipritidis for XCAT generation.</t>
  </si>
  <si>
    <t>10.1088/1361-6560/ab33e5</t>
  </si>
  <si>
    <t>IZ5IK</t>
  </si>
  <si>
    <t>Green Published, Green Accepted</t>
  </si>
  <si>
    <t>WOS:000487116400002</t>
  </si>
  <si>
    <t>Zhao, W; Esquinas, PL; Frezza, A; Hou, XC; Beauregard, JM; Celler, A</t>
  </si>
  <si>
    <t>Zhao, Wei; Esquinas, Pedro Luis; Frezza, Andrea; Hou, Xinchi; Beauregard, Jean-Mathieu; Celler, Anna</t>
  </si>
  <si>
    <t>Accuracy of kidney dosimetry performed using simplified time activity curve modelling methods: a 177Lu-DOTATATE patient study</t>
  </si>
  <si>
    <t>Lu-I77-DOTATATE; kidney dosimetry; time activity curve; single time point method; quantitative SPECT; neuroendocrine tumours; radionuclide therapy</t>
  </si>
  <si>
    <t>RECEPTOR RADIONUCLIDE THERAPY; NEUROENDOCRINE TUMORS; INDIVIDUALIZED DOSIMETRY; TYR(3) OCTREOTATE; PEPTIDE; LU-177-OCTREOTATE; IMPACT; TOXICITY; ORGANS</t>
  </si>
  <si>
    <t>Lu-177-DOTATATE therapy has been shown to produce encouraging results in treatment of neuroendocrine tumours (NETs). Unfortunately, since dosimetry for radionuclide therapy is considered to be challenging, typically similar amount of radiopharmaceutical is administered to every patient. There is growing evidence that the efficacy of this therapy can be significantly improved by employing personalized protocols, based on the organ-at-risk dosimetry. The aim of this study is to propose a practical and accurate dosimetry protocol based on the simplified acquisition schedules. Data from fifty-three therapy cycles in thirty-nine NET patients were analyzed. Three SPECT/CT scans, acquired at 4 h (D0), 23 h (D1) and 70 h (D3) after injection, were performed. The kidney volume was determined using CT and the activity was determined from quantitative SPECT using an iterative thresholding method. For each dataset, four methods were used to model the time-activity-curves (TAC): M1-two trapezoid segments (0 to D0 and D0 to D1), followed by monoexponential fit to D1 + D3 data; M2-monoexponential fit to D0 + D1 + D3 data; M3 and M4-monoexponential fit to D0 + D3 and D1 + D3 data, respectively. Additionally, kidney doses obtained from single time point method using a monoexponential curve with the population mean effective half-life, normalized to activities at D0 or D1 or D3 points, were calculated. The accuracy of simplified dosimetry methods was assessed as the percentage difference relative to doses calculated from M1. The major contribution to the absorbed dose estimate comes from the area under the late time portion of the TAC (D1 to infinity). Therefore, information from the late scan (D3) is crucial for the determination of kidney absorbed doses. Single time point method using monoexponential TAC, with the population mean effective half-life normalized to the late data point (48-72 h for kidneys) produces &lt;10% deviation in the absorbed dose estimation, thus is recommended for clinical use.</t>
  </si>
  <si>
    <t>[Zhao, Wei] Univ British Columbia, Dept Phys &amp; Astron, Vancouver, BC, Canada; [Zhao, Wei; Esquinas, Pedro Luis; Hou, Xinchi; Celler, Anna] Univ British Columbia, Med Imaging Res Grp, Dept Radiol, Vancouver, BC, Canada; [Frezza, Andrea; Beauregard, Jean-Mathieu] Univ Laval, CHU Quebec, Dept Med Imaging, Quebec City, PQ, Canada; [Frezza, Andrea; Beauregard, Jean-Mathieu] Univ Laval, Dept Radiol &amp; Nucl Med, Quebec City, PQ, Canada</t>
  </si>
  <si>
    <t>University of British Columbia; University of British Columbia; Laval University; Laval University Hospital; Laval University</t>
  </si>
  <si>
    <t>Zhao, W (通訊作者)， Univ British Columbia, Dept Phys &amp; Astron, Vancouver, BC, Canada.;Zhao, W (通訊作者)， Univ British Columbia, Med Imaging Res Grp, Dept Radiol, Vancouver, BC, Canada.</t>
  </si>
  <si>
    <t>wzhao910@phas.ubc.ca</t>
  </si>
  <si>
    <t>; Beauregard, Jean-Mathieu/AAE-4989-2020</t>
  </si>
  <si>
    <t>Zhao, Wei/0000-0002-9311-2583; Esquinas, Pedro Luis/0000-0001-8577-6083; Beauregard, Jean-Mathieu/0000-0003-2123-145X</t>
  </si>
  <si>
    <t>Canadian Institutes of Health Research (CIHR) [MOP-142233]</t>
  </si>
  <si>
    <t>Canadian Institutes of Health Research (CIHR)(Canadian Institutes of Health Research (CIHR))</t>
  </si>
  <si>
    <t>This study was funded by Canadian Institutes of Health Research (CIHR) grant MOP-142233.</t>
  </si>
  <si>
    <t>10.1088/1361-6560/ab3039</t>
  </si>
  <si>
    <t>WOS:000483095200006</t>
  </si>
  <si>
    <t>Du, JW; Bai, XW; Cherry, SR</t>
  </si>
  <si>
    <t>Du, Junwei; Bai, Xiaowei; Cherry, Simon R.</t>
  </si>
  <si>
    <t>Performance comparison of depth-encoding detectors based on dual-ended readout and different SiPMs for high-resolution PET applications</t>
  </si>
  <si>
    <t>PET; SiPM; DOI</t>
  </si>
  <si>
    <t>SILICON PHOTOMULTIPLIER; ARRAYS; INSERT</t>
  </si>
  <si>
    <t>Silicon photomultipliers (SiPMs) are widely used in positron emission tomography (PET), however, SiPMs from different vendors vary in their performance characteristics. In addition, the specifications provided by the manufacturers are measured under different operating conditions and using different test setups, making it difficult to choose the optimal device for a specific application using the published specifications. In this work, we evaluated four state-of-the-art 8 x 8 arrays of similar to 3 x 3 mm(2) SiPMs from SensL, KETEK, and Hamamatsu for high-resolution dual-ended readout detectors using the same experimental setup and procedures. The results showed that all four SiPM arrays are excellent candidates for high-resolution PET applications, although some interesting differences in performance were noted.</t>
  </si>
  <si>
    <t>[Du, Junwei; Bai, Xiaowei; Cherry, Simon R.] Univ Calif Davis, Dept Biomed Engn, One Shields Ave, Davis, CA 95616 USA</t>
  </si>
  <si>
    <t>University of California System; University of California Davis</t>
  </si>
  <si>
    <t>Du, JW (通訊作者)， Univ Calif Davis, Dept Biomed Engn, One Shields Ave, Davis, CA 95616 USA.</t>
  </si>
  <si>
    <t>jwdu@ucdavis.edu</t>
  </si>
  <si>
    <t>Du, Junwei/J-9226-2015; Cherry, Simon/IAN-7507-2023</t>
  </si>
  <si>
    <t>NIH [R01 EB019439]</t>
  </si>
  <si>
    <t>The authors wish to thank SensL (now part of ON Semiconductor), KETEK and Hamamatsu for providing the SiPM arrays used in this work. This work was funded by NIH grant R01 EB019439.</t>
  </si>
  <si>
    <t>15NT03</t>
  </si>
  <si>
    <t>10.1088/1361-6560/ab1c37</t>
  </si>
  <si>
    <t>IP8JG</t>
  </si>
  <si>
    <t>WOS:000480292100001</t>
  </si>
  <si>
    <t>Huang, Q; Massey, JC; Minczukh, K; Li, J; Kundu, BK</t>
  </si>
  <si>
    <t>Huang, Qiao; Massey, James C.; Minczukh, Krzysztof; Li, Jie; Kundu, Bijoy K.</t>
  </si>
  <si>
    <t>Non-invasive determination of blood input function to compute rate of myocardial glucose uptake from dynamic FDG PET images of rat heart in vivo: comparative study between the inferior vena cava and the left ventricular blood pool with spill over and partial volume corrections</t>
  </si>
  <si>
    <t>dynamic FDG PET; blood input function; inferior vena cava; left ventricular blood pool; spill over and partial volume corrections</t>
  </si>
  <si>
    <t>QUANTIFICATION; MODEL; REGION</t>
  </si>
  <si>
    <t>The purpose of this work was to compute blood input function from the inferior vena cava (IVC) with partial volume (PV) corrections and compare to that obtained from the left ventricular blood pool (LVBP) with spill-over (SP) and PV corrections. These were then used to compute and validate rates of myocardial 2-deoxy-2-[18F] fluoro-D-glucose (FDG) uptake (Ki) from dynamic positron emission tomography (PET) images of rat hearts in vivo in comparison to that obtained from invasive arterial blood sampling. Whole body 60 min dynamic FDG PET/CT imaging of n = 8 control Wistar Kyoto (WKY) rats were performed using Albira trimodal PET/CT/SPECT scanner. Image derived blood input function (IDIF) obtained from IVC corrected for PV averaging (IVC-PV) and IDIF from the left ventricular blood pool (LVBP) with SP and PV corrections (LVBP-SPPV) were computed. Next, computed Ki (indirect comparison) in a 5-parameter (using IVC-PV) and a 15-parameter (using LVBP-SP-PV) 3-compartment models in WKY rat hearts in vivo were compared to that obtained using arterial blood sampling reported in literature in control Spraque Dawley (SD) rats. Using IVC-PV in a three-compartment five-parameter model resulted in a similar to 46% deviation in the mean computed Ki compared to that obtained with LVBP-SP-PV in a three-compartment 15-parameter model with a similar to 57% deviation in the mean computed Ki. The mean computed Ki in WKY rat hearts using the above methods, however, did not differ significantly to that obtained from invasive arterial blood sampling in SD rat hearts (p = 0.91 for IVC-PV and p = 0.58 for LVBP-SP-PV). Hence, Ki obtained in WKY rat hearts with input curve from IVC (IVC-PV) in a dynamic FDG PET scan is comparatively more repetitive to that obtained from the LVBP (LVBP-SPPV). Ki computed using both the methods, however, agree well with each other and that obtained using arterial blood sampling.</t>
  </si>
  <si>
    <t>[Huang, Qiao; Massey, James C.; Minczukh, Krzysztof; Li, Jie; Kundu, Bijoy K.] Univ Virginia, Dept Radiol &amp; Med Imaging, Charlottesville, VA 22903 USA; [Massey, James C.; Kundu, Bijoy K.] Univ Virginia, Dept Biomed Engn, Charlottesville, VA 22903 USA; [Kundu, Bijoy K.] Univ Virginia, Cardiovasc Res Ctr, Charlottesville, VA 22903 USA; [Kundu, Bijoy K.] Univ Virginia, Dept Radiol &amp; Med Imaging, Biomed Engn &amp; Cardiovasc Res Ctr, 480 Snyder Bldg,Rm 183, Charlottesville, VA 22908 USA; [Minczukh, Krzysztof] Med Univ Bialystok, Dept Expt Physiol &amp; Pathophysiol, Bialystok, Poland</t>
  </si>
  <si>
    <t>University of Virginia; University of Virginia; University of Virginia; University of Virginia; Medical University of Bialystok</t>
  </si>
  <si>
    <t>Kundu, BK (通訊作者)， Univ Virginia, Dept Radiol &amp; Med Imaging, Charlottesville, VA 22903 USA.;Kundu, BK (通訊作者)， Univ Virginia, Dept Biomed Engn, Charlottesville, VA 22903 USA.;Kundu, BK (通訊作者)， Univ Virginia, Cardiovasc Res Ctr, Charlottesville, VA 22903 USA.;Kundu, BK (通訊作者)， Univ Virginia, Dept Radiol &amp; Med Imaging, Biomed Engn &amp; Cardiovasc Res Ctr, 480 Snyder Bldg,Rm 183, Charlottesville, VA 22908 USA.</t>
  </si>
  <si>
    <t>bkk5a@virginia.edu</t>
  </si>
  <si>
    <t>Mińczuk, Krzysztof/ABC-8778-2021; Huang, Qiao/AAX-2824-2020</t>
  </si>
  <si>
    <t>Minczuk, Krzysztof/0000-0001-6894-0953; Huang, Qiao/0000-0002-9044-2464;</t>
  </si>
  <si>
    <t>NIH [R01 HL123627]; Radiology start-up funds at UVA</t>
  </si>
  <si>
    <t>NIH(United States Department of Health &amp; Human ServicesNational Institutes of Health (NIH) - USA); Radiology start-up funds at UVA</t>
  </si>
  <si>
    <t>The research in this study was supported by NIH grant R01 HL123627 (to BKK) and Radiology start-up funds at UVA (to BKK).</t>
  </si>
  <si>
    <t>10.1088/1361-6560/ab3238</t>
  </si>
  <si>
    <t>IT0GW</t>
  </si>
  <si>
    <t>WOS:000482525700001</t>
  </si>
  <si>
    <t>Jin, H; Heo, C; Kim, JH</t>
  </si>
  <si>
    <t>Jin, Hyeongmin; Heo, Changyong; Kim, Jong Hyo</t>
  </si>
  <si>
    <t>Deep learning-enabled accurate normalization of reconstruction kernel effects on emphysema quantification in low-dose CT</t>
  </si>
  <si>
    <t>emphysema quantification; lung density metric; reconstruction kernel; low dose CT; normalization; truncation restoration</t>
  </si>
  <si>
    <t>QUANTITATIVE COMPUTED-TOMOGRAPHY; PULMONARY-EMPHYSEMA; ITERATIVE RECONSTRUCTION; AIRWAYS; NOISE</t>
  </si>
  <si>
    <t>Lung densitometry is being frequently adopted in CT-based emphysema quantification, yet known to be affected by the choice of reconstruction kernel. This study presents a two-step deep learning architecture that enables accurate normalization of reconstruction kernel effects on emphysema quantification in low-dose CT. Deep learning is used to convert a CT image of a sharp kernel to that of a standard kernel with restoration of truncation artifacts and smoothing-free pixel size normalization. We selected 353 scans reconstructed by both standard and sharp kernels from four different CT scanners from the United States National Lung Screening Trial program database. A truncation artifact correction model was constructed with a combination of histogram extrapolation and a deep learning model trained with truncated and non-truncated image sets. Then, we performed frequency domain zero-padding to normalize reconstruction field of view effects while preventing image smoothing effects. The kernel normalization model has a U-Net based architecture trained for each CT scanner dataset. Three lung density measurements including relative lung area under 950 HU (RA950), lower 15th percentile threshold (perc15), and mean lung density were obtained in the datasets from standard, sharp, and normalized kernels. The effect of kernel normalization was evaluated with pair-wise differences in lung density metrics. The mean of pair-wise differences in RA950 between standard and sharp kernel reconstructions was reduced from 10.75% to -0.07% using kernel normalization. The difference for perc15 decreased from -31.03 HU to -0.30 HU after kernel normalization. Our study demonstrated the feasibility of applying deep learning techniques for normalizing CT kernel effects, thereby reducing the kernel-induced variability in lung density measurements. The deep learning model could increase the accuracy of emphysema quantification, thereby allowing reliable surveillance of emphysema in lung cancer screening even when follow-up CT scans are acquired with different reconstruction kernels.</t>
  </si>
  <si>
    <t>[Jin, Hyeongmin; Kim, Jong Hyo] Seoul Natl Univ, Grad Sch Convergence Sci &amp; Technol, Dept Transdisciplinary Studies, Program Biomed Radiat Sci, Seoul 08826, South Korea; [Jin, Hyeongmin] Seoul Natl Univ Hosp, Dept Radiat Oncol, Seoul 03080, South Korea; [Kim, Jong Hyo] Seoul Natl Univ Hosp, Dept Radiol, Seoul 03080, South Korea; [Heo, Changyong; Kim, Jong Hyo] Adv Inst Convergence Technol, Ctr Med IT Convergence Technol Res, Suwon 16229, South Korea</t>
  </si>
  <si>
    <t>Seoul National University (SNU); Seoul National University (SNU); Seoul National University Hospital; Seoul National University (SNU); Seoul National University Hospital</t>
  </si>
  <si>
    <t>Kim, JH (通訊作者)， Seoul Natl Univ, Grad Sch Convergence Sci &amp; Technol, Dept Transdisciplinary Studies, Program Biomed Radiat Sci, Seoul 08826, South Korea.;Kim, JH (通訊作者)， Seoul Natl Univ Hosp, Dept Radiol, Seoul 03080, South Korea.;Kim, JH (通訊作者)， Adv Inst Convergence Technol, Ctr Med IT Convergence Technol Res, Suwon 16229, South Korea.</t>
  </si>
  <si>
    <t>kimjhyo@snu.ac.kr</t>
  </si>
  <si>
    <t>Radiation Technology R&amp;D program through the National Research Foundation of Korea - Ministry of Science and ICT [2017M2A2A6A01070972]; Industrial Strategic Technology Development Program - Ministry of Trade, Industry and Energy (MOTIE) of Korea [10051357]</t>
  </si>
  <si>
    <t>Radiation Technology R&amp;D program through the National Research Foundation of Korea - Ministry of Science and ICT(National Research Foundation of Korea); Industrial Strategic Technology Development Program - Ministry of Trade, Industry and Energy (MOTIE) of Korea(Ministry of Trade, Industry &amp; Energy (MOTIE), Republic of Korea)</t>
  </si>
  <si>
    <t>This work was supported, in part, by the Radiation Technology R&amp;D program through the National Research Foundation of Korea funded by the Ministry of Science and ICT (No. 2017M2A2A6A01070972) and in part by the Industrial Strategic Technology Development Program (No. 10051357, development of intelligent low-dose mobile C-arm CT system for intervention) funded by the Ministry of Trade, Industry and Energy (MOTIE) of Korea.</t>
  </si>
  <si>
    <t>10.1088/1361-6560/ab28a1</t>
  </si>
  <si>
    <t>IH2AR</t>
  </si>
  <si>
    <t>WOS:000474298100002</t>
  </si>
  <si>
    <t>Ryu, H; Meikle, SR; Willowson, KP; Eslick, EM; Bailey, DL</t>
  </si>
  <si>
    <t>Ryu, HyunJu; Meikle, Steven R.; Willowson, Kathy P.; Eslick, Enid M.; Bailey, Dale L.</t>
  </si>
  <si>
    <t>Performance evaluation of quantitative SPECT/CT using NEMA NU 2 PET methodology</t>
  </si>
  <si>
    <t>nuclear imaging; SPECT; PET; Performance evaluation; quantification</t>
  </si>
  <si>
    <t>STANDARDIZED UPTAKE VALUE; X-RAY CT; ATTENUATION CORRECTION; COMPENSATION; TOMOGRAPHY; VALIDATION; DOSIMETRY</t>
  </si>
  <si>
    <t>Although PET is routinely evaluated using NEMA NU2 as standard in the clinic, standard methodology for evaluating the performance of quantitative SPECT systems has not been established. In this study, the quantitative performance of the Symbia Intevo SPECT/CT was evaluated for two common isotopes (Tc-99m, Lu-177) and benchmarked against the performance of a PET/CT. A further aim was to demonstrate the utility of adapting NEMA NU2 PET measurements to SPECT. In addition, dead-time and resolution recovery were evaluated to provide more complete system evaluations. Spatial resolution of the SPECT system at 1 cm from the center in the transverse direction was 13.1 mm and 22.4 mm for Tc-99m and Lu-177 respectively, compared with 4.3 mm (F-18) and 5.8 mm (Ga-68) for PET. Sensitivity at the center of the FoV was 119 cps MBq(-1) and 48 cps MBq(-1) ((99)mTc,Lu-177) for SPECT and 9632 cps MBq(-1) and 8216 cps MBq(-1) (F-18,Ga-68) for PET. Scatter fraction was 0.25 and 0.36 ((99)mTc,Lu-77) for SPECT and 0.32 and 0.29 (F-18, Ga-68) for PET. Contrast recovery coefficient in the largest spheres was 0.79 and 0.65 (Tc-99m,Lu-177) for SPECT, 1.00 and 0.97 (F-18,Ga-68) for PET and the background variability was 2.7%, 6.5% (Tc-99m,Lu-177), 1.5% and 1.6% (F-18,Ga- 68), respectively. Partial volume effect was evaluated using the NEMA IQ phantom with six sphere inserts (diameter: 37 mm, 28 mm, 22 mm, 17 mm, 13 mm and 10 mm). Full contrast recovery was reached with the 17 mm for F-18, while SPECT did not reach full recovery for any sphere. Count rate losses were 2% for Tc-99m at 1 GBq and 11% for Lu-177 at 8.5 GBq which are well below the typical activities for clinical applications. We concluded NEMA NU2 methodology can be easily adapted to SPECT/CT as a routine quality assurance procedure in the clinic.</t>
  </si>
  <si>
    <t>[Ryu, HyunJu; Meikle, Steven R.; Bailey, Dale L.] Univ Sydney, Fac &amp; Hlth Sci, Lidcombe, NSW, Australia; [Meikle, Steven R.] Univ Sydney, Brain &amp; Mind Ctr, Camperdown, NSW, Australia; [Willowson, Kathy P.; Eslick, Enid M.; Bailey, Dale L.] Royal North Shore Hosp, Dept Nucl Med, St Leonards, NSW, Australia</t>
  </si>
  <si>
    <t>University of Sydney; University of Sydney; Royal North Shore Hospital</t>
  </si>
  <si>
    <t>Ryu, H (通訊作者)， Univ Sydney, Fac &amp; Hlth Sci, Lidcombe, NSW, Australia.</t>
  </si>
  <si>
    <t>hryu0789@uni.sydney.edu.au</t>
  </si>
  <si>
    <t>Meikle, Steven/AAH-4973-2020; Meikle, Steven/A-5470-2009; Bailey, Dale/A-3359-2012</t>
  </si>
  <si>
    <t>Meikle, Steven/0000-0001-7397-0364; Ryu, HyunJu/0000-0003-2518-9412;</t>
  </si>
  <si>
    <t>10.1088/1361-6560/ab2a22</t>
  </si>
  <si>
    <t>WOS:000476529600001</t>
  </si>
  <si>
    <t>Ma, M; Kovalchuk, N; Buyyounouski, MK; Xing, L; Yang, Y</t>
  </si>
  <si>
    <t>Ma, Ming; Kovalchuk, Nataliya; Buyyounouski, Mark K.; Xing, Lei; Yang, Yong</t>
  </si>
  <si>
    <t>Incorporating dosimetric features into the prediction of 3D VMAT dose distributions using deep convolutional neural network</t>
  </si>
  <si>
    <t>dose prediction; deep learning; VMAT; treatment planning</t>
  </si>
  <si>
    <t>ORGANS-AT-RISK; MODULATED ARC; IMRT; RADIOTHERAPY; THERAPY; HEAD; DVH</t>
  </si>
  <si>
    <t>An accurate prediction of achievable dose distribution on a patient specific basis would greatly improve IMRT/VMAT planning in both efficiency and quality. Recently machine learning techniques have been proposed for IMRT dose prediction based on patient's contour information from planning CT. In these existing prediction models geometric/anatomic features were learned for building the dose prediction models and few features that characterize the dosimetric properties of the patients were utilized. In this study we propose a method to incorporate the dosimetric features in the construction of a more reliable dose prediction model based on the deep convolutional neural network (CNN). in addition to the contour information, the dose distribution from a PTV-only plan (i.e. the plan with the best PTV coverage by sacrificing the OARs sparing) is also employed as the model input to build a deep learning based dose prediction model. A database of 60 volumetric modulated arc therapy (VMAT) plans for the prostate cancer patients was used for training. The trained prediction model was then tested on a cohort of ten cases. Dose difference maps, DVHs, dosimetric endpoints and statistical analysis of the sum of absolute residuals (SARs) were used to evaluate the proposed method. Our results showed that the mean SARs for the PTV, bladder and rectum using our method were 0.007 +/- 0.003, 0.035 +/- 0.032 and 0.067 +/- 0.037 respectively, lower than the SARs obtained with the contours-based method, indicating the potential of the proposed approach in accurately predicting dose distribution.</t>
  </si>
  <si>
    <t>[Ma, Ming; Kovalchuk, Nataliya; Buyyounouski, Mark K.; Xing, Lei; Yang, Yong] Stanford Univ, Dept Radiat Oncol, Stanford, CA 94305 USA</t>
  </si>
  <si>
    <t>Stanford University</t>
  </si>
  <si>
    <t>Xing, L (通訊作者)， Stanford Univ, Dept Radiat Oncol, Stanford, CA 94305 USA.</t>
  </si>
  <si>
    <t>lei@stanford.edu; yongy66@stanford.edu</t>
  </si>
  <si>
    <t>Kovalchuk, Nataliya/0000-0003-2619-7262; Xing, Lei/0000-0003-2536-5359</t>
  </si>
  <si>
    <t>NIH/NCI [1R01 CA176553]; Varian Medical Systems from Huiyihuiying Medical Co; Faculty Research Award from Google Inc.</t>
  </si>
  <si>
    <t>NIH/NCI(United States Department of Health &amp; Human ServicesNational Institutes of Health (NIH) - USANIH National Cancer Institute (NCI)); Varian Medical Systems from Huiyihuiying Medical Co; Faculty Research Award from Google Inc.(Google Incorporated)</t>
  </si>
  <si>
    <t>This work was partially supported by NIH/NCI (1R01 CA176553), Varian Medical Systems, a gift fund from Huiyihuiying Medical Co, and a Faculty Research Award from Google Inc.</t>
  </si>
  <si>
    <t>10.1088/1361-6560/ab2146</t>
  </si>
  <si>
    <t>WOS:000518929400007</t>
  </si>
  <si>
    <t>Malkov, VN; Hackett, SL; Wolthaus, JWH; Raaymakers, BW; van Asselen, B</t>
  </si>
  <si>
    <t>Malkov, Victor N.; Hackett, Sara L.; Wolthaus, Jochem W. H.; Raaymakers, Bas W.; van Asselen, Bram</t>
  </si>
  <si>
    <t>Monte Carlo simulations of out-of-field surface doses due to the electron streaming effect in orthogonal magnetic fields</t>
  </si>
  <si>
    <t>Monte Carlo; MRgRT; magnetic field; surface dose; out-of-field; MR-linac; EGSnrc</t>
  </si>
  <si>
    <t>MV RADIOTHERAPY ACCELERATOR; MRI SCANNER; IRRADIATION; INCREASE; SYSTEMS; ENERGY; BEAM</t>
  </si>
  <si>
    <t>The out-of-field surface dose contribution due to backscattered or ejected electrons, focused by the magnetic field, is evaluated in this work. This electron streaming effect (ESE) can contribute to out-of-field skin doses in orthogonal magnetic resonance guided radiation therapy machines. Using the EGSnrc Monte Carlo package, a phantom is set-up along the central axis of an incident 10 x 10 cm(2) 7 MV FFF photon beam. The phantom exit or entry surface is inclined with respect to the magnetic field, and an out-of-field water panel is positioned 10 cm away from, and centered on, the isocenter. The doses from streaming backscattered or ejected electrons, for either a 0.35 T or 1.5 T magnetic field, are evaluated in the out-of-field water panel for surface inclines of 10, 30, and 45 degrees. The magnetic field focuses electrons emitted from the inclined phantom. Dose distributions at the surface of the out-of-field water panel are sharper in the 1.5 T magnetic field as compared to 0.35 T. The maximum doses for the 0.35 T simulations are 23.2%, 37.8%, and 39.0% for the respective 10, 30, and 45 degrees simulations. For 1.5 T, for the same angles, the maximum values are 17.1%, 29.8%, and 35.8%. Dose values drop to below 2% within the first 1 cm of the out-of-field water phantom. The phantom thickness is an important variable in the magnitude of the ESE dose. The ESE can produce large out-of-field skin doses and must be a consideration in treatment planning in the MRgRT work-flow. Treatments often include multiple beams which will serve to spread out the effect, and many beams, such as anterior-posterior, will reduce the skin dose due to the ESE. A 1 cm thick shielding of either a bolus placed on the patient or mounted on the present RF coils would greatly reduce the ESE dose contributions. Further exploration of the capabilities of treatment planning systems to screen for this effect is required.</t>
  </si>
  <si>
    <t>[Malkov, Victor N.; Hackett, Sara L.; Wolthaus, Jochem W. H.; Raaymakers, Bas W.; van Asselen, Bram] Univ Med Ctr Utrecht, Dept Radiotherapy, Heidelberglaan 100, NL-3584 CX Utrecht, Netherlands</t>
  </si>
  <si>
    <t>Malkov, VN (通訊作者)， Univ Med Ctr Utrecht, Dept Radiotherapy, Heidelberglaan 100, NL-3584 CX Utrecht, Netherlands.</t>
  </si>
  <si>
    <t>victormalkov@gmail.com</t>
  </si>
  <si>
    <t>Malkov, Victor/AAE-2820-2020; van Asselen, Bram/Q-4774-2019</t>
  </si>
  <si>
    <t>EURAMET through EMPIR [15HLT08 MRgRT]</t>
  </si>
  <si>
    <t>EURAMET through EMPIR</t>
  </si>
  <si>
    <t>The authors would like to thank David W O Rogers and the Carleton Laboratory for Radiotherapy Physics for granting the use of the Carleton Physics Department CPU computing cluster. This work was partially funded by EURAMET through EMPIR grant 15HLT08 MRgRT.</t>
  </si>
  <si>
    <t>10.1088/1361-6560/ab0aa0</t>
  </si>
  <si>
    <t>IC2RX</t>
  </si>
  <si>
    <t>WOS:000470808600004</t>
  </si>
  <si>
    <t>Fattori, G; Klimpki, G; Hrbacek, J; Zhang, Y; Krieger, M; Placidi, L; Psoroulas, S; Weber, DC; Lomax, AJ; Safai, S</t>
  </si>
  <si>
    <t>Fattori, G.; Klimpki, G.; Hrbacek, J.; Zhang, Y.; Krieger, M.; Placidi, L.; Psoroulas, S.; Weber, D. C.; Lomax, A. J.; Safai, S.</t>
  </si>
  <si>
    <t>The dependence of interplay effects on the field scan direction in PBS proton therapy</t>
  </si>
  <si>
    <t>pencil beam scanning; interplay effect; motion mitigation; scan direction; proton therapy</t>
  </si>
  <si>
    <t>MOTION MITIGATION; BEAM; SPOT; SYSTEM; PARAMETERS; LYMPHOMA; TARGETS; DESIGN; IMPACT; LUNG</t>
  </si>
  <si>
    <t>The literature is controversial about the scan direction dependency of interplay effects in pencil beam scanning (PBS) treatment of moving targets. A directional effect is supported by many simulation studies, whereas the experimental data are mostly limited to simple geometries, not reflecting realistically clinical treatment plans. We have compared increasingly complex treatment fields, from a homogeneous single energy layer to a more modulated lung plan, under identical experimental settings, seeking evidence for differences in motion mitigation due to the selection of primary scanning direction. In total, 120 experimental samples were taken, combining two primary scan directions and three rescanning regimes with different motion scenarios. 4D dose distributions were measured in water with a moving ionisation chamber array and compared to those of a stationary delivery using 2D gamma analysis. Each plan has been verified twice for the same rescanning regime and motion scenario, changing the meandering direction in between to scan perpendicularly to, or along, the target motion. Additionally, machine log files of the lung plan, together with 4DCT data, were used to calculate the dose distribution that such deliveries would have produced in the patient. The primary meandering direction has a clear influence on measured dose distributions when considering a single energy layer. Introducing spot weight modulation and multiple energy layers however, makes the dynamic of interplay more complex and difficult to predict. Overall, gamma (3%/3 mm) differences between scanning along or orthogonal to the target motion follow a normal distribution (mu = -0.27%) when considering multiple motion scenarios and rescanning regimes. Nevertheless, data spread (sigma = 3.19%) is significant enough such that, for individual experiments and set-ups, a dependency may be observed even if this is not a general result. Patient reconstructed doses follow the same trend, the two primary scan directions producing statistically insignificant differences in dose distributions in terms of conformity or homogeneity. Except for extremely simplified cases of mono-energetic and homogeneous treatment fields, the interplay effect has been found to be only marginally influenced by the choice of the primary scanning direction.</t>
  </si>
  <si>
    <t>[Fattori, G.; Klimpki, G.; Hrbacek, J.; Zhang, Y.; Krieger, M.; Placidi, L.; Psoroulas, S.; Weber, D. C.; Lomax, A. J.; Safai, S.] Paul Scherrer Inst, Ctr Proton Therapy, CH-5232 Villigen, Switzerland; [Klimpki, G.; Krieger, M.; Lomax, A. J.] Swiss Fed Inst Technol, Dept Phys, CH-8092 Zurich, Switzerland; [Weber, D. C.] Univ Hosp Zurich, Dept Radiat Oncol, CH-8091 Zurich, Switzerland; [Weber, D. C.] Univ Hosp Bern, Dept Radiat Oncol, CH-3000 Bern, Switzerland; [Placidi, L.] Fdn Policlin Univ A Gemelli IRCCS, Rome, Italy</t>
  </si>
  <si>
    <t>Swiss Federal Institutes of Technology Domain; Paul Scherrer Institute; Swiss Federal Institutes of Technology Domain; ETH Zurich; University of Zurich; University Zurich Hospital; University of Bern; University Hospital of Bern; Catholic University of the Sacred Heart; IRCCS Policlinico Gemelli</t>
  </si>
  <si>
    <t>Fattori, G (通訊作者)， Paul Scherrer Inst, Ctr Proton Therapy, CH-5232 Villigen, Switzerland.</t>
  </si>
  <si>
    <t>giovanni.fattori@psi.ch</t>
  </si>
  <si>
    <t>; Psoroulas, Serena/Q-3929-2019; Fattori, Giovanni/B-9407-2014; Klimpki, Grischa/O-7334-2014; Placidi, Lorenzo/AAB-5254-2022; Krieger, Miriam/AAP-6964-2020; Zhang, Ye/R-5980-2016</t>
  </si>
  <si>
    <t>Safai, Sairos/0000-0002-0459-4534; Krieger, Miriam/0000-0002-1914-1220; Fattori, Giovanni/0000-0002-7639-7759; Klimpki, Grischa/0000-0001-7646-6200; Placidi, Lorenzo/0000-0003-0058-9145; Weber, Damien Charles/0000-0003-1166-8236; Psoroulas, Serena/0000-0001-7576-3238; Hrbacek, Jan/0009-0001-3854-4594; Zhang, Ye/0000-0003-1608-4467; Lomax, Tony/0000-0002-0666-425X</t>
  </si>
  <si>
    <t>Giuliana and Giorgio Stefanini Foundation; Swiss National Science Foundation (SNF) [320030 163330/1]</t>
  </si>
  <si>
    <t>Giuliana and Giorgio Stefanini Foundation; Swiss National Science Foundation (SNF)(Swiss National Science Foundation (SNSF))</t>
  </si>
  <si>
    <t>This work was partially supported by the Giuliana and Giorgio Stefanini Foundation (GK) and the Swiss National Science Foundation (SNF) grant No. 320030 163330/1 (MK).</t>
  </si>
  <si>
    <t>10.1088/1361-6560/ab1150</t>
  </si>
  <si>
    <t>HV2MG</t>
  </si>
  <si>
    <t>WOS:000465824100005</t>
  </si>
  <si>
    <t>Chen, LY; Shen, CY; Zhou, ZG; Maquilan, G; Albuquerque, K; Folkert, MR; Wang, J</t>
  </si>
  <si>
    <t>Chen, Liyuan; Shen, Chenyang; Zhou, Zhiguo; Maquilan, Genevieve; Albuquerque, Kevin; Folkert, Michael R.; Wang, Jing</t>
  </si>
  <si>
    <t>Automatic PET cervical tumor segmentation by combining deep learning and anatomic prior</t>
  </si>
  <si>
    <t>cervical tumor segmentation; PET image; CNN; prior anatomy information</t>
  </si>
  <si>
    <t>ATLAS-BASED SEGMENTATION; IMAGE SEGMENTATION; BRAIN IMAGES; HELICAL CT; STRATEGIES; CANCER; VOLUME; MRI; QUANTIFICATION; METASTASES</t>
  </si>
  <si>
    <t>Cervical tumor segmentation on 3D (18)FDG PET images is a challenging task because of the proximity between cervix and bladder, both of which can uptake (18)FDG tracers. This problem makes traditional segmentation based on intensity variation methods ineffective and reduces overall accuracy. Based on anatomy knowledge, including 'roundness' of the cervical tumor and relative positioning between the bladder and cervix, we propose a supervised machine learning method that integrates convolutional neural network (CNN) with this prior information to segment cervical tumors. First, we constructed a spatial information embedded CNN model (S-CNN) that maps the PET image to its corresponding label map, in which bladder, other normal tissue, and cervical tumor pixels are labeled as -1, 0, and 1, respectively. Then, we obtained the final segmentation from the output of the network by a prior information constrained (PIC) thresholding method. We evaluated the performance of the PIC-S-CNN method on PET images from 50 cervical cancer patients. The PICS-CNN method achieved a mean Dice similarity coefficient (DSC) of 0.84 while region-growing, Chan-Vese, graph-cut, fully convolutional neural networks (FCN) based FCN-8 stride, and FCN-2 stride, and U-net achieved 0.55, 0.64, 0.67, 0.71, 0.77, and 0.80 mean DSC, respectively. The proposed PIC-S-CNN provides a more accurate way for segmenting cervical tumors on 3D PET images. Our results suggest that combining deep learning and anatomic prior information may improve segmentation accuracy for cervical tumors.</t>
  </si>
  <si>
    <t>[Chen, Liyuan; Shen, Chenyang; Zhou, Zhiguo; Maquilan, Genevieve; Albuquerque, Kevin; Folkert, Michael R.; Wang, Jing] Univ Texas Southwestern Med Ctr Dallas, Dept Radiat Oncol, Dallas, TX 75287 USA</t>
  </si>
  <si>
    <t>University of Texas System; University of Texas Southwestern Medical Center</t>
  </si>
  <si>
    <t>Wang, J (通訊作者)， Univ Texas Southwestern Med Ctr Dallas, Dept Radiat Oncol, Dallas, TX 75287 USA.</t>
  </si>
  <si>
    <t>Shen, Chenyang/I-2144-2019; Zhou, Zhiguo/S-4260-2018; Chen, Liyuan/AAF-3864-2020; Wang, Jing/N-7332-2019</t>
  </si>
  <si>
    <t>Shen, Chenyang/0000-0001-6490-6555; Wang, Jing/0000-0002-8491-4146</t>
  </si>
  <si>
    <t>Cancer Prevention and Research Institute of Texas [RP160661]; US National Institutes of Health [R01 EB020366]</t>
  </si>
  <si>
    <t>Cancer Prevention and Research Institute of Texas(Cancer Prevention &amp; Research Institute of Texas); US National Institutes of Health(United States Department of Health &amp; Human ServicesNational Institutes of Health (NIH) - USA)</t>
  </si>
  <si>
    <t>This work was supported in part by the Cancer Prevention and Research Institute of Texas (RP160661) and US National Institutes of Health (R01 EB020366). The authors would like to thank Dr Damiana Chiavolini for editing the manuscript.</t>
  </si>
  <si>
    <t>10.1088/1361-6560/ab0b64</t>
  </si>
  <si>
    <t>WOS:000464454200005</t>
  </si>
  <si>
    <t>Lin, H; Shi, CY; Wang, B; Chan, MF; Tang, XL; Ji, W</t>
  </si>
  <si>
    <t>Lin, Hui; Shi, Chengyu; Wang, Brian; Chan, Maria F.; Tang, Xiaoli; Ji, Wei</t>
  </si>
  <si>
    <t>Towards real-time respiratory motion prediction based on long short-term memory neural networks</t>
  </si>
  <si>
    <t>deep learning; long short term memory networks; hyper parameter tuning; motion tracking and prediction; radiation therapy</t>
  </si>
  <si>
    <t>LUNG-TUMOR MOTION; BREATH-HOLD; TRACKING; RADIOTHERAPY; SYSTEMS; MODEL</t>
  </si>
  <si>
    <t>Radiation therapy of thoracic and abdominal tumors requires incorporating the respiratory motion into treatments. To precisely account for the patient's respiratory motions and predict the respiratory signals, a generalized model for predictions of different types of patients' respiratory motions is desired. The aim of this study is to explore the feasibility of developing a long short-term memory (LSTM)-based generalized model for the respiratory signal prediction. To achieve that, 1703 sets of real-time position management (RPM) data were collected from retrospective studies across three clinical institutions. These datasets were separated as the training, internal validity and external validity groups. Among all the datasets, 1187 datasets were used for model development and the remaining 516 datasets were used to test the model's generality power. Furthermore, an exhaustive grid search was implemented to find the optimal hyper-parameters of the LSTM model. The hyper-parameters are the number of LSTM layers, the number of hidden units, the optimizer, the learning rate, the number of epochs, and the length of time lags. The obtained model achieved superior accuracy over conventional artificial neural network (ANN) models: with the prediction window equaling to 500 ms, the LSTM model achieved an average relative mean absolute error (MAE) of 0.037, an average root mean square error (RMSE) of 0.048, and a maximum error (ME) of 1.687 in the internal validity data, and an average relative MAE of 0.112, an average RMSE of 0.139 and an ME of 1.811 in the external validity data. Compared to the LSTM model trained with default hyper-parameters, the MAE of the optimized model results decreased by 20%, indicating the importance of tuning the hyper-parameters of LSTM models to obtain superior accuracies. This study demonstrates the potential of deep LSTM models for the respiratory signal prediction and illustrates the impacts of major hyper-parameters in LSTM models.</t>
  </si>
  <si>
    <t>[Lin, Hui; Ji, Wei] Rensselaer Polytech Inst, Dept Mech Aerosp &amp; Nucl Engn, Troy, NY 12180 USA; [Shi, Chengyu; Chan, Maria F.; Tang, Xiaoli] Mem Sloan Kettering Canc Ctr, Dept Med Phys, New York, NY 10021 USA; [Wang, Brian] Univ Louisville, Dept Radiat Oncol, Louisville, KY 40292 USA</t>
  </si>
  <si>
    <t>Rensselaer Polytechnic Institute; Memorial Sloan Kettering Cancer Center; University of Louisville</t>
  </si>
  <si>
    <t>Ji, W (通訊作者)， Rensselaer Polytech Inst, Dept Mech Aerosp &amp; Nucl Engn, Troy, NY 12180 USA.</t>
  </si>
  <si>
    <t>jiw2@rpi.edu</t>
  </si>
  <si>
    <t>Chan, Maria/Z-2589-2019; Wang, Brian/HGA-9535-2022; Tang, Xiaoli/AAT-6093-2020</t>
  </si>
  <si>
    <t>Shi, Chengyu/0000-0002-1342-7543</t>
  </si>
  <si>
    <t>NIH/NCI Cancer Center Support Grant [P30 CA008748]</t>
  </si>
  <si>
    <t>NIH/NCI Cancer Center Support Grant</t>
  </si>
  <si>
    <t>This research was funded in part through the NIH/NCI Cancer Center Support Grant P30 CA008748. This study was originated from an independent study with Dr Wei Ji and accomplished by Dr Hui Lin while completing her dissertation at RPI under the research support by Dr X George Xu.</t>
  </si>
  <si>
    <t>10.1088/1361-6560/ab13fa</t>
  </si>
  <si>
    <t>HS9HW</t>
  </si>
  <si>
    <t>WOS:000464179400002</t>
  </si>
  <si>
    <t>Reed, AJ; Kim, JH; Burrage, JW</t>
  </si>
  <si>
    <t>Reed, Anita J.; Kim, Jung-Ha; Burrage, John W.</t>
  </si>
  <si>
    <t>Development and application of a simple method for calculating breast dose from radio-guided occult lesion localisation using iodine-125 seeds (ROLLIS)</t>
  </si>
  <si>
    <t>radio-guided occult lesion localisation; ROLLIS; iodine-125 seed; absorbed breast dose</t>
  </si>
  <si>
    <t>MAMMOGRAPHY; RECOMMENDATIONS; SATISFACTION; REMOVAL; QUALITY; UPDATE; SAFETY; WATER</t>
  </si>
  <si>
    <t>Radio-guided occult lesion localisation using iodine-125 seeds (ROLLIS) for surgical removal of impalpable breast lesions has been increasingly used as an alternative to hook-wire localisation. This technique involves implanting a low-level radioactive seed into the lesion, followed by excision of the lesion guided using a hand-held gamma probe. Although the level of radiation exposure from this procedure is low, there has not been an appropriate method to quantify the organ dose. This study aims to provide a simple technique to estimate the mean absorbed dose to the breast in patients undergoing the ROLLIS procedure. The transverse plane dose rates as a function of distance for the I-125 seed were used to calculate the dose rate to voxels in a breast modelled as a hemisphere. The dose rate to each voxel was assumed to arise from an isotropic point source, and calculated using a linear interpolation of the dose rate data and the radial distance of each voxel from the seed position. Two scenarios were simulated: (i) One seed at the centre of the lesion; and (ii) Two seeds bracketing the lesion. The mean absorbed dose was calculated by excluding the volume of lesion and surgical margin which are modelled as a sphere with its centre at the centre of the lesion. Mean absorbed doses were calculated for a range of breast and lesion sizes. The calculated dose rate factors from the ROLLIS procedure ranged from 0.0097 to 0.0477 mGy . h(-1)-1 . MBq(-1) depending on many factors including breast size, lesion size, seed number, seed activity and the time in situ. Lookup tables were compiled to allow a convenient way to calculate the mean absorbed dose for future ROLLIS patients. Based on clinical data collected at our institution, the mean absorbed dose to the breast for a typical ROLLIS patient would be approximately 0.50 mGy.</t>
  </si>
  <si>
    <t>[Reed, Anita J.; Kim, Jung-Ha; Burrage, John W.] Royal Perth Hosp, Dept Med Engn &amp; Phys, Perth, WA 6000, Australia</t>
  </si>
  <si>
    <t>University of Western Australia; East Metropolitan Health Service; Royal Perth Hospital</t>
  </si>
  <si>
    <t>Reed, AJ (通訊作者)， Royal Perth Hosp, Dept Med Engn &amp; Phys, Perth, WA 6000, Australia.</t>
  </si>
  <si>
    <t>Anita.Reed@health.wa.gov.au</t>
  </si>
  <si>
    <t>Reed, Anita/JAC-8312-2023</t>
  </si>
  <si>
    <t>Kim, Jung-Ha/0000-0003-1304-2851; Reed, Anita/0000-0003-1966-0431</t>
  </si>
  <si>
    <t>State Health Research Advisory Committee; Cancer Council of WA; Medical Research Foundation of Royal Perth Hospital; Ladybird Foundation</t>
  </si>
  <si>
    <t>State Health Research Advisory Committee; Cancer Council of WA(Cancer Council Western Australia); Medical Research Foundation of Royal Perth Hospital; Ladybird Foundation</t>
  </si>
  <si>
    <t>The authors thank Christobel Saunders and Donna Taylor for allowing us to use the seed implant information obtained from the ROLLIS RCT trial, funded by State Health Research Advisory Committee, Cancer Council of WA, Medical Research Foundation of Royal Perth Hospital and The Ladybird Foundation.</t>
  </si>
  <si>
    <t>10.1088/1361-6560/ab0149</t>
  </si>
  <si>
    <t>WOS:000463540400008</t>
  </si>
  <si>
    <t>Aricò, G; Gehrke, T; Gallas, R; Mairani, A; Jäkel, O; Martisíková, M</t>
  </si>
  <si>
    <t>Arico, G.; Gehrke, T.; Gallas, R.; Mairani, A.; Jaekel, O.; Martisikova, M.</t>
  </si>
  <si>
    <t>Investigation of single carbon ion fragmentation in water and PMMA for hadron therapy</t>
  </si>
  <si>
    <t>ion beam radiotherapy; nuclear interactions and fragmentation; Timepix detectors; FLUKA simulations</t>
  </si>
  <si>
    <t>SILICON PIXEL DETECTOR; PATTERN-RECOGNITION; IONIZING-RADIATION; CROSS-SECTIONS; CHARGE; BEAMS; PARTICLES; HELIUM; ENERGY; FLUKA</t>
  </si>
  <si>
    <t>Carbon ion radiotherapy is an attractive alternative to conventional radiotherapy, especially in case of deep-seated and radio-resistant tumors. As a consequence of inelastic nuclear reactions between primary particles and patient's tissues, the primary carbon ions may undergo nuclear fragmentation. The resulting decrease of primary ions and production of secondary fragments have to be carefully considered for accurate dose calculations in the treatment planning systems. The experimental data currently available provide only general information on carbon ion fragmentation and are not sufficient to cover the entire range of beam energies, target configurations and compositions relevant for radiotherapy. Therefore, new investigations were carried out to analyse the outcomes of the inelastic nuclear reaction processes on a single-ion-based approach. Measurements were performed at HIT, using 430 MeV/u carbon ion beams crossing water and PMMA targets. Unique in this method is the possibility of measuring number and type of fragments produced from each single carbon ion, provided that they are within the acceptance of the experimental apparatus. Concerning the amount of residual carbon ions behind water and PMMA targets with the same water equivalent thickness (WET), no significant differences were found. The experimental attenuation curve was well reproduced by the simulations. However, in the experiments, differences were observed regarding the amount of secondary fragments produced in water and in PMMA targets with the same WET. Differences were also found between experiments and simulations. These findings should be considered when dosimetric measurements are performed with PMMA instead of water phantoms. The found differences between experiments and simulations may contribute to improve the nuclear interaction and fragmentation models in Monte Carlo codes.</t>
  </si>
  <si>
    <t>[Arico, G.; Gehrke, T.; Martisikova, M.] Heidelberg Univ Hosp, Dept Radiat Oncol, Heidelberg, Germany; [Arico, G.; Gehrke, T.; Gallas, R.; Jaekel, O.; Martisikova, M.] German Canc Res Ctr, Dept Med Phys Radiat Oncol, Heidelberg, Germany; [Arico, G.; Gehrke, T.; Gallas, R.; Mairani, A.; Jaekel, O.; Martisikova, M.] Natl Ctr Radiat Res Oncol, Heidelberg Inst Radiat Oncol, Heidelberg, Germany; [Arico, G.; Gehrke, T.; Gallas, R.] Heidelberg Univ, Fac Phys &amp; Astron, Heidelberg, Germany; [Arico, G.; Mairani, A.; Jaekel, O.] Heidelberg Ion Beam Therapy Ctr, Heidelberg, Germany; [Mairani, A.] Natl Ctr Oncol Hadrontherapy CNAO, Pavia, Italy; [Arico, G.] CERN, European Org Nucl Res, Geneva, Switzerland; [Gallas, R.] PTB, Braunschweig, Germany</t>
  </si>
  <si>
    <t>Ruprecht Karls University Heidelberg; Helmholtz Association; German Cancer Research Center (DKFZ); Ruprecht Karls University Heidelberg; Ruprecht Karls University Heidelberg; Centro Nazionale di Adroterapia Oncologica (CNAO); European Organization for Nuclear Research (CERN); Physikalisch-Technische Bundesanstalt (PTB)</t>
  </si>
  <si>
    <t>Aricò, G (通訊作者)， Heidelberg Univ Hosp, Dept Radiat Oncol, Heidelberg, Germany.;Aricò, G (通訊作者)， German Canc Res Ctr, Dept Med Phys Radiat Oncol, Heidelberg, Germany.;Aricò, G (通訊作者)， Natl Ctr Radiat Res Oncol, Heidelberg Inst Radiat Oncol, Heidelberg, Germany.;Aricò, G (通訊作者)， Heidelberg Univ, Fac Phys &amp; Astron, Heidelberg, Germany.;Aricò, G (通訊作者)， Heidelberg Ion Beam Therapy Ctr, Heidelberg, Germany.;Aricò, G (通訊作者)， CERN, European Org Nucl Res, Geneva, Switzerland.</t>
  </si>
  <si>
    <t>giulia.arico@cern.ch</t>
  </si>
  <si>
    <t>Martisikova, Maria/KAM-4000-2024; Jäkel, Oliver/AAC-4379-2021</t>
  </si>
  <si>
    <t>, Oliver/0000-0002-6056-9747; Gehrke, Tim/0000-0002-6005-8576;</t>
  </si>
  <si>
    <t>German Cancer Aid; German Research Foundation (DFG)</t>
  </si>
  <si>
    <t>German Cancer Aid(Deutsche Krebshilfe); German Research Foundation (DFG)(German Research Foundation (DFG))</t>
  </si>
  <si>
    <t>The authors want to thank the Heidelberg Ion-Beam Therapy Center for the provided beam time, the accelerator team for arranging the special beam settings needed, Dr Stephan Brons for the experimental support, Prof Dr Katia Parodi and Dr Thomas Tessonnier for providing the phase space files. GA and MM were funded by the German Cancer Aid. TG was funded by the German Research Foundation (DFG).</t>
  </si>
  <si>
    <t>10.1088/1361-6560/aafa46</t>
  </si>
  <si>
    <t>WOS:000460772200006</t>
  </si>
  <si>
    <t>Guerreiro, F; Koivula, L; Seravalli, E; Janssens, GO; Maduro, JH; Brouwer, CL; Korevaar, EW; Knopf, AC; Korhonen, J; Raaymakers, BW</t>
  </si>
  <si>
    <t>Guerreiro, Filipa; Koivula, Lauri; Seravalli, Enrica; Janssens, Geert O.; Maduro, John H.; Brouwer, Charlotte L.; Korevaar, Erik W.; Knopf, Antje C.; Korhonen, Juha; Raaymakers, Bas W.</t>
  </si>
  <si>
    <t>Feasibility of MRI-only photon and proton dose calculations for pediatric patients with abdominal tumors</t>
  </si>
  <si>
    <t>magnetic resonance imaging; MRI-only treatment planning; pediatric IGRT; abdominal cancer; synthetic CT; proton therapy; photon therapy</t>
  </si>
  <si>
    <t>COMPUTED-TOMOGRAPHY GENERATION; GEOMETRIC DISTORTION; RADIATION-THERAPY; OPEN-LABEL; PSEUDO-CT; RADIOTHERAPY; BRAIN</t>
  </si>
  <si>
    <t>The purpose of this study was to develop a method enabling synthetic computed tomography (sCT) generation of the whole abdomen using magnetic resonance imaging (MRI) scans of pediatric patients with abdominal tumors. The proposed method relies on an automatic atlas-based segmentation of bone and lungs followed by an MRI intensity to synthetic Hounsfield unit conversion. Separate conversion algorithms were used for bone, lungs and soft-tissue. Rigidly registered CT and T2-weighted MR images of 30 patients in treatment position and with the same field of view were used for the evaluation of the atlas and the conversion algorithms. The dose calculation accuracy of the generated sCTs was verified for volumetric modulated arc therapy (VMAT) and pencil beam scanning (PBS). VMAT and PBS plans were robust optimized on an internal target volume (ITV) against a patient set-up uncertainty of 5 mm. Average differences between CT and sCT dose calculations for the ITV V-95% were 0.5% (min 0.0%; max 5.0%) and 0.0% (min -0.1%; max 0.1%) for VMAT and PBS dose distributions, respectively. Average differences for the mean dose to the organs at risk were &lt;0.2% (min -0.6%; max 1.2%) and &lt;0.2% (min -2.0%; max 2.6%) for VMAT and PBS dose distributions, respectively. Results show that MRI-only photon and proton dose calculations are feasible for children with abdominal tumors.</t>
  </si>
  <si>
    <t>[Guerreiro, Filipa; Seravalli, Enrica; Raaymakers, Bas W.] Univ Med Ctr Utrecht, Dept Radiotherapy, Utrecht, Netherlands; [Koivula, Lauri] Helsinki Univ Hosp, Canc Ctr, Dept Radiat Oncol, Helsinki, Finland; [Janssens, Geert O.] Univ Med Ctr Utrecht, Dept Radiat Oncol, Utrecht, Netherlands; [Maduro, John H.; Brouwer, Charlotte L.; Korevaar, Erik W.; Knopf, Antje C.] Univ Groningen, Univ Med Ctr Groningen, Dept Radiat Oncol, Groningen, Netherlands; [Korhonen, Juha] Kymenlaakso Cent Hosp, Kymenlaakso Social &amp; Hlth Serv Carea, Dept Med Imaging &amp; Radiat Therapy, Kotka, Finland; [Korhonen, Juha] Aalto Univ, Dept Elect Engn &amp; Automat, Hlth Technol, Espoo, Finland</t>
  </si>
  <si>
    <t>Utrecht University; Utrecht University Medical Center; University of Helsinki; Helsinki University Central Hospital; Utrecht University; Utrecht University Medical Center; University of Groningen; Aalto University</t>
  </si>
  <si>
    <t>Guerreiro, F (通訊作者)， Univ Med Ctr Utrecht, Dept Radiotherapy, Utrecht, Netherlands.</t>
  </si>
  <si>
    <t>f.guerreiro@umcutrecht.nl</t>
  </si>
  <si>
    <t>Janssens, G.O.R.J./L-4412-2015; Koivula, Lauri/MFI-0661-2025; Knopf, Antje-Christin/JTS-4562-2023; Korevaar, Erik/N-2912-2013</t>
  </si>
  <si>
    <t>Maduro, John/0000-0003-2458-8702; Brouwer, Charlotte/0000-0002-2349-7369; Knopf, Antje/0000-0001-8212-571X; Koivula, Lauri/0000-0001-7846-695X</t>
  </si>
  <si>
    <t>10.1088/1361-6560/ab0095</t>
  </si>
  <si>
    <t>HM8OL</t>
  </si>
  <si>
    <t>WOS:000459740600004</t>
  </si>
  <si>
    <t>Li, K; Sasaki, K; Watanabe, S; Shirai, H</t>
  </si>
  <si>
    <t>Li, Kun; Sasaki, Kensuke; Watanabe, Soichi; Shirai, Hiroshi</t>
  </si>
  <si>
    <t>Relationship between power density and surface temperature elevation for human skin exposure to electromagnetic waves with oblique incidence angle from 6 GHz to 1 THz</t>
  </si>
  <si>
    <t>electromagnetic fields; power density; temperature elevation; millimeter wave; dosimetry; standardization; optical radiation</t>
  </si>
  <si>
    <t>ABSORPTION RATE; AVERAGED SAR; HUMAN HEAD; HUMAN-BODY; MODEL; FREQUENCIES; DOSIMETRY; TISSUES; LIMITS; MHZ</t>
  </si>
  <si>
    <t>This study presents an investigation of human skin exposure to obliquely incident electromagnetic waves at frequencies from 6 GHz to 1 THz. We aim to clarify the relationship between the power density and the skin surface temperature elevation under various exposure conditions. A Monte Carlo simulation was conducted to assess the transmittance and surface temperature elevation considering the variation of skin tissue thickness. For the case of TM wave injection, transmittance increases with increasing incidence angle from the normal incidence because of the Brewster effect. The normal incidence is confirmed as the worst-case exposure condition when the incident power density is defined in an area normal to the propagation direction. In addition, we investigated the power density required to obtain the equivalent temperature elevation over the skin surface. The analysis shows that the incident power density defined in the direction normal to the skin surface may underestimate the temperature elevation when TM waves are incident over the normal incidence up to the maximum transmittance angle. Our results also show that the power density inside the skin surface strongly correlates with the surface temperature elevation but less dependent on the frequency and independent of the oblique incidence angle and polarization. The findings of this study are expected to be valuable for discussing how to use the different definitions of power density based on dosimetric characteristics as measures in safety guidelines to protect humans from excessive temperature elevation by millimeter and submillimeter-wave exposure.</t>
  </si>
  <si>
    <t>[Li, Kun; Sasaki, Kensuke; Watanabe, Soichi] Natl Inst Informat &amp; Commun Technol, 4-2-1 Koganei, Tokyo 1848795, Japan; [Shirai, Hiroshi] Chuo Univ, Bunkyo Ku, 1-13-27 Kasuga, Tokyo 1128551, Japan</t>
  </si>
  <si>
    <t>National Institute of Information &amp; Communications Technology (NICT) - Japan; Chuo University</t>
  </si>
  <si>
    <t>Li, K (通訊作者)， Natl Inst Informat &amp; Commun Technol, 4-2-1 Koganei, Tokyo 1848795, Japan.</t>
  </si>
  <si>
    <t>kunli@nict.go.jp</t>
  </si>
  <si>
    <t>; Li, Kun/HHZ-6363-2022; Sasaki, Kensuke/AAV-3961-2021</t>
  </si>
  <si>
    <t>shirai, hiroshi/0000-0002-8328-7443; Li, Kun/0000-0002-0013-045X;</t>
  </si>
  <si>
    <t>Ministry of Internal Affairs and Communications, Japan</t>
  </si>
  <si>
    <t>This work was partly supported by the Ministry of Internal Affairs and Communications, Japan.</t>
  </si>
  <si>
    <t>10.1088/1361-6560/ab057a</t>
  </si>
  <si>
    <t>WOS:000461426500001</t>
  </si>
  <si>
    <t>Rosen, DP; Jiang, J</t>
  </si>
  <si>
    <t>Rosen, D. P.; Jiang, J.</t>
  </si>
  <si>
    <t>A comparison of hyperelastic constitutive models applicable to shear wave elastography (SWE) data in tissue-mimicking materials</t>
  </si>
  <si>
    <t>shear wave elastography; elastography; acoustoelasticity</t>
  </si>
  <si>
    <t>NONLINEAR ELASTIC PROPERTIES; ACOUSTIC RADIATION FORCE; EX-VIVO; ULTRASOUND ELASTOGRAPHY; IN-VIVO; RUBBER; MODULUS; ACOUSTOELASTICITY; BEHAVIOR</t>
  </si>
  <si>
    <t>Shear wave elastography (SWE) techniques have received substantial attention in recent years. Strong experimental data in SWE suggest that shear wave speed changes significantly due to the known acoustoelastic effect (AE). This presents both challenges and opportunities toward in vivo characterization of biological soft tissues. In this work, under the framework of continuum mechanics, we model a tissue-mimicking material as a homogeneous, isotropic, incompressible, hyperelastic material. Our primary objective is to quantitatively and qualitatively compare experimentally measured acoustoelastic data with model-predicted outcomes using multiple strain energy functions. Our analysis indicated that the classic Neo-Hookean and Mooney-Rivlin models are inadequate for modeling the AE in tissue-mimicking materials. However, a subclass of strain energy functions containing both high-order/exponential term(s) and second-order invariant dependence showed good agreement with experimental data. Based on data investigated, we also found that discrepancies may exist between parameters inversely estimated from uniaxial compression and SWE data. Overall, our findings may improve our understanding of clinical SWE results.</t>
  </si>
  <si>
    <t>[Rosen, D. P.; Jiang, J.] Michigan Technol Univ, Dept Biomed Engn, Houghton, MI 49931 USA; [Jiang, J.] Michigan Technol Univ, Dept Mech Engn &amp; Engn Mech, Houghton, MI 49931 USA</t>
  </si>
  <si>
    <t>Michigan Technological University; Michigan Technological University</t>
  </si>
  <si>
    <t>Jiang, J (通訊作者)， Michigan Technol Univ, Dept Biomed Engn, Houghton, MI 49931 USA.;Jiang, J (通訊作者)， Michigan Technol Univ, Dept Mech Engn &amp; Engn Mech, Houghton, MI 49931 USA.</t>
  </si>
  <si>
    <t>jjiang1@mtu.edu</t>
  </si>
  <si>
    <t>US National Institutes of Health [R15CA179409, R15EB026197]; Portage Health Foundation; Finishing Fellowship from the Michigan Technological University</t>
  </si>
  <si>
    <t>US National Institutes of Health(United States Department of Health &amp; Human ServicesNational Institutes of Health (NIH) - USA); Portage Health Foundation; Finishing Fellowship from the Michigan Technological University</t>
  </si>
  <si>
    <t>This project is partially funded by research grants from the US National Institutes of Health (R15CA179409 and R15EB026197). David Rosen was supported in part by a Portage Health Foundation Research Fellowship in Fall 2018, and is currently funded by a Finishing Fellowship from the Michigan Technological University. The authors would like to thank undergraduate assistants (particularly, Derrick Diver and Lydia Kugler) for their assistance with phantom construction and measurement.</t>
  </si>
  <si>
    <t>10.1088/1361-6560/ab0137</t>
  </si>
  <si>
    <t>WOS:000460772200002</t>
  </si>
  <si>
    <t>Lee, AK; Park, JS; Hong, SE; Taki, M; Wake, K; Wiarts, J; Choi, HD</t>
  </si>
  <si>
    <t>Lee, Ae-Kyoung; Park, Jin Seo; Hong, Seon-Eui; Taki, Masao; Wake, Kanako; Wiarts, Joe; Choi, Hyung-Do</t>
  </si>
  <si>
    <t>Brain SAR of average male Korean child to adult models for mobile phone exposure assessment</t>
  </si>
  <si>
    <t>RF exposure; age; specific absorption rate; anatomical morphology</t>
  </si>
  <si>
    <t>SECTIONED IMAGES; HEAD MODELS</t>
  </si>
  <si>
    <t>This paper aims to implement average head models of Korean males and investigate age-related differences in the brain for exposure from radiation from mobile phones. Four male head models composed of a total of 69 structures were developed through a statistical investigation of the anatomical morphology for the age groups of 6, 9,15 and 20-24 years in age, which are named KR-6, KR-9, KR-15, and KR-22 herein. Three numerical bar phone models with a dual-band built-in antenna were applied to calculate the specific absorption rate (SAR) in the brain; the body lengths of models M-avg and M-long have the mean value and upper 5th percentile value of commercial bar phone models, respectively, with an antenna at the bottom, whereas M-rev has an antenna on top of the phone body, which is the same as in M-avg but rotated 180 degrees. The cheek and tilt positions were employed for SAR simulations. As a result, a higher peak spatial-average SAR (psSAR) was observed in the brain for the child groups of KR-6 and KR-9 than for the adult groups of KR-15 and KR-22. In most configurations, the position-averaged psSAR(10g) in the child brain was 62% (M-long, 835 MHz), 61% (M-avg, 835 MHz), 102% (M-long, 1850 MHz), 108% (M-avg, 1850 MHz), and 125 % (M-rev, 1850 MHz) higher than in the adult brain. The higher frequency of 1850 MHz showed a wider difference in the brain psSAR between the child and adult groups owing to the shorter penetration depth. When a long phone with an antenna at the bottom operates at a higher frequency, it significantly reduces the brain exposure.</t>
  </si>
  <si>
    <t>[Lee, Ae-Kyoung; Hong, Seon-Eui; Choi, Hyung-Do] ETRI, Radio Technol Res Dept, Daejeon 305700, South Korea; [Park, Jin Seo] Dongguk Univ, Sch Med, Dept Anat, Gyeongju, South Korea; [Taki, Masao] Tokyo Metropolitan Univ, Tokyo, Japan; [Wake, Kanako] Natl Inst Informat &amp; Commun Technol, Tokyo, Japan; [Wiarts, Joe] TELECOM ParisTech, Paris, France</t>
  </si>
  <si>
    <t>Electronics &amp; Telecommunications Research Institute - Korea (ETRI); Dongguk University; Tokyo Metropolitan University; National Institute of Information &amp; Communications Technology (NICT) - Japan; IMT - Institut Mines-Telecom; Institut Polytechnique de Paris; Telecom Paris</t>
  </si>
  <si>
    <t>Lee, AK (通訊作者)， ETRI, Radio Technol Res Dept, Daejeon 305700, South Korea.</t>
  </si>
  <si>
    <t>aklee@etri.re.kr</t>
  </si>
  <si>
    <t>LEE, Keon-Joo/AAO-4206-2020</t>
  </si>
  <si>
    <t>Lee, Ae-Kyoung/0000-0002-8082-4194</t>
  </si>
  <si>
    <t>ICT R&amp;D program of MSIP/IITP, Korea [2017-0-00961, 2019-0-00102]</t>
  </si>
  <si>
    <t>ICT R&amp;D program of MSIP/IITP, Korea</t>
  </si>
  <si>
    <t>This work was supported by the ICT R&amp;D program of MSIP/IITP, Korea [2017-0-00961, Study on the EMF exposure control in smart society] and [2019-0-00102, A study on public health and safety in a complex EMF environment].</t>
  </si>
  <si>
    <t>10.1088/1361-6560/aafcdc</t>
  </si>
  <si>
    <t>HK3VB</t>
  </si>
  <si>
    <t>WOS:000457845700004</t>
  </si>
  <si>
    <t>Jiang, K; Fujii, F; Shiinoki, T</t>
  </si>
  <si>
    <t>Jiang, Kai; Fujii, Fumitake; Shiinoki, Takehiro</t>
  </si>
  <si>
    <t>Prediction of lung tumor motion using nonlinear autoregressive model with exogenous input</t>
  </si>
  <si>
    <t>NARX; prediction of lung tumor position; prediction horizon</t>
  </si>
  <si>
    <t>RESPIRATORY MOTION; RADIOTHERAPY; THERAPY; SYSTEM; ORGANS</t>
  </si>
  <si>
    <t>The present note addresses the development of a lung tumor position predictor to be used in dynamic tumor tracking radiotherapy, abbreviated as DTT-RT. As there exists 50-500 ms positioning lag in the control of the multi-leaf collimator (MLC) of commercial medical linear accelerators, prediction of future lung tumor position with sufficiently long prediction horizon is inevitable for the successful implementation of DTT-RT. The present article proposes a lung tumor position predictor, which is classified as a nonlinear autoregressive model with exogenous input (NARX). The proposed predictor was trained using seven lung tumor motion trajectories of patients who underwent respiratory gated radiotherapy at Yamaguchi University Hospital. We considered three different prediction horizons, 600 ms, 800 ms and 1 s, which were sufficiently long to compensate for the possible positioning control lag of the MLC. A patient-specific model corresponding to an intended prediction horizon was obtained by training it using the selected tumor motion trajectory with the specified horizon. Accordingly, we obtained three NARX predictors for a single patient. We calculated two performance metrics: the RMS prediction errors and the rate of coverage of the entire tumor trajectory defined by the number of samples of the measured tumor position which was inside the 4 mm cube centered at the corresponding predicted tumor position. The latter quantifies the feasibility of the predictors to generate future gating cubes in the implementation of DTT-RT. The mu +/- sigma (mean +/- standard deviation) values of the rates of 600 ms, 800 ms and 1 s prediction horizon calculated using the proposed NARX predictors were 82.32 +/- 17.93%, 80.52 +/- 18.00% and 79.77 +/- 18.42%, respectively.</t>
  </si>
  <si>
    <t>[Jiang, Kai; Fujii, Fumitake] Yamaguchi Univ, Grad Sch Sci &amp; Thchnol Innovat, 2-16-1 Tokiwa Dai, Ube, Yamaguchi 7558611, Japan; [Shiinoki, Takehiro] Yamaguchi Univ, Grad Sch Med, Dept Radiat Oncol, 1-1-1 Minamikogushi, Ube, Yamaguchi 7558505, Japan; [Jiang, Kai] Chongqing Univ Technol, Dept Pharm &amp; Bioengn, Biomed Engn, 69 Hongguang Ave, Chongqing 400054, Peoples R China</t>
  </si>
  <si>
    <t>Yamaguchi University; Yamaguchi University; Chongqing University of Technology</t>
  </si>
  <si>
    <t>Fujii, F (通訊作者)， Yamaguchi Univ, Grad Sch Sci &amp; Thchnol Innovat, 2-16-1 Tokiwa Dai, Ube, Yamaguchi 7558611, Japan.</t>
  </si>
  <si>
    <t>ffujii@yamaguchi-u.ac.jp</t>
  </si>
  <si>
    <t>Fujii, Fumitake/AAQ-8666-2020</t>
  </si>
  <si>
    <t>Fujii, Fumitake/0000-0002-6496-5755; Shiinoki, Takehiro/0000-0002-0246-8489</t>
  </si>
  <si>
    <t>21NT02</t>
  </si>
  <si>
    <t>10.1088/1361-6560/ab49ea</t>
  </si>
  <si>
    <t>JJ9RT</t>
  </si>
  <si>
    <t>WOS:000494489800001</t>
  </si>
  <si>
    <t>Nardelli, NV; Krzyzewski, SP; Knappe, SA</t>
  </si>
  <si>
    <t>Nardelli, N., V; Krzyzewski, S. P.; Knappe, S. A.</t>
  </si>
  <si>
    <t>Reducing crosstalk in optically-pumped magnetometer arrays</t>
  </si>
  <si>
    <t>magnetometer; atomic; laser sensors; optical instruments; micro-optical devices; MEG; OPM</t>
  </si>
  <si>
    <t>Optically pumped magnetometers (OPMs) operating in the spin-exchange relaxation-free regime are emerging as alternative sensors to superconducting quantum interference devices (SQUIDs) for magnetoencephalography (MEG). As the number of OPMs in a single imaging system increases to rival SQUID MEG systems, cross-talk between nearby sensors limits the measurement accuracy. We experimentally demonstrate a coil geometry, which generates an order of magnitude less cross-talk (less than 0.5%) than a Helmholtz coil (8%). The new coil design is simple and compact, requiring two coaxial coil pairs that add 1?mm to the 6 mm radius and is driven by a single current driver. The new design maintains a magnetic field homogeneity over the volume of the magnetometer of more than 94%, which is sufficient for the zero-field OPM to operate in a 200 nT ambient field environment. Our result increases the feasibility of high-spatial resolution OPM-based bio-magnetic imaging technology due to the reduction of cross-talk at high sensor density.</t>
  </si>
  <si>
    <t>[Nardelli, N., V; Krzyzewski, S. P.; Knappe, S. A.] Univ Colorado, Boulder, CO 80309 USA; [Knappe, S. A.] FieldLine Inc, Boulder, CO 80301 USA</t>
  </si>
  <si>
    <t>University of Colorado System; University of Colorado Boulder</t>
  </si>
  <si>
    <t>Knappe, SA (通訊作者)， Univ Colorado, Boulder, CO 80309 USA.;Knappe, SA (通訊作者)， FieldLine Inc, Boulder, CO 80301 USA.</t>
  </si>
  <si>
    <t>svenja.knappe@colorado.edu</t>
  </si>
  <si>
    <t>Nardelli, Nicholas/AAR-8534-2021</t>
  </si>
  <si>
    <t>Knappe, Svenja/0000-0002-6024-5232; Nardelli, Nicholas/0000-0002-1558-5182</t>
  </si>
  <si>
    <t>National Institutes of Health [R01EB019440, R01NS094604]</t>
  </si>
  <si>
    <t>This work has been supported by funds from the National Institutes of Health under grant numbers R01EB019440 and R01NS094604. The content is solely the responsibility of the authors and does not necessarily represent the official views of the National Institutes of Health.</t>
  </si>
  <si>
    <t>21NT03</t>
  </si>
  <si>
    <t>10.1088/1361-6560/ab4c06</t>
  </si>
  <si>
    <t>JK5BN</t>
  </si>
  <si>
    <t>WOS:000494858700002</t>
  </si>
  <si>
    <t>McDonald, BA; Lee, HJ; Ibbott, GS</t>
  </si>
  <si>
    <t>McDonald, Brigid A.; Lee, Hannah J.; Ibbott, Geoffrey S.</t>
  </si>
  <si>
    <t>Low-density gel dosimeter for measurement of the electron return effect in an MR-linac</t>
  </si>
  <si>
    <t>MR image-guided radiation therapy; MR-linac; gel dosimetry; electron return effect</t>
  </si>
  <si>
    <t>MAGNETIC-FIELD; COMPUTED-TOMOGRAPHY; DOSE RESOLUTION; RADIOTHERAPY; OPTIMIZATION; ACCELERATOR; IMPACT</t>
  </si>
  <si>
    <t>.Radiation therapy in the presence of a strong magnetic field is known to cause regions of enhanced and reduced dose at interfaces of materials with varying densities, in a phenomenon known as the electron return effect (ERE). In this study, a novel low-density gel dosimeter was developed to simulate lung tissue and was used to measure the ERE at the lung-soft tissue interface. Low-density gel dosimeters were developed with Fricke xylenol orange gelatin (FXG) and ferrous oxide xylenol orange (FOX) gels mixed with polystyrene foam beads of various sizes. The gels were characterized based on CT number, MR signal intensity, and uniformity. All low-density gels had CT numbers roughly equivalent to lung tissue. The optimal lung-equivalent gel formulation was determined to be FXG with &lt;1 mm polystyrene beads due to the higher signal intensity of FXG compared to FOX and the higher uniformity with the small beads. Dose response curves were generated for the optimal low-density gel and conventional FXG. The change in spin-lattice relaxation rate (R1) before and after irradiation was linear with dose for both gels. Next, phantoms consisting of concentric cylinders with low-density and conventional FXG were created to simulate the lung-soft tissue interface. The phantoms were irradiated in a conventional linear accelerator (linac) and in a linac combined with a 1.5 T magnetic resonance imaging (MRI) unit (MR-linac) to measure the effects of the magnetic field on the dose distribution. Hot and cold spots were observed in the dose distribution at the boundaries between the gels for the phantom irradiated in the MR-linac but not the conventional linac, consistent with the ERE</t>
  </si>
  <si>
    <t>[McDonald, Brigid A.; Lee, Hannah J.; Ibbott, Geoffrey S.] Univ Texas MD Anderson Canc Ctr, Dept Radiat Phys, Houston, TX 77030 USA; [McDonald, Brigid A.] Univ Texas MD Anderson Canc Ctr, Med Phys Program, UTHlth Grad Sch Biomed Sci, Houston, TX 77030 USA; [Lee, Hannah J.] Allegheny Hlth Network, Dept Radiat Oncol, Pittsburgh, PA USA</t>
  </si>
  <si>
    <t>University of Texas System; UTMD Anderson Cancer Center; University of Texas System; UTMD Anderson Cancer Center; Allegheny Health Network</t>
  </si>
  <si>
    <t>McDonald, BA (通訊作者)， Univ Texas MD Anderson Canc Ctr, Dept Radiat Phys, Houston, TX 77030 USA.;McDonald, BA (通訊作者)， Univ Texas MD Anderson Canc Ctr, Med Phys Program, UTHlth Grad Sch Biomed Sci, Houston, TX 77030 USA.</t>
  </si>
  <si>
    <t>BAMcDonald@MDAnderson.org</t>
  </si>
  <si>
    <t>McDonald, Brigid/0000-0003-4230-1330; Ibbott, Geoffrey/0000-0003-3663-2408</t>
  </si>
  <si>
    <t>10.1088/1361-6560/ab4321</t>
  </si>
  <si>
    <t>WOS:000500247900016</t>
  </si>
  <si>
    <t>Salas-Ramirez, M; Tran-Gia, J; Gbureck, U; Kosmala, A; Lassmann, M</t>
  </si>
  <si>
    <t>Salas-Ramirez, Maikol; Tran-Gia, Johannes; Gbureck, Uwe; Kosmala, Aleksander; Lassmann, Michael</t>
  </si>
  <si>
    <t>Quantification of the trabecular bone volume fraction for bone marrow dosimetry in molecular radiotherapy by using a dual-energy (SPECT/)CT</t>
  </si>
  <si>
    <t>DECT; DEXA; quantitative computed tomography; bone marrow; molecular radiotherapy; internal dosimetry; trabecular bone volume fraction</t>
  </si>
  <si>
    <t>IMAGE; CELLULARITY; MODEL; PLATFORM; DENSITY; FAT; CT</t>
  </si>
  <si>
    <t>A complete characterization of spongiosa (bone marrow plus trabecular bone) is required to calculate the absorbed dose to active bone marrow. Due to the complex microanatomy, it is necessary to apply non-conventional imaging methods in nuclear medicine. The aim of this study is validating a phantomless quantification method using dual-energy quantitative computed tomography (DEQCT) for the quantification of trabecular bone volume fraction for bone marrow dosimetry in molecular radiotherapy. First, a phantomless quantification method (mass fraction method) based on x-ray beam and detector sensitivity was validated in an integrated dual energy SPECT/CT and in a dual source computed tomography (DSCT) system for comparison. The validation was performed in a phantom consisting of different water, fat and hydroxyapatite compositions. Moreover, the European spine phantom (ESP) was used to simulate the spine geometry. Bone mineral content (BMC) of the whole vertebra and bone mineral density (BMD) in the spongiosa region of each phantom vertebra were measured using DEQCT and dual energy x-ray absorptiometry (DEXA). Lastly, BMC was measured in a patient using DEQCT and DEXA. Measured values of hydroxyapatite fraction and nominal values in the homemade phantom showed a good correlation. The relative error remained below 14.2%. Quantification of BMC (in whole vertebra) and BMD (in spongiosa) in the ESP showed a good agreement between measured values and nominal values. The relative error remained between 0.7% and 7.5% for BMCSPECT/CT, 1.1% and 7.7% for BMCDSCT, 5.4% and 32.0 for BMDSPECT/CT, and 59.4% and 10.0% for BMDDSCT. Quantification of BMC in lumbar vertebrae 1 and 2 of a patient showed relative errors of 7.6% and -8.4% between DEXA and DSCT. Our study shows that DEQCT using a mass fraction method (phantomless) enables quantification of hydroxyapatite in a clinical nuclear medicine setting. An overestimation of the hydroxyapatite volume fraction was observed in all quantified regions, in particular in the spongiosa region of ESP. This result might be related to insufficient information about the x-ray spectra and the detector sensitivity function.</t>
  </si>
  <si>
    <t>[Salas-Ramirez, Maikol; Tran-Gia, Johannes; Lassmann, Michael] Univ Wurzburg, Dept Nucl Med, Wurzburg, Germany; [Gbureck, Uwe] Univ Wurzburg, Dept Funct Mat Med &amp; Dent, Wurzburg, Germany; [Kosmala, Aleksander] Univ Wurzburg, Dept Diagnost &amp; Intervent Radiol, Wurzburg, Germany</t>
  </si>
  <si>
    <t>University of Wurzburg; University of Wurzburg; University of Wurzburg</t>
  </si>
  <si>
    <t>Salas-Ramirez, M (通訊作者)， Univ Wurzburg, Dept Nucl Med, Wurzburg, Germany.</t>
  </si>
  <si>
    <t>E_Salas_M@ukw.de</t>
  </si>
  <si>
    <t>Gbureck, Uwe/G-1430-2012; Kosmala, Aleksander/ABA-5164-2020; Ramirez, Maikol/AAD-6217-2021; Tran-Gia, Johannes/JSL-1583-2023; Lassmann, Michael/D-6809-2019</t>
  </si>
  <si>
    <t>Tran-Gia, Johannes/0000-0001-9552-7750; Salas Ramirez, Maikol/0000-0002-2443-9654; Gbureck, Uwe/0000-0002-2584-4176;</t>
  </si>
  <si>
    <t>German Academic Exchange Service (DAAD)</t>
  </si>
  <si>
    <t>German Academic Exchange Service (DAAD)(Deutscher Akademischer Austausch Dienst (DAAD))</t>
  </si>
  <si>
    <t>None of the authors have conflicts-of-interest or financial disclosures to declare. The work of Salas-Ramirez M was supported by the German Academic Exchange Service (DAAD). The content is solely the responsibility of the authors and does not necessarily represent the official view of the DAAD.</t>
  </si>
  <si>
    <t>10.1088/1361-6560/ab4476</t>
  </si>
  <si>
    <t>WOS:000500247900014</t>
  </si>
  <si>
    <t>Pratx, G; Kapp, DS</t>
  </si>
  <si>
    <t>Pratx, Guillem; Kapp, Daniel S.</t>
  </si>
  <si>
    <t>A computational model of radiolytic oxygen depletion during FLASH irradiation and its effect on the oxygen enhancement ratio</t>
  </si>
  <si>
    <t>FLASH irradiation; computational model; oxygen enhancement ratio; hypoxia</t>
  </si>
  <si>
    <t>RADIATION-THERAPY; DOSE-RATES; MAMMALIAN-CELLS; LOCAL-CONTROL; SURVIVAL; HYPOXIA; TENSION; CANCER; TUMORS; RADIOSENSITIVITY</t>
  </si>
  <si>
    <t>Recent results from animal irradiation studies have demonstrated the potential of ultra-high dose rate irradiation (also known as FLASH) for reducing radiation toxicity in normal tissues. However, despite mounting evidence of a 'FLASH effect', a mechanism has yet to be elucidated. This article hypothesizes that the radioprotecting effect of FLASH irradiation could be due to the specific sparing of hypoxic stem cell niches, which have been identified in several organs including the bone marrow and the brain. To explore this hypothesis, a new computational model is presented that frames transient radiolytic oxygen depletion (ROD) during FLASH irradiation in terms of its effect on the oxygen enhancement ratio (OER). The model takes into consideration oxygen diffusion through the tissue, its consumption by metabolic cells, and its radiolytic depletion to estimate the relative decrease in radiosensitivity of cells receiving FLASH irradiation. Based on this model and the following parameters (oxygen diffusion constant D-O2 = 2.10(-5) cm(2) s(-1), oxygen metabolic rate m = 3 mmHg s(-1), ROD rate L-ROD = 0.42 mmHg Gy(-1), prescribed dose D-p = 10 Gy, and capillary oxygen tension p(0) = 40 mmHg), several predictions are made that could be tested in future experiments: (1) the FLASH effect should gradually disappear as the radiation pulse duration is increased from &lt; 1 s to 10 s; (2) dose should be deposited using the smallest number of radiation pulses to achieve the greatest FLASH effect; (3) a FLASH effect should only be observed in cells that are already hypoxic at the time of irradiation; and (4) changes in capillary oxygen tension (increase or decrease) should diminish the FLASH effect.</t>
  </si>
  <si>
    <t>[Kapp, Daniel S.] Stanford Univ, Sch Med, Dept Radiat Oncol, Stanford, CA 94305 USA; [Pratx, Guillem] 300 Pasteur Dr,Grant S277, Stanford, CA 94305 USA</t>
  </si>
  <si>
    <t>Pratx, G (通訊作者)， 300 Pasteur Dr,Grant S277, Stanford, CA 94305 USA.</t>
  </si>
  <si>
    <t>pratx@stanford.edu</t>
  </si>
  <si>
    <t>Pratx, Guillem/AAK-8006-2020</t>
  </si>
  <si>
    <t>Pratx, Guillem/0000-0002-0247-6470</t>
  </si>
  <si>
    <t>10.1088/1361-6560/ab3769</t>
  </si>
  <si>
    <t>IX5JL</t>
  </si>
  <si>
    <t>WOS:000485720400005</t>
  </si>
  <si>
    <t>Ryou, H; Yaqub, M; Cavallaro, A; Papageorghiou, AT; Noble, JA</t>
  </si>
  <si>
    <t>Ryou, Hosuk; Yaqub, Mohammad; Cavallaro, Angelo; Papageorghiou, Aris T.; Noble, J. Alison</t>
  </si>
  <si>
    <t>Automated 3D ultrasound image analysis for first trimester assessment of fetal health</t>
  </si>
  <si>
    <t>3D fetal ultrasound; fetal health assessment; fetal biometry; first trimester scan; convolutional neural network; deep learning</t>
  </si>
  <si>
    <t>The first trimester fetal ultrasound scan is important to confirm fetal viability, to estimate the gestational age of the fetus, and to detect fetal anomalies early in pregnancy. First trimester ultrasound images have a different appearance than for the second trimester scan, reflecting the different stage of fetal development. There is limited literature on automation of image-based assessment for this earlier trimester, and most of the literature is focused on one specific fetal anatomy. In this paper, we consider automation to support first trimester fetal assessment of multiple fetal anatomies including both visualization and the measurements from a single 3D ultrasound scan. We present a deep learning and image processing solution (i) to perform semantic segmentation of the whole fetus, (ii) to estimate plane orientation for standard biometry views, (iii) to localize and automatically estimate biometry, and (iv) to detect fetal limbs from a 3D first trimester volume. Computational analysis methods were built using a real-world dataset (n = 44 volumes). An evaluation on a further independent clinical dataset (n = 21 volumes) showed that the automated methods approached human expert assessment of a 3D volume.</t>
  </si>
  <si>
    <t>[Ryou, Hosuk; Yaqub, Mohammad; Noble, J. Alison] Univ Oxford, Inst Biomed Engn, Dept Engn Sci, Oxford, England; [Cavallaro, Angelo; Papageorghiou, Aris T.] Univ Oxford, Nuffield Dept Womens &amp; Reprod &amp; Lealth, Oxford, England</t>
  </si>
  <si>
    <t>Ryou, H (通訊作者)， Univ Oxford, Inst Biomed Engn, Dept Engn Sci, Oxford, England.</t>
  </si>
  <si>
    <t>hosuk.ryou@eng.ox.ac.uk</t>
  </si>
  <si>
    <t>RYOU, HOSUK/GQZ-2919-2022; Cavallaro, Angelo/JEZ-7472-2023; Yaqub, Mohammad/AAO-1290-2020</t>
  </si>
  <si>
    <t>Papageorghiou, Aris T./0000-0001-8143-2232; Yaqub, Mohammad/0000-0001-6896-1105; Noble, Alison/0000-0002-3060-3772; Ryou, Hosuk/0000-0001-6450-0117</t>
  </si>
  <si>
    <t>EPSRC [EP/L505316/1, EP/RO13853/1]; Innovate UK [101684]; National Institute for Health Research (NIHR) Oxford Biomedical Research Centre (BRC); NIHR Oxford Biomedical Research Centre; GCRF [EP/R013853/1] Funding Source: UKRI; Innovate UK [101684] Funding Source: UKRI; Engineering and Physical Sciences Research Council [EP/L505316/1] Funding Source: researchfish</t>
  </si>
  <si>
    <t>EPSRC(UK Research &amp; Innovation (UKRI)Engineering &amp; Physical Sciences Research Council (EPSRC)); Innovate UK(UK Research &amp; Innovation (UKRI)Innovate UK); National Institute for Health Research (NIHR) Oxford Biomedical Research Centre (BRC)(National Institutes of Health Research (NIHR)); NIHR Oxford Biomedical Research Centre(National Institutes of Health Research (NIHR)); GCRF(UK Research &amp; Innovation (UKRI)); Innovate UK(UK Research &amp; Innovation (UKRI)Innovate UK); Engineering and Physical Sciences Research Council(UK Research &amp; Innovation (UKRI)Engineering &amp; Physical Sciences Research Council (EPSRC))</t>
  </si>
  <si>
    <t>This work was supported by the NIHR Oxford Biomedical Research Centre, EPSRC Grants EP/L505316/1, EP/RO13853/1 and Innovate UK Grant 101684. Aris T Papageorghiou is supported by the National Institute for Health Research (NIHR) Oxford Biomedical Research Centre (BRC)</t>
  </si>
  <si>
    <t>10.1088/1361-6560/ab3ad1</t>
  </si>
  <si>
    <t>WOS:000486374400004</t>
  </si>
  <si>
    <t>Schneider, CW; Newhauser, WD; Wilson, LJ; Kapsch, RP</t>
  </si>
  <si>
    <t>Schneider, Christopher W.; Newhauser, Wayne D.; Wilson, Lydia J.; Kapsch, Ralf-Peter</t>
  </si>
  <si>
    <t>A physics-based analytical model of absorbed dose from primary, leakage, and scattered photons from megavoltage radiotherapy with MLCs</t>
  </si>
  <si>
    <t>external beam radiotherapy; out-of-field dose; analytical model; modeling absorbed dose; multileaf collimator</t>
  </si>
  <si>
    <t>MONTE-CARLO; RADIATION-THERAPY; FIELD; CANCER; DETECTORS; DOSIMETRY; ACCURACY; DISEASE; K(NR); BEAM</t>
  </si>
  <si>
    <t>A burgeoning population of cancer survivors is at risk of late health effects following radiation therapy including second cancers, with the majority of these cancers occurring outside of the treatment volume of the primary cancer. Commercial radiotherapy treatment planning systems underestimate the out-of-field dose. Previous analytical models of out-of-field dose have assumed radial symmetry and/or approximated the dimensions of collimators as semi-infinite planes. The purpose of this work was to develop a physics-based analytical model of total absorbed dose from primary, scattered, and leakage radiation for square fields from a 6 MV beam at any arbitrary point in a phantom, including in-plane, cross-plane, and out-of-plane locations. The model includes the essential physics of radiation transport through beam-limiting-devices including rounded edges of MLC leaves. The model agreed well with measurements and Monte Carlo simulations of absorbed dose in a water-box phantom and was validated for field-sizes ranging from 2 x 2 to 20 x 20 cm(2) . The signed and unsigned average percent differences were -3.0% and 15.9%, respectively, for all points and field-sizes considered. An extended gamma index analysis reveals a 92% pass rate with criteria of 3 mm distance-to-agreement, 3% relative dose difference in-field, and 3 mGy Gy(-1) absolute dose difference out-of-field. The average wall-clock time to calculate dose to one million points was 3.3 min. These results suggest that it is feasible to calculate absorbed dose from both therapeutic and stray radiation using physics-based analytical models with good accuracy, thus overcoming a major obstacle to routinely assessing exposures. Additionally, this work demonstrates the importance of relaxing certain simplifications such as assuming a radially symmetric stray-dose distribution. Because the model is physics-based and may be reconfigured according to the dimensions of beam-limiting-devices, adapting it to other treatment units should be straight forward. Uses for such a model include clinical and research applications, such as clinical trials and epidemiological studies.</t>
  </si>
  <si>
    <t>[Schneider, Christopher W.; Newhauser, Wayne D.; Wilson, Lydia J.] Louisiana State Univ, Dept Phys &amp; Astron, Baton Rouge, LA 70803 USA; [Schneider, Christopher W.; Newhauser, Wayne D.; Wilson, Lydia J.] Agr &amp; Mech Coll, Baton Rouge, LA 70803 USA; [Newhauser, Wayne D.] Mary Bird Perkins Canc Ctr, 4950 Essen Lane, Baton Rouge, LA 70809 USA; [Kapsch, Ralf-Peter] Phys Tech Bundesanstalt, Bundesallee 100, D-38116 Braunschweig, Germany</t>
  </si>
  <si>
    <t>Louisiana State University System; Louisiana State University; Louisiana State University System; Louisiana State University; Physikalisch-Technische Bundesanstalt (PTB)</t>
  </si>
  <si>
    <t>Newhauser, WD (通訊作者)， Louisiana State Univ, Dept Phys &amp; Astron, Baton Rouge, LA 70803 USA.;Newhauser, WD (通訊作者)， Agr &amp; Mech Coll, Baton Rouge, LA 70803 USA.;Newhauser, WD (通訊作者)， Mary Bird Perkins Canc Ctr, 4950 Essen Lane, Baton Rouge, LA 70809 USA.</t>
  </si>
  <si>
    <t>newhauser@lsu.edu</t>
  </si>
  <si>
    <t>Schneider, Christopher/AAE-8682-2019; Wilson, Lydia/M-4197-2019</t>
  </si>
  <si>
    <t>Wilson, Lydia/0000-0002-9959-9310; /0000-0002-8541-4282</t>
  </si>
  <si>
    <t>Bella Bowman Foundation; Physikalisch-Technische Bundesanstalt</t>
  </si>
  <si>
    <t>Partial funding for this work was provided by the Bella Bowman Foundation and by the Physikalisch-Technische Bundesanstalt. The authors would like to thank Markus Meier, Larissa Miller, and Markus Schrader for their invaluable help with the measurements at PTB. Additionally, we thank Dr. Marcel Reginatto, Dr. Volker Dangendorf, and Martin Dommert for their help in organizing and planning the measurement campaign. Portions of this research were conducted with high-performance computing resources provided by Louisiana State University and Agricultural and Mechanical College (www.hpc.lsu.edu).This work is dedicated to the memory of Bella Bowman.</t>
  </si>
  <si>
    <t>10.1088/1361-6560/ab303a</t>
  </si>
  <si>
    <t>WOS:000487116400006</t>
  </si>
  <si>
    <t>Yin, WS; Hu, YS; Yi, SL; He, JF</t>
  </si>
  <si>
    <t>Yin, Wenshe; Hu, Yangsheng; Yi, Sanli; He, Jianfeng</t>
  </si>
  <si>
    <t>A segmentation method combining probability map and boundary based on multiple fully convolutional networks and repetitive training</t>
  </si>
  <si>
    <t>cell nuclei segmentation; fully convolutional network; multiple architecture; repetitive training</t>
  </si>
  <si>
    <t>IMAGES; DATASET</t>
  </si>
  <si>
    <t>Cell nuclei image segmentation technology can help researchers observe each cell's stress response to drug treatment. However, it is still a challenge to accurately segment the adherent cell nuclei. At present, image segmentation based on a fully convolutional network (FCN) is attracting researchers' attention. We propose a multiple FCN architecture and repetitive training (M-FCN-RT) method to learn features of cell nucleus images. In M-FCN-RT, the multiple FCN (M-FCN) architecture is composed of several single FCNs (S-FCNs) with the same structure, and each FCN is used to learn the specific features of image datasets. In this paper, the M-FCN contains three FCNs; FCN1-2, FCN3 and FCNB. FCN1-2 and FCN3 are respectively used to learn the spatial features of cell nuclei for generating probability maps to indicate nucleus regions of an image; FCNB (boundary FCN) is used to learn the edge features of cell nuclei for generating the nucleus boundary. For the training of each FCN, we propose a repetitive training (RT) method to improve the classification accuracy of the model. To segment cell nuclei, we finally propose an algorithm combining the probability map and boundary (PMB) to segment the adherent nuclei. This paper uses a public opening nucleus image dataset to train, verify and evaluate the proposed M-FCN-RT and PMB methods. Our M-FCN-RT method achieves a high Dice similarity coefficient (DSC) of 92.11%, 95.64% and 87.99% on the three types of sub-datasets respectively for probability maps. In addition, segmentation experimental results show the PMB method is more effective and efficient compared with other methods.</t>
  </si>
  <si>
    <t>[Yin, Wenshe; Hu, Yangsheng; Yi, Sanli; He, Jianfeng] Kunming Univ Sci &amp; Technol, Sch Informat Engn &amp; Automat, Kunming 650500, Yunnan, Peoples R China</t>
  </si>
  <si>
    <t>Kunming University of Science &amp; Technology</t>
  </si>
  <si>
    <t>He, JF (通訊作者)， Kunming Univ Sci &amp; Technol, Sch Informat Engn &amp; Automat, Kunming 650500, Yunnan, Peoples R China.</t>
  </si>
  <si>
    <t>jfenghe@foxmail.com</t>
  </si>
  <si>
    <t>Yin, wenshe/0000-0002-5799-112X</t>
  </si>
  <si>
    <t>National Natural Science Foundation of China [11265007]</t>
  </si>
  <si>
    <t>National Natural Science Foundation of China(National Natural Science Foundation of China (NSFC))</t>
  </si>
  <si>
    <t>This work was supported by the National Natural Science Foundation of China (11265007).</t>
  </si>
  <si>
    <t>10.1088/1361-6560/ab0a90</t>
  </si>
  <si>
    <t>WOS:000485720400003</t>
  </si>
  <si>
    <t>Flatten, V; Baumann, KS; Weber, U; Engenhart-Cabillic, R; Zink, K</t>
  </si>
  <si>
    <t>Flatten, Veronika; Baumann, Kilian-Simon; Weber, Uli; Engenhart-Cabillic, Rita; Zink, Klemens</t>
  </si>
  <si>
    <t>Quantification of the dependencies of the Bragg peak degradation due to lung tissue in proton therapy on a CT-based lung tumor phantom</t>
  </si>
  <si>
    <t>Monte Carlo; Bragg peak degradation; proton therapy; lung modulation; lung tissue</t>
  </si>
  <si>
    <t>The fine, sub-millimeter sized structure of lung tissue causes a degradation of the Bragg peak curve in particle therapy. The Bragg peak is degraded because particles of the same energy traverse lung tissue of different compositions of high and low density materials. Hence, they experience different energy losses resulting in variable ranges and a broadened Bragg peak. Since this fine structure of lung tissue is not resolved in standard treatment-planning CTs, current state-of-the-art dose calculation procedures used in the clinical routine are unable to account for this degradation. Neglecting this Bragg peak degradation in treatment planning can lead to an underdose in the target volume and an overdose distal to the target. Aim of this work is to systematically investigate the potential effects of the Bragg peak degradation on the dose distribution in dependence of different parameters like the tumor volume and its depth in lung. Proton plans were optimized on CT based phantoms without considering the Bragg peak degradation and afterwards recalculated with the Monte Carlo toolkit TOPAS: first, without consideration of the degradation and second, with the Bragg peak degradation accounted for. The direct comparison of these two dose distributions enables a quantification of the degradation effect. To carve out the dependencies of various parameters that could influence the Bragg peak degradation and thus the target dose, the simulations were performed for a variety of tumor sizes and shapes, as well as different positions within the lung. The results show that due to the Bragg peak degradation the mean dose in the target volume can be reduced by a few percent up to 14% (for extreme cases) depending on the geometry. It was shown that this effect increases with a decreasing tumor volume and increasing depth of the tumor. For the first time, a tumor specific estimation of the effect on the dose distribution due to the Bragg peak degradation in lung tissue is presented.</t>
  </si>
  <si>
    <t>[Flatten, Veronika; Baumann, Kilian-Simon; Engenhart-Cabillic, Rita; Zink, Klemens] Univ Med Ctr Giessen Marburg, Dept Radiotherapy &amp; Radiooncol, Marburg, Germany; [Flatten, Veronika; Baumann, Kilian-Simon; Zink, Klemens] Univ Appl Sci, Inst Med Phys &amp; Radiat Protect, Giessen, Germany; [Weber, Uli] GSI Helmholtzzentrum Schwerionenforsch, Biophys Dept, Darmstadt, Germany</t>
  </si>
  <si>
    <t>University Hospital of Giessen &amp; Marburg; Helmholtz Association; GSI Helmholtz-Center for Heavy Ion Research</t>
  </si>
  <si>
    <t>Flatten, V (通訊作者)， Univ Med Ctr Giessen Marburg, Dept Radiotherapy &amp; Radiooncol, Marburg, Germany.;Flatten, V (通訊作者)， Univ Appl Sci, Inst Med Phys &amp; Radiat Protect, Giessen, Germany.</t>
  </si>
  <si>
    <t>flatten@staff.uni-marburg.de</t>
  </si>
  <si>
    <t>Zink, Klemens/M-3220-2013; Baumann, Kilian-Simon/GRO-1669-2022</t>
  </si>
  <si>
    <t>Zink, Klemens/0000-0001-5785-4101;</t>
  </si>
  <si>
    <t>10.1088/1361-6560/ab2611</t>
  </si>
  <si>
    <t>IN4BU</t>
  </si>
  <si>
    <t>WOS:000478621000005</t>
  </si>
  <si>
    <t>Kleven, RT; Karani, KB; Salido, NG; Shekhar, H; Haworth, KJ; Mast, TD; Tadesse, DG; Holland, CK</t>
  </si>
  <si>
    <t>Kleven, Robert T.; Karani, Kunal B.; Salido, Nuria G.; Shekhar, Himanshu; Haworth, Kevin J.; Mast, T. Douglas; Tadesse, Dawit G.; Holland, Christy K.</t>
  </si>
  <si>
    <t>The effect of 220 kHz insonation scheme on rt-PA thrombolytic efficacy in vitro</t>
  </si>
  <si>
    <t>stroke; thrombolysis; therapeutic ultrasound; rt-PA; duty cycle; stable cavitation</t>
  </si>
  <si>
    <t>TISSUE-PLASMINOGEN ACTIVATOR; ULTRASOUND-ENHANCED THROMBOLYSIS; ACUTE ISCHEMIC-STROKE; INERTIAL CAVITATION; PULSED ULTRASOUND; MEDIATED THROMBOLYSIS; ACOUSTIC CAVITATION; CONTRAST AGENTS; MECHANISMS; FIELDS</t>
  </si>
  <si>
    <t>Ultrasound-enhanced recombinant tissue plasminogen activator (rt-PA) thrombolysis is under development as an adjuvant to ischemic stroke therapy. The goal of this study was to design a pulsed ultrasound (US) exposure scheme that reduced intracranial constructive interference and tissue heating, and maintained thrombolytic efficacy relative to continuous wave (CW) insonation. Three 220 kHz US schemes were evaluated, two pulsed insonation schemes (15 cycles, 68 mu s pulse duration, 33% or 62.5% duty cycle) and an intermittent CW insonation scheme (50 s active, 30 s quiescent) over a 30-min treatment period. An in silico study using a finite-difference model of transcranial US propagation was performed to estimate the intracranial acoustic field and temperature rise in the skull for each insonation scheme. In vitro measurements with flow were performed to assess thrombolysis using time-lapse microscopy. Intracranial constructive interference was not reduced with pulsed US using a pulse length of 15 cycles compared to intermittent CW US. The 33.3% duty cycle pulsed US scheme reduced heating in the temporal bone as much as 60% relative to the intermittent CW scheme. All insonation schemes promoted sustained stable cavitation in vitro and augmented thrombolysis compared to rt-PA alone (p &lt; 0.05). Ultraharmonic (UH) and harmonic cumulative energy over a 30-min treatment period was significantly higher (p &lt; 0.05) for the intermittent CW US scheme compared to either pulsed US scheme. Despite the difference in cavitation emissions, no difference was observed in the clot lysis between the three US schemes. These findings demonstrate that a 33.3% duty cycle pulsed US scheme with a 15-cycle burst can reduce bone heating and achieve equivalent thrombolytic efficacy as an intermittent CW scheme.</t>
  </si>
  <si>
    <t>[Kleven, Robert T.; Haworth, Kevin J.; Mast, T. Douglas; Holland, Christy K.] Univ Cincinnati, Dept Biomed Engn, Cincinnati, OH 45221 USA; [Karani, Kunal B.; Salido, Nuria G.; Shekhar, Himanshu; Haworth, Kevin J.; Mast, T. Douglas; Holland, Christy K.] Univ Cincinnati, Dept Internal Med, Div Cardiovasc Hlth &amp; Dis, Cincinnati, OH USA; [Tadesse, Dawit G.] Cincinnati Childrens Hosp Med Ctr, Data Management &amp; Anal Ctr, Div Biostat &amp; Epidemiol, Cincinnati, OH 45229 USA; [Kleven, Robert T.] Robert Kleven, CVC 3921,0586,231 Albert Sabin Way, Cincinnati, OH 45267 USA</t>
  </si>
  <si>
    <t>University System of Ohio; University of Cincinnati; University System of Ohio; University of Cincinnati; Cincinnati Children's Hospital Medical Center</t>
  </si>
  <si>
    <t>Kleven, RT (通訊作者)， Univ Cincinnati, Dept Biomed Engn, Cincinnati, OH 45221 USA.;Kleven, RT (通訊作者)， Robert Kleven, CVC 3921,0586,231 Albert Sabin Way, Cincinnati, OH 45267 USA.</t>
  </si>
  <si>
    <t>klevenrt@mail.uc.edu; karaniki@mail.uc.edu; salidona@ucmail.uc.edu; himanshu.shekhar@iitgn.ac.in; hawortkn@ucmail.uc.edu; masttd@ucmail.uc.edu; dawit.tadesse@cchmc.org; hollanck@ucmail.uc.edu</t>
  </si>
  <si>
    <t>Salido, Nuria/AAH-3854-2019; Haworth, Kevin/D-1513-2009; Tadesse, Dawit/AAB-9024-2020; Shekhar, Himanshu/I-4093-2019</t>
  </si>
  <si>
    <t>Haworth, Kevin/0000-0002-6578-2440; Kleven, Robert/0000-0001-6606-3010; Shekhar, Himanshu/0000-0003-1226-4196; Holland, Christy/0000-0003-3382-7170; Tadesse, Dawit/0000-0002-7892-0080; G. Salido, Nuria/0000-0001-7792-0081; Karani, Kunal/0000-0002-9113-9854</t>
  </si>
  <si>
    <t>National Institutes of Health [NIH R01NS047603, K25HL133452, R01CA158439]; University of Cincinnati MSTP training grant [NIGMS T32GM062483]</t>
  </si>
  <si>
    <t>National Institutes of Health(United States Department of Health &amp; Human ServicesNational Institutes of Health (NIH) - USA); University of Cincinnati MSTP training grant</t>
  </si>
  <si>
    <t>The authors would like to thank Guillaume Bouchoux, PhD, who developed the finite difference model that was used in this work. This work was supported by the National Institutes of Health (Grant No. NIH R01NS047603, K25HL133452 and R01CA158439) and the University of Cincinnati MSTP training grant (Grant No. NIGMS T32GM062483). The authors thank Professor Xiasheng Guo (Nanjing University), for providing the transducer used in the in vitro studies.</t>
  </si>
  <si>
    <t>10.1088/1361-6560/ab293b</t>
  </si>
  <si>
    <t>WOS:000482525700006</t>
  </si>
  <si>
    <t>Muckley, MJ; Chen, BY; Vahle, T; O'Donnell, T; Knoll, F; Sodickson, AD; Sodickson, DK; Otazo, R</t>
  </si>
  <si>
    <t>Muckley, Matthew J.; Chen, Baiyu; Vahle, Thomas; O'Donnell, Thomas; Knoll, Florian; Sodickson, Aaron D.; Sodickson, Daniel K.; Otazo, Ricardo</t>
  </si>
  <si>
    <t>Image reconstruction for interrupted-beam x-ray CT on diagnostic clinical scanners</t>
  </si>
  <si>
    <t>low-dose CT; interrupted-beam CT; compressed sensing</t>
  </si>
  <si>
    <t>LOW-DOSE CT; COMPUTED-TOMOGRAPHY; ORDERED SUBSETS; RESTORATION; PROJECTION; ALGORITHM</t>
  </si>
  <si>
    <t>Low-dose x-ray CT is a major research area with high clinical impact. Compressed sensing using view-based sparse sampling and sparsity-promoting regularization has shown promise in simulations, but these methods can be difficult to implement on diagnostic clinical CT scanners since the x-ray beam cannot be switched on and off rapidly enough. An alternative to view-based sparse sampling is interrupted-beam sparse sampling. SparseCT is a recently-proposed interrupted-beam scheme that achieves sparse sampling by blocking a portion of the beam using a multislit collimator (MSC). The use of an MSC necessitates a number of modifications to the standard compressed sensing reconstruction pipeline. In particular, we find that SparseCT reconstruction is feasible within a model-based image reconstruction framework that incorporates data fidelity weighting to consider penumbra effects and source jittering to consider the effect of partial source obstruction. Here, we present these modifications and demonstrate their application in simulations and real-world prototype scans. In simulations compared to conventional low-dose acquisitions, SparseCT is able to achieve smaller normalized root-mean square differences and higher structural similarity measures on two reduction factors. In prototype experiments, we successfully apply our reconstruction modifications and maintain image resolution at quarter-dose reduction level. The SparseCT design requires only small hardware modifications to current diagnostic clinical scanners, opening up new possibilities for CT dose reduction.</t>
  </si>
  <si>
    <t>[Muckley, Matthew J.; Knoll, Florian; Sodickson, Daniel K.] NYU, Sch Med, New York, NY 10003 USA; [Chen, Baiyu] Mayo Clin, Rochester, MN USA; [Vahle, Thomas] Siemens Healthcare GmbH, Erlangen, Germany; [O'Donnell, Thomas] Siemens Healthineers, Malvern, PA USA; [Sodickson, Aaron D.] Harvard Med Sch, Boston, MA 02115 USA; [Otazo, Ricardo] Mem Sloan Kettering Canc Ctr, Dept Med Phys, New York, NY 10021 USA</t>
  </si>
  <si>
    <t>New York University; Mayo Clinic; Siemens AG; Siemens AG; Siemens USA; Harvard University; Harvard Medical School; Memorial Sloan Kettering Cancer Center</t>
  </si>
  <si>
    <t>Muckley, MJ (通訊作者)， NYU, Sch Med, New York, NY 10003 USA.</t>
  </si>
  <si>
    <t>Matthew.Muckley@nyulangone.org; Ricardo.Otazo@mskcc.org</t>
  </si>
  <si>
    <t>; Sodickson, Aaron/ABK-3215-2022; Otazo, Ricardo/L-2424-2018; Knoll, Florian/AAH-7706-2019; Muckley, Matthew/E-6351-2011; Chen, Baiyu/H-7625-2017; Sodickson, Daniel/AAV-4715-2021</t>
  </si>
  <si>
    <t>Sodickson, Aaron/0000-0003-1275-681X; Otazo, Ricardo/0000-0002-3782-4930; Knoll, Florian/0000-0001-5357-8656; Sodickson, Daniel/0000-0002-2436-4664; Muckley, Matthew/0000-0002-6525-8817</t>
  </si>
  <si>
    <t>NIH [U01 EB018760]; [U01 EB017185]</t>
  </si>
  <si>
    <t>NIH(United States Department of Health &amp; Human ServicesNational Institutes of Health (NIH) - USA);</t>
  </si>
  <si>
    <t>We would like to thank NIH Grant U01 EB018760 for providing funding for this project. We would also like to thank the Siemens Engineering team (K Stierstorfer, T Allmendinger, M Berner, B Schmidt and T Flohr) for building the prototype and providing technical expertise for the experiments in this paper. We thank C McCollough, who provided the simulation data in this paper, which was collected under the grant U01 EB017185. We also thank J Fessler, D Faul and D Rigie for many useful discussions. Lastly, we would like to thank D Rigie for proofreading the manuscript.</t>
  </si>
  <si>
    <t>10.1088/1361-6560/ab2df1</t>
  </si>
  <si>
    <t>WOS:000480292700002</t>
  </si>
  <si>
    <t>Zan, GB; Vine, DJ; Spink, RI; Yung, WB; Wang, QP; Wang, G</t>
  </si>
  <si>
    <t>Zan, Guibin; Vine, David John; Spink, Richard Ian; Yung, Wenbing; Wang, Qiuping; Wang, Ge</t>
  </si>
  <si>
    <t>Design optimization of a periodic microstructured array anode for hard x-ray grating interferometry</t>
  </si>
  <si>
    <t>Talbot-Lau grating interferometer; x-ray imaging; microstructured array anode target; Monte Carlo simulation</t>
  </si>
  <si>
    <t>TALBOT-LAU INTERFEROMETER; GEANT4 SIMULATION; PHASE; BREMSSTRAHLUNG; TOMOGRAPHY</t>
  </si>
  <si>
    <t>Talbot-Lau grating interferometer (TLGI) has great advantages in x-ray imaging contrasts, especially for low-Z materials, over conventional absorption contrast. A microstructured array anode target (MAAT) source offers significantly higher imaging throughput than the combination of an extended x-ray source paired with an absorption grating (also known as source grating). The performance of the MAAT source can be optimized with respect to the areal density, dimensions, and choice of material for the microstructured metal inserts (MMI) and the substrate in which they are embedded. In this paper, we analyze the x-ray generation efficiency per incident electron, relative fraction of x-rays generated by MMI and substrate, x-ray spectrum, and angular distribution via Monte Carlo simulation. Based on the simulation results, the optimal parameters are obtained for a MAAT with incident electron energies from 30 keV to 120 keV. The corresponding temperature distribution within the MAAT is also simulated for the optimal set of the parameters via finite element analysis. As demonstrated by the thermal analysis data, the maximum allowable electron-beam power loading was derived that allows a stable operation of the transmission MAAT.</t>
  </si>
  <si>
    <t>[Zan, Guibin; Wang, Qiuping] Univ Sci &amp; Technol China, Natl Synchrotron Radiat Lab, Hefei 230029, Anhui, Peoples R China; [Zan, Guibin; Vine, David John; Spink, Richard Ian; Yung, Wenbing] Sigray Inc, 5750 Imhoff Dr, Concord, CA 94520 USA; [Zan, Guibin; Wang, Ge] Rensselaer Polytech Inst, Dept Biomed Engn, Troy, NY 12180 USA</t>
  </si>
  <si>
    <t>Chinese Academy of Sciences; University of Science &amp; Technology of China, CAS; Rensselaer Polytechnic Institute</t>
  </si>
  <si>
    <t>Zan, GB (通訊作者)， Univ Sci &amp; Technol China, Natl Synchrotron Radiat Lab, Hefei 230029, Anhui, Peoples R China.;Zan, GB (通訊作者)， Sigray Inc, 5750 Imhoff Dr, Concord, CA 94520 USA.;Zan, GB (通訊作者)， Rensselaer Polytech Inst, Dept Biomed Engn, Troy, NY 12180 USA.</t>
  </si>
  <si>
    <t>zangb@mail.ustc.edu.cn; wangg6@rpi.edu</t>
  </si>
  <si>
    <t>; Wang, Ge/AAH-8592-2020; wang, qiuping/LTD-2119-2024</t>
  </si>
  <si>
    <t>Wang, Ge/0000-0002-2656-7705;</t>
  </si>
  <si>
    <t>National Key Research and Development Program of China [2016YFA0401300]; National Institute of Biomedical Imaging and Bioengineering of the National Institutes of Health [R44EB023284]</t>
  </si>
  <si>
    <t>National Key Research and Development Program of China(National Key Research &amp; Development Program of China); National Institute of Biomedical Imaging and Bioengineering of the National Institutes of Health(United States Department of Health &amp; Human ServicesNational Institutes of Health (NIH) - USANIH National Institute of Biomedical Imaging &amp; Bioengineering (NIBIB))</t>
  </si>
  <si>
    <t>We are very grateful to Oliver Diaz from VICOROB research institute, University of Girona for discussions and suggestions about the Geant4 simulations. This work was partially supported by the National Key Research and Development Program of China (2016YFA0401300), the National Institute of Biomedical Imaging and Bioengineering of the National Institutes of Health under award number: R44EB023284.</t>
  </si>
  <si>
    <t>10.1088/1361-6560/ab26ce</t>
  </si>
  <si>
    <t>WOS:000475775200004</t>
  </si>
  <si>
    <t>Chai, P; Feng, BT; Zhang, ZM; Tang, HH; Liu, SQ; Sun, XL; Wang, PL; Wang, XM; Zhao, XD; Wei, L</t>
  </si>
  <si>
    <t>Chai Pei; Feng Baotong; Zhang Zhiming; Tang Haohui; Liu Shuanquan; Sun Xiaoli; Wang Peilin; Wang Xiaoming; Zhao Xudong; Wei Long</t>
  </si>
  <si>
    <t>NEMA NU-4 performance evaluation of a non-human primate animal PET</t>
  </si>
  <si>
    <t>Eplus-260 primate PET; NEMA NU-4 2008 standards; performance evaluation; animal PET; non-human primate imaging</t>
  </si>
  <si>
    <t>SCANNER; MICROPET; BINDING</t>
  </si>
  <si>
    <t>The Eplus-260 primate PET is an animal PET imaging system developed by the Institute of High Energy Physics, Chinese Academy of Sciences, which is designed to image non-human primates, especially the brain of large non-human primates. The system consists of 48 block detectors arranged in two 24-sided rings with a ring diameter of 263 mm and an axial extent of 64 mm. Each block detector is composed of a 16 x 16 cerium-doped lutetium-yttrium orthosilicate crystal array with a pixel size of 1.9 x 1.9 x 10 mm(3). This article presents a performance evaluation of the PET scanner according to the National Electrical Manufacturers Association NU-4 2008 standards. All measurements were made for an energy window of 360-660 keV and a coincidence timing window of 2 ns. In terms of the FWHM, the FBP reconstructed spatial resolution results in all three directions at the radial position of 5 mm were better than or approached to 2 mm, and remained below 3.0 mm within the central 5 cm diameter of the FOV. The peak absolute sensitivity of the scanner was measured 1.80%. For a monkey-sized phantom, the scatter fraction was 34.2% and the peak noise equivalent count rate (NECR) was 26.5 kcps at 64.3 kBq/cc. The overall imaging capabilities of the scanner were also assessed using in vivo imaging study of a rhesus macaque. The performance measurements demonstrate that the Eplus-260 primate PET scanner has the potential ability to obtain good quality and high-contrast images for non-human primates, especially the brain of large non-human primates and could be considered as one technologically advanced dedicated non-human primate PET scanner available today.</t>
  </si>
  <si>
    <t>[Chai Pei; Feng Baotong; Zhang Zhiming; Tang Haohui; Liu Shuanquan; Sun Xiaoli; Wang Peilin; Wang Xiaoming; Wei Long] Chinese Acad Sci, Inst High Energy Phys, Beijing Engn Res Ctr Radiog Tech &amp; Equipment, Beijing 100049, Peoples R China; [Zhao Xudong] Chinese Academ &amp; Sci, Inst Biophys, Beijing 100101, Peoples R China</t>
  </si>
  <si>
    <t>Chinese Academy of Sciences; Institute of High Energy Physics, CAS</t>
  </si>
  <si>
    <t>Wei, L (通訊作者)， Chinese Acad Sci, Inst High Energy Phys, Beijing Engn Res Ctr Radiog Tech &amp; Equipment, Beijing 100049, Peoples R China.</t>
  </si>
  <si>
    <t>weil@ihep.ac.cn</t>
  </si>
  <si>
    <t>; Zhang, Peng/H-9461-2018; Sun, Xiaoli/G-3554-2019</t>
  </si>
  <si>
    <t>Wei, Long/0000-0002-9952-7149; Sun, Xiaoli/0000-0002-3913-7923; Wang, Peilin/0000-0002-5975-1023; Liu, Shuangquan/0000-0001-8354-5927; Zhang, Zhiming/0000-0002-6536-8178; Tang, Haohui/0000-0003-1564-1639; Chai, Pei/0000-0003-2843-9763</t>
  </si>
  <si>
    <t>National Natural Science Foundation of China Project [11675191, 11475206, 81101070]</t>
  </si>
  <si>
    <t>National Natural Science Foundation of China Project(National Natural Science Foundation of China (NSFC))</t>
  </si>
  <si>
    <t>This work was supported by the National Natural Science Foundation of China Project (No. 11675191, No. 11475206 and No. 81101070).</t>
  </si>
  <si>
    <t>10.1088/1361-6560/ab1614</t>
  </si>
  <si>
    <t>WOS:000468283500003</t>
  </si>
  <si>
    <t>Chayer, B; van den Hoven, M; Cardinal, MHR; Li, HL; Swillens, A; Lopata, R; Cloutier, G</t>
  </si>
  <si>
    <t>Chayer, Boris; van den Hoven, Marcel; Cardinal, Marie-Helene Roy; Li, Hongliang; Swillens, Abigail; Lopata, Richard; Cloutier, Guy</t>
  </si>
  <si>
    <t>Atherosclerotic carotid bifurcation phantoms with stenotic soft inclusions for ultrasound flow and vessel wall elastography imaging</t>
  </si>
  <si>
    <t>vascular phantom; carotid atherosclerotic plaque; duplex ultrasound; shear wave elastography; strain elastography; flow loop experiments; phantom fabrication process</t>
  </si>
  <si>
    <t>VALIDATION; ELASTICITY; STIFFNESS; QUANTIFICATION; HEMODYNAMICS; SIMULATION; MODULUS; ARTERY</t>
  </si>
  <si>
    <t>As the complexity of ultrasound signal processing algorithms increases, it becomes more difficult to demonstrate their added value and thus robust validation strategies are required. We propose a method of manufacturing ultrasonic vascular phantoms mimicking an atheromatous plaque in an internal carotid artery bifurcation for applications in flow imaging and elastography. During the fabrication process, a soft inclusion mimicking a stenotic lipid pool was embedded within the vascular wall. Mechanical testing measured Young's moduli of the vascular wall and soft inclusion at 342 +/- 25 kPa and 17 +/- 3 kPa, respectively. B-mode, color Doppler, power Doppler, shear wave elastography, and strain elastography images of the different phantoms were produced to show the validity of the fabrication process. Because of their realistic geometries and mechanical properties, those phantoms may become advantageous for fluid-structure experimental modeling and validation of new ultrasound-based imaging technologies.</t>
  </si>
  <si>
    <t>[Chayer, Boris; van den Hoven, Marcel; Cardinal, Marie-Helene Roy; Li, Hongliang; Cloutier, Guy] Univ Montreal Hosp Res Ctr CRCHUM, Lab Biorheol &amp; Med Ultrason, Montreal, PQ, Canada; [van den Hoven, Marcel; Lopata, Richard] Eindhoven Univ Technol, Dept Biomed Engn, Eindhoven, Netherlands; [Li, Hongliang; Cloutier, Guy] Univ Montreal, Inst Biomed Engn, Montreal, PQ, Canada; [Swillens, Abigail] Univ Ghent, IBiTech BioMMeda, Ghent, Belgium; [Cloutier, Guy] Univ Montreal, Dept Radiol Radiooncol &amp; Nucl Med, Montreal, PQ, Canada</t>
  </si>
  <si>
    <t>Universite de Montreal; Eindhoven University of Technology; Universite de Montreal; Ghent University; Universite de Montreal</t>
  </si>
  <si>
    <t>Cloutier, G (通訊作者)， Univ Montreal Hosp Res Ctr CRCHUM, Lab Biorheol &amp; Med Ultrason, Montreal, PQ, Canada.;Cloutier, G (通訊作者)， Univ Montreal, Inst Biomed Engn, Montreal, PQ, Canada.;Cloutier, G (通訊作者)， Univ Montreal, Dept Radiol Radiooncol &amp; Nucl Med, Montreal, PQ, Canada.</t>
  </si>
  <si>
    <t>guy.cloutier@umontreal.ca</t>
  </si>
  <si>
    <t>; Lopata, Richard/AFT-3801-2022</t>
  </si>
  <si>
    <t>Roy Cardinal, Marie-Helene/0000-0001-9590-1167; Cloutier, Guy/0000-0002-4957-4844; Lopata, Richard G.P./0000-0001-6618-6184</t>
  </si>
  <si>
    <t>Collaborative Health Research Program of the Natural Sciences and Engineering Research Council of Canada [CHRP-462240-2014]; Canadian Institutes of Health Research [CPG-134748]</t>
  </si>
  <si>
    <t>Collaborative Health Research Program of the Natural Sciences and Engineering Research Council of Canada(Natural Sciences and Engineering Research Council of Canada (NSERC)); Canadian Institutes of Health Research(Canadian Institutes of Health Research (CIHR))</t>
  </si>
  <si>
    <t>This work was supported by the Collaborative Health Research Program of the Natural Sciences and Engineering Research Council of Canada (CHRP-462240-2014) and the Canadian Institutes of Health Research (CPG-134748).</t>
  </si>
  <si>
    <t>10.1088/1361-6560/ab1145</t>
  </si>
  <si>
    <t>WOS:000466862700004</t>
  </si>
  <si>
    <t>Obeidat, M; McConnell, K; Bui, B; Stathakis, S; Rasmussen, K; Papanikolaou, N; Shim, EY; Kirby, N</t>
  </si>
  <si>
    <t>Obeidat, M.; McConnell, K.; Bui, B.; Stathakis, S.; Rasmussen, K.; Papanikolaou, N.; Shim, E. Y.; Kirby, N.</t>
  </si>
  <si>
    <t>Optimizing the response, precision, and cost of a DNA double-strand break dosimeter</t>
  </si>
  <si>
    <t>DNA dosimeter; radiation biology; DNA double-strand break</t>
  </si>
  <si>
    <t>REPAIR</t>
  </si>
  <si>
    <t>We developed a dosimeter that measures biological damage following delivery of therapeutic beams in the form of double-strand breaks (DSBs) to DNA. The dosimeter contains DNA strands that are labeled on one end with biotin and on the other with fluorescein and attached to magnetic microbeads. Following irradiation, a magnet is used to separate broken from unbroken DNA strands. Then, fluorescence is utilized to measure the relative amount of broken DNA and determine the probability for DSB. The long-term goal for this research is to evaluate whether this type of biologically based dosimeter holds any advantages over the conventional techniques. The purpose of this work was to optimize the dosimeter fabrication and usage to enable higher precision for the long-term research goal. More specifically, the goal was to optimize the DNA dosimeter using three metrics: the response, precision, and cost per dosimeter. Six aspects of the dosimeter fabrication and usage were varied and evaluated for their effect on the metrics: (1) the type of magnetic microbeads, (2) the microbead to DNA mass ratio at attachment, (3) the type of suspension buffer used during irradiation, (4) the concentration of the DNA dosimeter during irradiation, (5) the time waited between fabrication and irradiation of the dosimeter, and (6) the time waited between irradiation and read out of the response. In brief, the best results were achieved with the dosimeter when attaching 4.2 mu g of DNA with 1 mg of MyOne Ti microbeads and by suspending the microbead-connected DNA strands with 200 mu l of phosphate-buffered saline for irradiation. Also, better results were achieved when waiting a day after fabrication before irradiating the dosimeter and also waiting an hour after irradiation to measure the response. This manuscript is meant to serve as guide for others who would like to replicate this DNA dose measurement technique.</t>
  </si>
  <si>
    <t>[Obeidat, M.; McConnell, K.; Bui, B.; Stathakis, S.; Rasmussen, K.; Papanikolaou, N.; Shim, E. Y.; Kirby, N.] Univ Texas Hlth Sci Ctr San Antonio, Dept Radiat Oncol, San Antonio, TX 78229 USA</t>
  </si>
  <si>
    <t>University of Texas System; University of Texas Health Science Center at San Antonio</t>
  </si>
  <si>
    <t>Obeidat, M; Kirby, N (通訊作者)， Univ Texas Hlth Sci Ctr San Antonio, Dept Radiat Oncol, San Antonio, TX 78229 USA.</t>
  </si>
  <si>
    <t>kirbyn@uthscsa.edu</t>
  </si>
  <si>
    <t>; stathakis, sotirios/A-8240-2009</t>
  </si>
  <si>
    <t>Stathakis, Sotirios/0000-0002-1639-5452; McConnell, Kristen/0000-0002-6504-0930</t>
  </si>
  <si>
    <t>Cancer Prevention Research Institute of Texas [RP140105, RP170345]; National Institute of Health's Institutional Research and Academic Development [K12 GM11172]; UT Health San Antonio</t>
  </si>
  <si>
    <t>Cancer Prevention Research Institute of Texas(Cancer Prevention &amp; Research Institute of Texas); National Institute of Health's Institutional Research and Academic Development; UT Health San Antonio</t>
  </si>
  <si>
    <t>This research was supported by grants from the Cancer Prevention Research Institute of Texas (RP140105 and RP170345), the National Institute of Health's Institutional Research and Academic Development Awards (K12 GM11172), and the President's Translational and Entrepreneurial Research Fund from UT Health San Antonio.</t>
  </si>
  <si>
    <t>10NT02</t>
  </si>
  <si>
    <t>10.1088/1361-6560/ab1ce8</t>
  </si>
  <si>
    <t>HZ1UQ</t>
  </si>
  <si>
    <t>WOS:000468635200001</t>
  </si>
  <si>
    <t>Pollacco, DA; Conti, MC; Farrugia, L; Wismayer, PS; Farina, L; Sammut, CV</t>
  </si>
  <si>
    <t>Pollacco, D. A.; Conti, M. Caligari; Farrugia, L.; Wismayer, P. Schembri; Farina, L.; Sammut, C., V</t>
  </si>
  <si>
    <t>Dielectric properties of muscle and adipose tissue-mimicking solutions for microwave medical imaging applications</t>
  </si>
  <si>
    <t>tissue mimicking solutions; muscle; adipose; microwave imaging; microwave ablation</t>
  </si>
  <si>
    <t>BREAST-CANCER DETECTION; PHANTOM; POLYACRYLAMIDE; BAND</t>
  </si>
  <si>
    <t>The aim of the present study was to synthesize mixture solutions which can accurately mimic the dielectric properties of biological tissues, specifically muscle and adipose tissues between 500 MHz and 50 GHz. Mixtures utilizing concentrations of bovine serum albumin (BSA) dissolved in phosphate buffered saline (PBS) and Ringer's solutions were synthesized to mimic in vivo and ex vivo muscle tissues. Solutions consisting of concentrations of peanut oil and Triton X-100 (TX) in PBS and Ringer's solutions were also synthesized to mimic in vivo and ex vivo adipose tissue. Results were then analysed and compared to measured dielectric properties of in vivo and ex vivo biological tissues from another previous study. Good agreement with said dielectric property measurements were obtained since the solutions from this study yielded low RMSE and RMSRE values. This implied that such solutions can be utilized in the construction of human body phantoms for narrowband and ultra-wideband microwave devices for near field breast cancer imaging.</t>
  </si>
  <si>
    <t>[Pollacco, D. A.; Farrugia, L.; Sammut, C., V] Univ Malta, Fac Sci, Dept Phys, Msida 2080, Msd, Malta; [Conti, M. Caligari] Univ Malta, Fac Engn, Dept Met &amp; Mat Engn, Msida 2080, Msd, Malta; [Wismayer, P. Schembri] Univ Malta, Fac Med &amp; Surg, Dept Anat, Msida 2080, Msd, Malta; [Farina, L.] Sapienza Univ, Dept Informat Engn Elect &amp; Telecommun, Rome, Italy; [Farina, L.] Natl Univ Ireland Galway, Translat Med Device Lab, Galway, Ireland; [Farina, L.] Natl Univ Ireland Galway, CURAM, Galway, Ireland</t>
  </si>
  <si>
    <t>University of Malta; University of Malta; University of Malta; Sapienza University Rome; Ollscoil na Gaillimhe-University of Galway; Ollscoil na Gaillimhe-University of Galway</t>
  </si>
  <si>
    <t>Pollacco, DA (通訊作者)， Univ Malta, Fac Sci, Dept Phys, Msida 2080, Msd, Malta.</t>
  </si>
  <si>
    <t>daphne-anne.pollacco.12@um.edu.mt</t>
  </si>
  <si>
    <t>Schembri-WIsmayer, Pierre/0000-0001-6340-9063; Farina, Laura/0000-0002-1571-8037; SAMMUT, CHARLES/0000-0002-8138-3052; Caligari Conti, Daphne Anne/0000-0003-3723-6626</t>
  </si>
  <si>
    <t>10.1088/1361-6560/ab0dda</t>
  </si>
  <si>
    <t>HW5HZ</t>
  </si>
  <si>
    <t>WOS:000466721700001</t>
  </si>
  <si>
    <t>Toscano, S; Souris, K; Gomà, C; Barragán-Montero, A; Puydupin, S; Vander Stappen, F; Janssens, G; Matic, A; Geets, X; Sterpin, E</t>
  </si>
  <si>
    <t>Toscano, S.; Souris, K.; Goma, C.; Barragan-Montero, A.; Puydupin, S.; Vander Stappen, F.; Janssens, G.; Matic, A.; Geets, X.; Sterpin, E.</t>
  </si>
  <si>
    <t>Impact of machine log-files uncertainties on the quality assurance of proton pencil beam scanning treatment delivery</t>
  </si>
  <si>
    <t>proton therapy; Monte Carlo simulation; machine log-files; quality assurance</t>
  </si>
  <si>
    <t>RANGE UNCERTAINTIES; THERAPY; SENSITIVITY; DOSIMETRY</t>
  </si>
  <si>
    <t>Irradiation log-files store useful information about the plan delivery, and together with independent Monte Carlo dose engine calculations can be used to reduce the time needed for patient-specific quality assurance (PSQA). Nonetheless, machine log-files carry an uncertainty associated to the measurement of the spot position and intensity that can influence the correct evaluation of the quality of the treatment delivery. This work addresses the problem of the inclusion of these uncertainties for the final verification of the treatment delivery. Dedicated measurements performed in an IBA Proteus Plus gantry with a pencil beam scanning (PBS) dedicated nozzle have been carried out to build a 'room-dependent' model of the spot position uncertainties. The model has been obtained through interpolation of the look-up tables describing the systematic and random uncertainties, and it has been tested for a clinical case of a brain cancer patient irradiated in a dry-run. The delivered dose has been compared with the planned dose with the inclusion of the errors obtained applying the model. Our results suggest that the accuracy of the treatment delivery is higher than the spot position uncertainties obtained from the log-file records. The comparison in terms of DVHs shows that the log-reconstructed dose is compatible with the planned dose within the 95% confidence interval obtained applying our model. The initial mean dose difference between the calculated dose to the patient based on the plan and recorded data is around 1%. The difference is essentially due to the log-file uncertainties and it can be removed with a correct treatment of these errors. In conclusion our new PSQA protocol allows for a fast verification of the dose delivered after every treatment fraction through the use of machine log-files and an independent Monte Carlo dose engine. Moreover, the inclusion of log-file uncertainties in the dose calculation allows for a correct evaluation of the quality of the treatment plan delivery.</t>
  </si>
  <si>
    <t>[Toscano, S.; Goma, C.; Sterpin, E.] Katholieke Univ Leuven, Dept Oncol, Lab Expt Radiotherapy, Leuven, Belgium; [Souris, K.; Barragan-Montero, A.; Sterpin, E.] Catholic Univ Louvain, Inst Rech Expt &amp; Clin, Ctr Mol Imaging Radiotherapy &amp; Oncol, Brussels, Belgium; [Goma, C.] Univ Hosp Leuven, Dept Radiat Oncol, Leuven, Belgium; [Puydupin, S.; Vander Stappen, F.; Janssens, G.; Matic, A.] Ion Beam Applicat, Louvain La Neuve, Belgium; [Geets, X.] Clin Univ St Luc, Dept Radiat Oncol, Brussels, Belgium; [Toscano, S.] Univ Libre Bruxelles, Ave Franklin Roosevelt 50, B-1050 Brussels, Belgium</t>
  </si>
  <si>
    <t>KU Leuven; Universite Catholique Louvain; KU Leuven; University Hospital Leuven; Universite Catholique Louvain; Cliniques Universitaires Saint-Luc; Universite Libre de Bruxelles</t>
  </si>
  <si>
    <t>Toscano, S (通訊作者)， Katholieke Univ Leuven, Dept Oncol, Lab Expt Radiotherapy, Leuven, Belgium.;Toscano, S (通訊作者)， Univ Libre Bruxelles, Ave Franklin Roosevelt 50, B-1050 Brussels, Belgium.</t>
  </si>
  <si>
    <t>stoscano@ulb.ac.be</t>
  </si>
  <si>
    <t>Souris, Kevin/AAJ-5889-2021; Sterpin, Edmond/AAS-3795-2021</t>
  </si>
  <si>
    <t>Goma, Carles/0000-0003-0336-390X; Souris, Kevin/0000-0003-4124-6149; Toscano, Simona/0000-0002-1860-2240; Barragan Montero, Ana Maria/0000-0002-9485-3076</t>
  </si>
  <si>
    <t>Fonds Baillet-Latour; Ion Beam Application (IBA s.a., Louvain-la-Neuve, Belgium)</t>
  </si>
  <si>
    <t>S Toscano and A Barragan Montero are funded by Fonds Baillet-Latour. K Souris is supported by a research grant from Ion Beam Application (IBA s.a., Louvain-la-Neuve, Belgium).</t>
  </si>
  <si>
    <t>10.1088/1361-6560/ab120c</t>
  </si>
  <si>
    <t>WOS:000466572600008</t>
  </si>
  <si>
    <t>Cooper, BJ; O'Brien, RT; Shieh, CC; Keall, PU</t>
  </si>
  <si>
    <t>Cooper, Benjamin J.; O'Brien, Ricky T.; Shieh, Chun-Chien; Keall, Pa Ul J.</t>
  </si>
  <si>
    <t>Real-time respiratory triggered four dimensional cone-beam CT halves imaging dose compared to conventional 4D CBCT</t>
  </si>
  <si>
    <t>4D CBCT; respiratory motion; radiation therapy; lung cancer</t>
  </si>
  <si>
    <t>COMPUTED-TOMOGRAPHY; 4DCBCT</t>
  </si>
  <si>
    <t>Four dimensional cone-beam computed tomography (4D CBCT) improves patient positioning and the accuracy of radiation therapy for patients with mobile tumours. Generally, 4D CBCT requires many hundreds of x-ray projections to measure target trajectories and the imaging frequency is not adapted to the patient's respiratory signal resulting in over-sampling. In contrast, respiratory triggered 4D CBCT (RT 4D CBCT) is an acquisition technique that has been experimentally implemented and has shown to reduce the number of x-ray projections and thus 4D CBCT dose with minimal impact on image quality. The aim of this work is to experimentally investigate RT 4D CBCT in situ and measure target trajectory mean position, image quality and imaging dose from this approach. A commercially available phantom with programmable target motion was programmed with nine target trajectories derived from patient-measured respiratory traces known to span the range of image quality when used for 4D CBCT reconstruction. 4D CBCT datasets were acquired for each target trajectory using the RT 4D CBCT acquisition technique and the conventional 4D CBCT acquisition technique. From the reconstructed 4D CBCT datasets, target trajectory mean positions, imaging dose and image quality metrics were calculated and compared between the two techniques. Target trajectory and mean position were measured by tracking the target's displacement in the phantom; imaging dose was measured by counting the total number of x-ray projections acquired; and image quality was assessed by calculating the contrast-to-noise ratio (CNR), signal-to-noise ration (SNR) and edge response width (ERW). For each of the nine cases, the target trajectory mean position as determined by RT 4D CBCT and conventional 4D CBCT varied from the reference source trajectory mean position by 0.7 mm or less except for one case where a conventional 4D CBCT mean position varied by 1.3 mm. On the average of these nine studies, RT 4D CBCT required half as many projections as conventional 4D CBCT giving a 50% reduction in imaging dose. Overall, the image quality metrics (CNR and SNR) were marginally worse for RT 4D CBCT; ERW metric showed no statistically significant difference between the RT 4D CBCT and conventional 4D CBCT reconstructed datasets. Respiratory triggered 4D CBCT couples the real-time respiratory signal to the 4D CBCT image acquisition system and requires less imaging dose than conventional 4D CBCT to determine target trajectory mean positions.</t>
  </si>
  <si>
    <t>[Cooper, Benjamin J.; O'Brien, Ricky T.; Shieh, Chun-Chien; Keall, Pa Ul J.] ACRF Image X Inst, Biomed Bldg C81,1 Cent Ave,Australian Technol Pk, Eveleigh, NSW 2015, Australia; [Cooper, Benjamin J.] Canberra Hosp, Dept Med Phys &amp; Radiat Engn, Canberra, ACT 2605, Australia</t>
  </si>
  <si>
    <t>Australian National University; Canberra Hospital</t>
  </si>
  <si>
    <t>Cooper, BJ (通訊作者)， ACRF Image X Inst, Biomed Bldg C81,1 Cent Ave,Australian Technol Pk, Eveleigh, NSW 2015, Australia.;Cooper, BJ (通訊作者)， Canberra Hosp, Dept Med Phys &amp; Radiat Engn, Canberra, ACT 2605, Australia.</t>
  </si>
  <si>
    <t>ben.cooper@act.gov.au</t>
  </si>
  <si>
    <t>Keall, Paul/A-6453-2018</t>
  </si>
  <si>
    <t>Keall, Paul/0000-0003-4803-6507; O'Brien, Ricky/0000-0002-6586-7356</t>
  </si>
  <si>
    <t>Australian Government National Health and Medical Research Council (NHMRC); NHMRC project [1034060]</t>
  </si>
  <si>
    <t>Australian Government National Health and Medical Research Council (NHMRC)(National Health &amp; Medical Research Council (NHMRC) of Australia); NHMRC project(National Health &amp; Medical Research Council (NHMRC) of Australia)</t>
  </si>
  <si>
    <t>Paul Keall would like to acknowledge the support of an Australian Government National Health and Medical Research Council (NHMRC) Senior Principal Research Fellowship. This project was supported in part by NHMRC project grant 1034060.</t>
  </si>
  <si>
    <t>07NT01</t>
  </si>
  <si>
    <t>10.1088/1361-6560/ab065d</t>
  </si>
  <si>
    <t>HQ9JG</t>
  </si>
  <si>
    <t>WOS:000462743000001</t>
  </si>
  <si>
    <t>Gorissen, BL</t>
  </si>
  <si>
    <t>Gorissen, Bram L.</t>
  </si>
  <si>
    <t>Guaranteed ε-optimal solutions with the linear optimizer ART3+O</t>
  </si>
  <si>
    <t>inverse planning; projection methods; linear optimization</t>
  </si>
  <si>
    <t>RADIATION-THERAPY; RECONSTRUCTION; ALGORITHM; CONVERGENCE; SCHEME</t>
  </si>
  <si>
    <t>The linear optimization algorithm ART3+O introduced by Chen et al (2010 Med. Phys. 37 4938-45) can efficiently solve large scale inverse planning problems encountered in radiation therapy by iterative projection. Its major weakness is that it cannot guarantee epsilon-optimality of the final solution due to an arbitrary stopping criterion. We propose an improvement to ART3+O where the stopping criterion is based on Farkas' lemma. The same theory can be used to detect inconsistency in other projection methods as well. The proposed algorithm guarantees to find an epsilon-optimal solution in finite time. The algorithm is demonstrated on numerical examples in radiation therapy.</t>
  </si>
  <si>
    <t>[Gorissen, Bram L.] Massachusetts Gen Hosp, Boston, MA 02114 USA; [Gorissen, Bram L.] Harvard Med Sch, Boston, MA 02115 USA</t>
  </si>
  <si>
    <t>Harvard University; Harvard University Medical Affiliates; Massachusetts General Hospital; Harvard University; Harvard Medical School</t>
  </si>
  <si>
    <t>Gorissen, BL (通訊作者)， Massachusetts Gen Hosp, Boston, MA 02114 USA.;Gorissen, BL (通訊作者)， Harvard Med Sch, Boston, MA 02115 USA.</t>
  </si>
  <si>
    <t>b.l.gorissen@tilburguniversity.edu</t>
  </si>
  <si>
    <t>NIH U19 Grant [5U19CA021239-38]</t>
  </si>
  <si>
    <t>NIH U19 Grant</t>
  </si>
  <si>
    <t>Supported in part by NIH U19 Grant 5U19CA021239-38.</t>
  </si>
  <si>
    <t>10.1088/1361-6560/ab0a2e</t>
  </si>
  <si>
    <t>WOS:000463540400005</t>
  </si>
  <si>
    <t>Kozlowska, WS; Böhlen, TT; Cuccagna, C; Ferrari, A; Fracchiolla, F; Magro, G; Mairani, A; Schwarz, M; Vlachoudis, V; Georg, D</t>
  </si>
  <si>
    <t>Kozlowska, Wioletta S.; Bohlen, Till T.; Cuccagna, Caterina; Ferrari, Alfredo; Fracchiolla, Francesco; Magro, Giuseppe; Mairani, Andrea; Schwarz, Marco; Vlachoudis, Vasilis; Georg, Dietmar</t>
  </si>
  <si>
    <t>FLUKA particle therapy tool for Monte Carlo independent calculation of scanned proton and carbon ion beam therapy</t>
  </si>
  <si>
    <t>Monte Carlo; FLUKA; quality assurance; particle therapy; treatment planning</t>
  </si>
  <si>
    <t>TREATMENT PLANNING TOOL; DOSE CALCULATION; TREATMENT UNCERTAINTIES; HELIUM-IONS; CODE; VERIFICATION; SIMULATIONS; SENSITIVITY; ACCURACY; ENERGY</t>
  </si>
  <si>
    <t>While Monte Carlo (MC) codes are considered as the gold standard for dosimetric calculations, the availability of user friendly MC codes suited for particle therapy is limited. Based on the FLUKA MC code and its graphical user interface (GUI) Flair, we developed an easy-to-use tool which enables simple and reliable simulations for particle therapy. In this paper we provide an overview of functionalities of the tool and with the presented clinical, proton and carbon ion therapy examples we demonstrate its reliability and the usability in the clinical environment and show its flexibility for research purposes. The first, easy-to-use FLUKA MC platform for particle therapy with GUI functionalities allows a user with a minimal effort and reduced knowledge about MC details to apply MC at their facility and is expected to enhance the popularity of the MC for both research and clinical quality assurance and commissioning purposes.</t>
  </si>
  <si>
    <t>[Kozlowska, Wioletta S.; Ferrari, Alfredo; Vlachoudis, Vasilis] CERN, European Org Nucl Res, Geneva, Switzerland; [Kozlowska, Wioletta S.; Georg, Dietmar] Med Univ Vienna, Vienna, Austria; [Bohlen, Till T.] Paul Scherrer Inst, Villigen, Switzerland; [Cuccagna, Caterina] TERA Fdn, Geneva, Switzerland; [Cuccagna, Caterina] Univ Geneva, Geneva, Switzerland; [Fracchiolla, Francesco; Schwarz, Marco] Proton Therapy Ctr, Trento, Italy; [Magro, Giuseppe; Mairani, Andrea] CNAO, Pavia, Italy; [Mairani, Andrea] HIT Heidelberg Ion Beam Therapy Ctr, Heidelberg, Germany; [Schwarz, Marco] TIFPA INFN, Trento, Italy; [Georg, Dietmar] Christian Doppler Lab Med Radiat Res MUW AKH, Vienna, Austria</t>
  </si>
  <si>
    <t>European Organization for Nuclear Research (CERN); Medical University of Vienna; Swiss Federal Institutes of Technology Domain; Paul Scherrer Institute; University of Geneva; Centro Nazionale di Adroterapia Oncologica (CNAO); Istituto Nazionale di Fisica Nucleare (INFN)</t>
  </si>
  <si>
    <t>Kozlowska, WS (通訊作者)， CERN, European Org Nucl Res, Geneva, Switzerland.;Kozlowska, WS (通訊作者)， Med Univ Vienna, Vienna, Austria.</t>
  </si>
  <si>
    <t>wioletta.kozlowska@cern.ch</t>
  </si>
  <si>
    <t>; Böhlen, Till/AEV-5189-2022; Schwarz, Marco/I-1905-2019; Ferrari, Anna/E-9291-2015; Kozlowska, Wioletta/AAS-4668-2020; Magro, Giuseppe/KVB-3768-2024; Georg, Dietmar/F-2783-2011</t>
  </si>
  <si>
    <t>Georg, Dietmar/0000-0002-8327-3877; Kozlowska, Wioletta Sandra/0000-0002-4899-1910; Bohlen, Till Tobias/0000-0001-7408-0187; Schwarz, Marco/0000-0001-6964-7732; Ferrari, Alfredo/0009-0005-0127-1114;</t>
  </si>
  <si>
    <t>CERN-KT funding</t>
  </si>
  <si>
    <t>W S Kozlowska acknowledge the financial support of the CERN-KT funding. C Cuccagna sincerely thanks Prof. Ugo Amaldi for support and advice.</t>
  </si>
  <si>
    <t>10.1088/1361-6560/ab02cb</t>
  </si>
  <si>
    <t>HR1JG</t>
  </si>
  <si>
    <t>WOS:000462887300004</t>
  </si>
  <si>
    <t>Kuang, ZH; Yang, Q; Wang, XH; Fu, X; Ren, N; Wu, S; Zhang, CH; Zhao, BQ; Sang, ZR; Hu, ZL; Du, JW; Liang, D; Liu, X; Zheng, HR; Yang, YF</t>
  </si>
  <si>
    <t>Kuang, Zhonghua; Yang, Qian; Wang, Xiaohui; Fu, Xin; Ren, Ning; Wu, San; Zhang, Chunhui; Zhao, Binqing; Sang, Ziru; Hu, Zhanli; Du, Junwei; Liang, Dong; Liu, Xin; Zheng, Hairong; Yang, Yongfeng</t>
  </si>
  <si>
    <t>Performance of a depth encoding PET detector module using light sharing and single-ended readout with SiPMs</t>
  </si>
  <si>
    <t>PET detector; depth-encoding; single-ended readout; SiPM</t>
  </si>
  <si>
    <t>OF-INTERACTION DETECTOR; SCINTILLATOR; DESIGN; POSITION; ARRAY; CALIBRATION; PROTOTYPE; SYSTEM; FLIGHT; TOF</t>
  </si>
  <si>
    <t>Detectors with depth encoding capability, good energy resolution and good timing resolution are required to develop high performance whole body and total body PET scanners. In this work, an 8 x 8 LYSO array with crystal size of 3 x 3 x 20 mm(3) was fabricated by using coupling materials that included 5 mm optical glue, 9 mm triangle ESR reflector and 6 mm rectangle ESR reflector from the top to the bottom in between adjacent crystals in one direction. The LYSO array was single-ended read out by an 8 x 8 SiPM array with one-to-one coupling. Row and column summing circuit was used to read out the SiPM signals. The depth of interaction (DOI) of the detector was measured with the depth dependent light sharing between adjacent crystals while maintaining acceptable energy resolution and timing resolution. The performance of the detector module was evaluated. All crystals can be clearly resolved from the measured flood histogram. An average DOI resolution of 4.62 mm and an average timing resolution of 518 ps are obtained for events with E &gt; 400 keV. The average energy resolution of the detector is 13.5%. This work provides a cost-effective depth encoding detector module that can be used to build high performance whole body and total body PET scanners in the future.</t>
  </si>
  <si>
    <t>[Kuang, Zhonghua; Yang, Qian; Wang, Xiaohui; Fu, Xin; Ren, Ning; Wu, San; Zhang, Chunhui; Zhao, Binqing; Sang, Ziru; Hu, Zhanli; Du, Junwei; Liang, Dong; Liu, Xin; Zheng, Hairong; Yang, Yongfeng] Chinese Acad Sci, Shenzhen Inst Adv Technol, Paul C Lauterbur Res Ctr Biomed Imaging, Shenzhen 518055, Peoples R China</t>
  </si>
  <si>
    <t>Chinese Academy of Sciences; Shenzhen Institute of Advanced Technology, CAS</t>
  </si>
  <si>
    <t>Yang, YF (通訊作者)， Chinese Acad Sci, Shenzhen Inst Adv Technol, Paul C Lauterbur Res Ctr Biomed Imaging, Shenzhen 518055, Peoples R China.</t>
  </si>
  <si>
    <t>yf.yang@siat.ac.cn</t>
  </si>
  <si>
    <t>liu, xiao/HMD-7454-2023; Wang, Xiaohui/B-8126-2011; Du, Junwei/J-9226-2015; Liang, Dong/A-3335-2011; Yang, Yongfeng/I-7680-2016; Kuang, Zhonghua/ABX-1725-2022</t>
  </si>
  <si>
    <t>Kuang, Zhonghua/0000-0002-6848-1635;</t>
  </si>
  <si>
    <t>Peacock Innovation Team of Shenzhen [KQTD2016053117113327]; Basic Research Program of Shenzhen [JCYJ20170818161940079, JCYJ20160608153434110]; National Natural Science Foundation of China [81527804, 11575285]; Hundred-Talent Program of the Chinese Academy of Sciences; Scientific Instrument Innovation Team of Chinese Academy of Sciences [GJJSTD20180002]</t>
  </si>
  <si>
    <t>Peacock Innovation Team of Shenzhen; Basic Research Program of Shenzhen; National Natural Science Foundation of China(National Natural Science Foundation of China (NSFC)); Hundred-Talent Program of the Chinese Academy of Sciences(Chinese Academy of Sciences); Scientific Instrument Innovation Team of Chinese Academy of Sciences</t>
  </si>
  <si>
    <t>This work is supported by the Peacock Innovation Team of Shenzhen (KQTD2016053117113327), the Basic Research Program of Shenzhen (JCYJ20170818161940079, JCYJ20160608153434110), the National Natural Science Foundation of China (81527804, 11575285), the Hundred-Talent Program of the Chinese Academy of Sciences (Yongfeng Yang), and the Scientific Instrument Innovation Team of Chinese Academy of Sciences (GJJSTD20180002).</t>
  </si>
  <si>
    <t>10.1088/1361-6560/ab1152</t>
  </si>
  <si>
    <t>WOS:000464179400004</t>
  </si>
  <si>
    <t>Moghadam, N; Espagnet, R; Bouchard, J; Lecomte, R; Fontaine, R</t>
  </si>
  <si>
    <t>Moghadam, Narjes; Espagnet, Romain; Bouchard, Jonathan; Lecomte, Roger; Fontaine, Rejean</t>
  </si>
  <si>
    <t>Studying the effects of metallic components of PET-insert on PET and MRI performance due to gradient switching</t>
  </si>
  <si>
    <t>simultaneous PET/MRI; metallic material; displacement artifacts; eddy current; heat dissipation</t>
  </si>
  <si>
    <t>SIMULTANEOUS PET/MRI SCANNER; ARTIFACTS; SUSCEPTIBILITY; SYSTEM</t>
  </si>
  <si>
    <t>Inserting positron emission tomography (PET) detection modules inside an MRI bore imposes extra challenges owing to the behavior of metallic materials in a strong magnetic field. The metallic parts even when placed outside an MRI field of view may not only disturb MRI performance, but could also increase temperature and vibrations, leading to premature failure of PET electronics. To investigate the compatibility of detection modules inside 3 T, 7 T and 9.4 T MRI bore, a theoretical study of the metal induced artifacts originating from component materials of electronic circuit is presented. The LabPET II detection module and a modified version of it in which the connector was replaced by ball grid array (BGA) were studied. In addition, the effect of eddy current and the associated heat loss on the PET detection module have been examined using COMSOL Multiphysics (R) simulations for 10 kHz and 100 kHz gradient switching. Results show that displacement artifacts resulting from the presence of small amounts of ferromagnetic metal and the heating effects of metal due to gradient switching can be compensated by using the slightly modified LabPET II detection module. Thus, the LabPET II system would be MR-compatible with some minor adjustments to operate effectively inside an MRI bore without interfering with its performance.</t>
  </si>
  <si>
    <t>[Moghadam, Narjes; Espagnet, Romain; Bouchard, Jonathan; Fontaine, Rejean] Univ Sherbrooke, Interdisciplinary Inst Technol Innovat 3IT, Dept Elect &amp; Comp Engn, GRAMS, Sherbrooke, PQ, Canada; [Lecomte, Roger] Univ Sherbrooke, Dept Nucl Med &amp; Radiobiol, CRCHUS, Sherbrooke Mol Imaging Ctr, Sherbrooke, PQ, Canada</t>
  </si>
  <si>
    <t>University of Sherbrooke; University of Sherbrooke</t>
  </si>
  <si>
    <t>Fontaine, R (通訊作者)， Univ Sherbrooke, Interdisciplinary Inst Technol Innovat 3IT, Dept Elect &amp; Comp Engn, GRAMS, Sherbrooke, PQ, Canada.</t>
  </si>
  <si>
    <t>Rejean.Fontaine@usherbrooke.ca</t>
  </si>
  <si>
    <t>LECOMTE, Roger/F-2582-2011</t>
  </si>
  <si>
    <t>Moghadam, Narjes/0000-0001-9101-4210; Fontaine, Rejean/0000-0002-5453-0168; LECOMTE, Roger/0000-0002-8541-0783</t>
  </si>
  <si>
    <t>Le Fonds de Recherche du Quebec-Nature et technologies (FRQNT); Natural Sciences and Engineering Research Council of Canada (NSERC)</t>
  </si>
  <si>
    <t>Le Fonds de Recherche du Quebec-Nature et technologies (FRQNT); Natural Sciences and Engineering Research Council of Canada (NSERC)(Natural Sciences and Engineering Research Council of Canada (NSERC))</t>
  </si>
  <si>
    <t>The authors would like to thanks Luc Tremblay for his assistance in acquiring the MR images. This work was supported by Le Fonds de Recherche du Quebec-Nature et technologies (FRQNT) and the Natural Sciences and Engineering Research Council of Canada (NSERC).</t>
  </si>
  <si>
    <t>10.1088/1361-6560/ab0291</t>
  </si>
  <si>
    <t>HP9YX</t>
  </si>
  <si>
    <t>WOS:000462050200003</t>
  </si>
  <si>
    <t>Shasha, C; Teeman, E; Krishnan, KM; Szwargulski, P; Knopp, T; Möddel, M</t>
  </si>
  <si>
    <t>Shasha, Carolyn; Teeman, Eric; Krishnan, Kannan M.; Szwargulski, Patryk; Knopp, Tobias; Moeddel, Martin</t>
  </si>
  <si>
    <t>Discriminating nanoparticle core size using multi-contrast MPI</t>
  </si>
  <si>
    <t>magnetic particle imaging; multi-contrast magnetic particle imaging; functional imaging; magnetic nanoparticles; magnetic particle spectroscopy</t>
  </si>
  <si>
    <t>Magnetic particle imaging (MPI) is an imaging modality that detects the response of a distribution of magnetic nanoparticle tracers to alternating magnetic fields. There has recently been exploration into multi-contrast MPI, in which the signal from different tracer materials or environments is separately reconstructed, resulting in multi-channel images that could enable temperature or viscosity quantification. In this work, we apply a multi-contrast reconstruction technique to discriminate between nanoparticle tracers of different core sizes. Three nanoparticle types with core diameters of 21.9 nm, 25.3 nm and 27.7 nm were each imaged at 21 different locations within the scanner field of view. Multi-channel images were reconstructed for each sample and location, with each channel corresponding to one of the three core sizes. For each image, signal weight vectors were calculated, which were then used to classify each image by core size. With a block averaging length of 10 000, the median signal-to-noise ratio was 40 or higher for all three sample types, and a correct prediction rate of 96.7% was achieved, indicating that core size can effectively be predicted using signal weight vector classification with close to 100% accuracy while retaining high MPI image quality. The discrimination of the core size was reliable even when multiple samples of different core sizes were placed in the measuring field.</t>
  </si>
  <si>
    <t>[Shasha, Carolyn; Krishnan, Kannan M.] Univ Washington, Dept Phys, Seattle, WA 98195 USA; [Teeman, Eric; Krishnan, Kannan M.] Univ Washington, Dept Mat Sci &amp; Engn, Seattle, WA 98195 USA; [Szwargulski, Patryk; Knopp, Tobias; Moeddel, Martin] Univ Med Ctr Hamburg Eppendorf, Sect Biomed Imaging, Hamburg, Germany; [Szwargulski, Patryk; Knopp, Tobias; Moeddel, Martin] Hamburg Univ Technol, Inst Biomed Imaging, Hamburg, Germany</t>
  </si>
  <si>
    <t>University of Washington; University of Washington Seattle; University of Washington; University of Washington Seattle; University of Hamburg; University Medical Center Hamburg-Eppendorf; Hamburg University of Technology</t>
  </si>
  <si>
    <t>Shasha, C (通訊作者)， Univ Washington, Dept Phys, Seattle, WA 98195 USA.</t>
  </si>
  <si>
    <t>cshasha@uw.edu</t>
  </si>
  <si>
    <t>; Knopp, Tobias/AAH-1644-2019</t>
  </si>
  <si>
    <t>Knopp, Tobias/0000-0002-1589-8517; Teeman, Eric/0000-0002-0488-1445; Shasha, Carolyn/0000-0002-3021-9383; Moddel, Martin/0000-0002-4737-7863</t>
  </si>
  <si>
    <t>National Science Foundation [DGE-1256082]; Alexander von Humboldt Foundation Career Research Award (2016); German Research Foundation (DFG) [KN 1108/2-1]; Federal Ministry of Education and Research (BMBF) [05M16GKA]</t>
  </si>
  <si>
    <t>National Science Foundation(National Science Foundation (NSF)); Alexander von Humboldt Foundation Career Research Award (2016)(Alexander von Humboldt Foundation); German Research Foundation (DFG)(German Research Foundation (DFG)); Federal Ministry of Education and Research (BMBF)(Federal Ministry of Education &amp; Research (BMBF))</t>
  </si>
  <si>
    <t>CS was supported by a National Science Foundation Graduate Research Fellowship under Grant DGE-1256082. KMK would like to acknowledge the Alexander von Humboldt Foundation Career Research Award (2016) which made this collaboration possible. TK thankfully acknowledges the financial support by the German Research Foundation (DFG, grant number KN 1108/2-1) and the Federal Ministry of Education and Research (BMBF, grant number 05M16GKA).</t>
  </si>
  <si>
    <t>10.1088/1361-6560/ab0fc9</t>
  </si>
  <si>
    <t>HR1JC</t>
  </si>
  <si>
    <t>WOS:000462886800001</t>
  </si>
  <si>
    <t>Çavusoglu, M; Zhang, J; Ielacqua, GD; Pellegrini, G; Signorell, RD; Papachristodoulous, A; Brambilla, D; Roth, P; Weller, M; Rudin, M; Martin, E; Leroux, JC; Werner, B</t>
  </si>
  <si>
    <t>Cavusoglu, Mustafa; Zhang, Jia; Ielacqua, Giovanna Diletta; Pellegrini, Giovanni; Signorell, Rea Deborah; Papachristodoulous, Alexandros; Brambilla, Davide; Roth, Patrick; Weller, Michael; Rudin, Markus; Martin, Ernst; Leroux, Jean-Christophe; Werner, Beat</t>
  </si>
  <si>
    <t>Closed-loop cavitation control for focused ultrasound-mediated blood-brain barrier opening by long-circulating microbubbles</t>
  </si>
  <si>
    <t>blood-brain barrier; focused ultrasound; closed-loop; cavitation; control; safety</t>
  </si>
  <si>
    <t>IN-VITRO; ACOUSTIC CAVITATION; DRUG-DELIVERY; CELL-DAMAGE; DISRUPTION; THRESHOLD; DOXORUBICIN; EMISSION; VIVO; FLOW</t>
  </si>
  <si>
    <t>Focused ultrasound (FUS) exposure in the presence of microbubbles (MBs) has been successfully used in the delivery of various sizes of therapeutic molecules across the blood-brain barrier (BBB). While acoustic pressure is correlated with the BBB opening size, real-time control of BBB opening to avoid vascular and neural damage is still a challenge. This arises mainly from the variability of FUS-MB interactions due to the variations of animal-specific metabolic environment and specific experimental setup. In this study, we demonstrate a dosed-loop cavitation control framework to induce BBB opening for delivering large therapeutic molecules without causing macro tissue damages. To this end, we performed in mice long-term (5 min) cavitation monitoring facilitated by using long-circulating MBs. Monitoring the long-term temporal kinetics of the MBs under varying level of FUS pressure allowed to identify in situ, animal specific activity regimes forming pressure-dependent activity bands. This enables to determine the boundaries of each activity band (i.e. steady oscillation, transition, inertial cavitation) independent from the physical and physiological dynamics of the experiment. However, such a calibration approach is time consuming and to speed up characterization of the in situ, animal specific FUS-MB dynamics, we tested a novel method called 'pre-calibration' that closely reproduces the results of long-term monitoring but with a much shorter duration. Once the activity bands are determined from the pre-calibration method, an operation band can be selected around the desired cavitation dose. To drive cavitation in the selected operation band, we developed an adaptive, closed-loop controller that updates the acoustic pressure between each son ication based on measured cavitation dose. Finally, we quantitatively assessed the safety of different activity bands and validated the proposed methods and controller framework. The proposed framework serves to optimize the FUS pressure instantly to maintain the targeted cavitation level while improving safety control.</t>
  </si>
  <si>
    <t>[Cavusoglu, Mustafa; Martin, Ernst; Werner, Beat] Univ Childrens Hosp Zurich, Ctr MR Res, CH-8032 Zurich, Switzerland; [Cavusoglu, Mustafa; Zhang, Jia; Ielacqua, Giovanna Diletta; Rudin, Markus] Swiss Fed Inst Technol, Inst Biomed Engn, CH-8091 Zurich, Switzerland; [Pellegrini, Giovanni] Univ Hosp Zurich, Inst Vet Pathol, CH-8057 Zurich, Switzerland; [Pellegrini, Giovanni; Papachristodoulous, Alexandros; Roth, Patrick; Weller, Michael] Univ Zurich, CH-8057 Zurich, Switzerland; [Signorell, Rea Deborah; Brambilla, Davide; Leroux, Jean-Christophe] Swiss Fed Inst Technol, Dept Chem &amp; Appl Biosci, Inst Pharmaceut Sci, CH-8093 Zurich, Switzerland; [Papachristodoulous, Alexandros; Roth, Patrick; Weller, Michael] Univ Hosp Zurich, Lab Mol Neurooncol, CH-8091 Zurich, Switzerland; [Brambilla, Davide] Univ Montreal, Fac Pharm, Montreal, PQ, Canada; [Cavusoglu, Mustafa] Swiss Fed Inst Technol, Informat Technol &amp; Elect Engn Dept, Swiss Fed Inst Technol, Inst Biomed Engn, ETZ F 64-1,Gloriastr 35, CH-8092 Zurich, Switzerland</t>
  </si>
  <si>
    <t>University Children's Hospital Zurich; Swiss Federal Institutes of Technology Domain; ETH Zurich; University of Zurich; University Zurich Hospital; University of Zurich; Swiss Federal Institutes of Technology Domain; ETH Zurich; University of Zurich; University Zurich Hospital; Universite de Montreal; Swiss Federal Institutes of Technology Domain; ETH Zurich</t>
  </si>
  <si>
    <t>Çavusoglu, M (通訊作者)， Univ Childrens Hosp Zurich, Ctr MR Res, CH-8032 Zurich, Switzerland.;Çavusoglu, M (通訊作者)， Swiss Fed Inst Technol, Inst Biomed Engn, CH-8091 Zurich, Switzerland.;Çavusoglu, M (通訊作者)， Swiss Fed Inst Technol, Informat Technol &amp; Elect Engn Dept, Swiss Fed Inst Technol, Inst Biomed Engn, ETZ F 64-1,Gloriastr 35, CH-8092 Zurich, Switzerland.</t>
  </si>
  <si>
    <t>cavusoglu@biomed.ee.ethz.ch</t>
  </si>
  <si>
    <t>Papachristodoulou, Alexandros/M-3029-2019; pellegrini, giovanni/A-5122-2018; Leroux, Jean-Christophe/N-4202-2015; Roth, Patrick/R-6671-2018; Weber, Michael/L-9836-2016; Papachristodoulou, Alexandros/L-8721-2017</t>
  </si>
  <si>
    <t>Leroux, Jean-Christophe/0000-0001-5601-1292; Ielacqua, Giovanna Diletta/0000-0002-0816-6617; Weller, Michael/0000-0002-1748-174X; Papachristodoulou, Alexandros/0000-0001-8488-7785; pellegrini, giovanni/0000-0001-9593-5578</t>
  </si>
  <si>
    <t>Sinergia grant from the Swiss National Science Foundation (SNSF) [CRSII3_147651]; Swiss National Science Foundation (SNF) [CRSII3_147651] Funding Source: Swiss National Science Foundation (SNF)</t>
  </si>
  <si>
    <t>Sinergia grant from the Swiss National Science Foundation (SNSF); Swiss National Science Foundation (SNF)(Swiss National Science Foundation (SNSF))</t>
  </si>
  <si>
    <t>This work was supported by a Sinergia grant from the Swiss National Science Foundation (SNSF, CRSII3_147651 to J C L, E M and M W). We thank Bracco Suisse SA, Geneva for providing microbubbles and valuable discussions, and Markus Marks from from Neurotechnology Group at ETH Zurich for technical support.</t>
  </si>
  <si>
    <t>10.1088/1361-6560/aafaa5</t>
  </si>
  <si>
    <t>HL0HI</t>
  </si>
  <si>
    <t>WOS:000458375200004</t>
  </si>
  <si>
    <t>Ma, P; Li, Y; Tian, Y; Liu, B; Zhou, F; Dai, J</t>
  </si>
  <si>
    <t>Ma, P.; Li, Y.; Tian, Y.; Liu, B.; Zhou, F.; Dai, J.</t>
  </si>
  <si>
    <t>Design of a spherical applicator for intraoperative radiotherapy with a linear accelerator-a Monte Carlo simulation</t>
  </si>
  <si>
    <t>spherical applicator; intraoperative electron beam radiotherapy; roundness</t>
  </si>
  <si>
    <t>IORT</t>
  </si>
  <si>
    <t>Currently only flat dose distributions can be generated by electron beams of a linear accelerator for intraoperative radiotherapy (IORT). However, spherical dose distributions are more desirable for certain types of cancers such as breast cancer and brain cancers. In this study, we propose the design of a spherical applicator for delivery of spherical dose distributions. The spherical applicator consists of an upper cylindrical collimator to collimate the electron beam, a middle scattering foil to scatter the beam and a lower hollow sphere with a modulator to shape the beam and a spherical shell used to contain the modulator. Monte Carlo (MC) codes EGSnrc/BEAMnrc and EGS4/DOSXYZ were employed to model the head of the Mobetron, the spherical applicator, and to calculate the dose distributions. Apart from the scattering foil made of tungsten, the region between the scattering foil and the inner surface of the modulator is empty whereas the remainder of the spherical applicator made of soft tissue-equivalent materials such as PMMA. As a measure of how close an object approaches a perfect circle, roundness was introduced to evaluate the dose distributions. In addition, the dose rate after modulation was investigated. A spherical applicator with a 20 mm-diametre cylindrical collimator and a 50 mm-diametre hollow sphere was designed. For electron beams of energies 4, 6, 9 and 12 MeV, the foil thickness was set to 0.3, 0.5, 0.7 and 1.2 mm, and the dose rate was about 30, 40, 50 and 60 cGy min(-1), respectively. The roundness of the isodose curves in the coronal plane through the centre of the spherical applicator ranged from 0.01 to 0.12 cm whereas that in the axial plane ranged from 0.05 to 1.38 cm. Experiments are planned to further evaluate the feasibility of this spherical applicator design.</t>
  </si>
  <si>
    <t>[Ma, P.; Tian, Y.; Dai, J.] Chinese Acad Med Sci, Canc Hosp, Natl Canc Ctr, Dept Radiat Oncol, Beijing, Peoples R China; [Ma, P.; Tian, Y.; Dai, J.] Peking Union Med Coll, Beijing, Peoples R China; [Li, Y.] Sun Yat Sen Univ, Canc Ctr, State Key Lab Oncol South China, Dept Radiat Oncol,Collaborat Innovat Ctr Canc Med, Guangzhou, Guangdong, Peoples R China; [Liu, B.; Zhou, F.] Beihang Univ, Image Proc Ctr, Beijing, Peoples R China</t>
  </si>
  <si>
    <t>Chinese Academy of Medical Sciences - Peking Union Medical College; Cancer Institute &amp; Hospital - CAMS; Chinese Academy of Medical Sciences - Peking Union Medical College; Peking Union Medical College; State Key Lab Oncology South China; Sun Yat Sen University; Beihang University</t>
  </si>
  <si>
    <t>Dai, J (通訊作者)， Chinese Acad Med Sci, Canc Hosp, Natl Canc Ctr, Dept Radiat Oncol, Beijing, Peoples R China.;Dai, J (通訊作者)， Peking Union Med Coll, Beijing, Peoples R China.</t>
  </si>
  <si>
    <t>dai_jianrong@cicams.ac.cn</t>
  </si>
  <si>
    <t>National Natural Science Foundation of China [11475261]; National Key Technology RD Program [2016YFC0904600]</t>
  </si>
  <si>
    <t>National Natural Science Foundation of China(National Natural Science Foundation of China (NSFC)); National Key Technology RD Program(National Key Technology R&amp;D Program)</t>
  </si>
  <si>
    <t>This work was supported by the National Natural Science Foundation of China (grant number 11475261) and the National Key Technology R&amp;D Program (grant number 2016YFC0904600). A patent was applied for the design of spherical applicator in China (Patent application number 201810244336.0).</t>
  </si>
  <si>
    <t>10.1088/1361-6560/aaec59</t>
  </si>
  <si>
    <t>WOS:000454239200007</t>
  </si>
  <si>
    <t>Filipovic, M; Comtat, C; Stute, S</t>
  </si>
  <si>
    <t>Filipovic, Marina; Comtat, Claude; Stute, Simon</t>
  </si>
  <si>
    <t>Time-of-flight (TOF) implementation for PET reconstruction in practice</t>
  </si>
  <si>
    <t>PET reconstruction; TOF; time-of-flight; implementation; PET; MRI</t>
  </si>
  <si>
    <t>IMAGE-RECONSTRUCTION; TOMOGRAPHY</t>
  </si>
  <si>
    <t>The time-of-flight (TOF) feature of PET scanners has been used for a long time in PET reconstruction, but many implementational aspects are still incomplete or ambiguous in the literature. Here we formalize and present theoretical and practical implementation details for the reconstruction of clinical TOF histogram and list-mode data using ML-EM. Relevant aspects include the computation of the TOF component of the system matrix, the processing of TOF bins, the use of estimations of random and scattered coincidences, and differences between histogram and list-mode ML-EM TOF reconstruction. Several approaches and approximations have been implemented in the CASToR platform and compared for OSEM reconstructions of patient data from the GE Signa PET/MR scanner. Differences between implementations are not larger than the typical bias in clinical data reconstruction. The largest difference and contrast loss occur when the processing of histogram TOF bins is simplified, and list-mode reconstruction is most sensitive to the truncation of the Gaussian TOF probability distribution.</t>
  </si>
  <si>
    <t>[Filipovic, Marina; Comtat, Claude; Stute, Simon] Univ Paris Saclay, Univ Paris Sud, CEA, SHFJ,CNRS,Inserm,IMIV, Orsay, France; [Stute, Simon] Univ Hosp, Nucl Med Dept, Nantes, France; [Stute, Simon] Univ Nantes, Univ Angers, CNRS, INSERM,CRCINA, Nantes, France</t>
  </si>
  <si>
    <t>Universite Paris Saclay; Institut National de la Sante et de la Recherche Medicale (Inserm); CEA; Centre National de la Recherche Scientifique (CNRS); Nantes Universite; CHU de Nantes; Universite d'Angers; Centre National de la Recherche Scientifique (CNRS); Nantes Universite; Institut National de la Sante et de la Recherche Medicale (Inserm)</t>
  </si>
  <si>
    <t>Filipovic, M (通訊作者)， Univ Paris Saclay, Univ Paris Sud, CEA, SHFJ,CNRS,Inserm,IMIV, Orsay, France.</t>
  </si>
  <si>
    <t>marina.filipovic.work@gmail.com</t>
  </si>
  <si>
    <t>Lidex-PIM project - IDEX Paris-Saclay [ANR-11-IDEX-0003-02]; French national research agency [ANR-16-CE17-0011-001]; 'IPROB' project - ITMO Cancer (France); Agence Nationale de la Recherche (ANR) [ANR-16-CE17-0011] Funding Source: Agence Nationale de la Recherche (ANR)</t>
  </si>
  <si>
    <t>Lidex-PIM project - IDEX Paris-Saclay; French national research agency(Agence Nationale de la Recherche (ANR)); 'IPROB' project - ITMO Cancer (France); Agence Nationale de la Recherche (ANR)(Agence Nationale de la Recherche (ANR))</t>
  </si>
  <si>
    <t>This work is supported by the Lidex-PIM project funded by the IDEX Paris-Saclay (ANR-11-IDEX-0003-02), by the French national research agency (ANR-16-CE17-0011-001), and by the 'IPROB' project funded by ITMO Cancer (France). Thanks to Antoine Pierucci for drawing the diagrams in figure 2 and thanks to Maxime Toussaint for the encouragement.</t>
  </si>
  <si>
    <t>23NT01</t>
  </si>
  <si>
    <t>10.1088/1361-6560/ab4f0b</t>
  </si>
  <si>
    <t>JR0XU</t>
  </si>
  <si>
    <t>WOS:000499359700001</t>
  </si>
  <si>
    <t>Ozoemelam, I; van der Graaf, E; Brandenburg, S; Dendooven, P</t>
  </si>
  <si>
    <t>Ozoemelam, Ikechi; van der Graaf, Emiel; Brandenburg, Sytze; Dendooven, Peter</t>
  </si>
  <si>
    <t>The production of positron emitters with millisecond half-life during helium beam radiotherapy</t>
  </si>
  <si>
    <t>helium therapy; monitoring; positron emission tomography; nitrogen-12; oxygen-13</t>
  </si>
  <si>
    <t>NUCLEAR-DATA SHEETS; VIVO RANGE VERIFICATION; ROTATING GANTRY PORT; ENERGY-LEVELS; LIGHT-NUCLEI; PARTICLE IRRADIATION; EXCITATION-FUNCTIONS; CROSS-SECTIONS; PENCIL BEAMS; CLINICAL-USE</t>
  </si>
  <si>
    <t>Therapy with helium ions is currently receiving significantly increasing interest because helium ions have a sharper penumbra than protons and undergo less fragmentation than carbon ions and thus require less complicated dose calculations. For any ion of interest in hadron therapy, the accuracy of dose delivery is limited by range uncertainties. This has led to efforts by several groups to develop in vivo verification techniques, including positron emission tomography (PET), for monitoring of the dose delivery. Beam-on PET monitoring during proton therapy through the detection of short-lived positron emitters such as N-12 (T-1/2 = 11 ms), an emerging PET technique, provides an attractive option given the achievable range accuracy, minimal susceptibility to biological washout and provision of near prompt feedback. Extension of this approach to helium ions requires information on the production yield of relevant short-lived positron emitters. This study presents the first measurements of the production of short-lived positron emitters in water, graphite, calcium and phosphorus targets irradiated with 59 MeV/u He-3 and 50 MeV/u He-4 beams. For these targets, the most produced short-lived nuclides are O-13/N-12 (T-1/2 = 8.6/11 ms) on water, O-13/N-12 on graphite, Ti-43/Sc-41/Sc-42 (T-1/2 = 509-680 ms) on calcium, P-28 (T-1/2 = 268 ms) on phosphorus. A translation of the results from elemental targets to PMMA and representative tissues such as adipose tissue, muscle, compact and cortical bone, shows the dominance of O-13/N-12 in at least the first 20 s of an irradiation with He-4 and somewhat longer with He-3. As the production of O-13/N-12 in a He-3 irradiation is 3-4 times higher than in a He-4 irradiation, from a statistical point of view, range verification using O-13/N-12 PET imaging will be about 2 times more precise for a He-3 irradiation compared to a He-4 irradiation.</t>
  </si>
  <si>
    <t>[Ozoemelam, Ikechi; van der Graaf, Emiel; Brandenburg, Sytze; Dendooven, Peter] Univ Groningen, KVI Ctr Adv Radiat Technol, Groningen, Netherlands</t>
  </si>
  <si>
    <t>University of Groningen</t>
  </si>
  <si>
    <t>Ozoemelam, I (通訊作者)， Univ Groningen, KVI Ctr Adv Radiat Technol, Groningen, Netherlands.</t>
  </si>
  <si>
    <t>i.s.ozoemelam@rug.nl</t>
  </si>
  <si>
    <t>Brandenburg, Sytze/J-6282-2012; Ozoemelam, Ikechi/ABC-3798-2022</t>
  </si>
  <si>
    <t>Dendooven, Peter/0000-0003-1859-1315; van der Graaf, Emiel/0000-0002-9254-3349; Ozoemelam, Ikechi/0000-0002-1557-7289</t>
  </si>
  <si>
    <t>10.1088/1361-6560/ab51c3</t>
  </si>
  <si>
    <t>WOS:000518765200002</t>
  </si>
  <si>
    <t>Singh, S; Melnik, R</t>
  </si>
  <si>
    <t>Singh, Sundeep; Melnik, Roderick</t>
  </si>
  <si>
    <t>Coupled thermo-electro-mechanical models for thermal ablation of biological tissues and heat relaxation time effects</t>
  </si>
  <si>
    <t>thermal ablation; thermo-electro-mechanical model; non-Fourier bio-heat transfer; microwave ablation; radiofrequency ablation; heat relaxation time; computational modeling</t>
  </si>
  <si>
    <t>RENAL-CELL CARCINOMA; MICROWAVE ABLATION; RADIOFREQUENCY ABLATION; THERMOMECHANICAL MODEL; LASER IRRADIATION; HEPATIC TISSUE; TUMOR ABLATION; SHRINKAGE; DAMAGE; LIVER</t>
  </si>
  <si>
    <t>Thermal ablation is a widely applied electrosurgical process in medical treatment of soft biological tissues. Numerical modeling and simulations play an important role in prediction of temperature distribution and damage volume during the treatment planning stage of associated therapies. In this contribution we report a coupled thermo-electro-mechanical model, accounting for heat relaxation time, for more accurate and precise prediction of the temperature distribution, tissue deformation and damage volume during the thermal ablation of biological tissues. Finite element solutions are obtained for most widely used percutaneous thermal ablative techniques, viz., radiofrequency ablation (RFA) and microwave ablation (MWA). Importantly, both tissue expansion and shrinkage have been considered for modeling the tissue deformation in the coupled model of high temperature thermal ablation. The coupled model takes into account the non-Fourier effects, considering both single-phase-lag (SPL) and dual-phase-lag (DPL) models of bio-heat transfer. The temperature-dependent electrical and thermal parameters, damage-dependent blood perfusion rate and phase change effect accounting for tissue vaporization have been accounted for obtaining more clinically relevant model. The proposed model predictions are found to be in good agreement against the temperature distribution and damage volume reported by previous experimental studies. The numerical simulation results revealed that the non-Fourier effects cause a decrease in the predicted temperature distribution, tissue deformation and damage volume during the high temperature thermal ablative procedures. Furthermore, the effects of different magnitudes of phase lags of the heat flux and temperature gradient on the predicted treatment outcomes of the considered therma ablative modalities are also quantified and discussed in detail.</t>
  </si>
  <si>
    <t>[Singh, Sundeep; Melnik, Roderick] Wilfrid Laurier Univ, MS2Discovery Interdisciplinary Res Inst, 75 Univ Ave West, Waterloo, ON N2L 3C5, Canada; [Melnik, Roderick] BCAM, Alameda Mazarredo 14, E-48009 Bilbao, Spain</t>
  </si>
  <si>
    <t>Wilfrid Laurier University; Basque Center for Applied Mathematics (BCAM)</t>
  </si>
  <si>
    <t>Singh, S (通訊作者)， Wilfrid Laurier Univ, MS2Discovery Interdisciplinary Res Inst, 75 Univ Ave West, Waterloo, ON N2L 3C5, Canada.</t>
  </si>
  <si>
    <t>ssingh@wlu.ca</t>
  </si>
  <si>
    <t>MELNIK, RODERICK/AAT-9345-2021; Singh, Sundeep/AAF-6636-2019</t>
  </si>
  <si>
    <t>Singh, Sundeep/0000-0002-8342-1622</t>
  </si>
  <si>
    <t>NSERC; CRC Program; BERC 2018-2021 program; Spanish Ministry of Science, Innovation and Universities through the Agencia Estatal de Investigacion (AEI) BCAM Severo Ochoa excellence accreditation [SEV-2017-0718]</t>
  </si>
  <si>
    <t>NSERC(Natural Sciences and Engineering Research Council of Canada (NSERC)); CRC Program(Canada Research Chairs); BERC 2018-2021 program; Spanish Ministry of Science, Innovation and Universities through the Agencia Estatal de Investigacion (AEI) BCAM Severo Ochoa excellence accreditation</t>
  </si>
  <si>
    <t>Authors are grateful to the NSERC and the CRC Program for their support. RM is also acknowledging support of the BERC 2018-2021 program and Spanish Ministry of Science, Innovation and Universities through the Agencia Estatal de Investigacion (AEI) BCAM Severo Ochoa excellence accreditation SEV-2017-0718.</t>
  </si>
  <si>
    <t>10.1088/1361-6560/ab4cc5</t>
  </si>
  <si>
    <t>WOS:000513009900008</t>
  </si>
  <si>
    <t>Carante, MP; Aricò, G; Ferrari, A; Kozlowska, W; Mairani, A; Ballarini, F</t>
  </si>
  <si>
    <t>Carante, M. P.; Arico, G.; Ferrari, A.; Kozlowska, W.; Mairani, A.; Ballarini, F.</t>
  </si>
  <si>
    <t>First benchmarking of the BIANCA model for cell survival prediction in a clinical hadron therapy scenario</t>
  </si>
  <si>
    <t>hadron therapy; RBE; biophysical models; Monte Carlo simulations; cell survival</t>
  </si>
  <si>
    <t>LOW-ENERGY PROTONS; LOCAL EFFECT MODEL; HAMSTER V79 CELLS; ION-BEAMS; CHROMOSOME-ABERRATIONS; RADIATION; DEATH; DAMAGE; INACTIVATION; RADIOTHERAPY</t>
  </si>
  <si>
    <t>In the framework of RBE modelling for hadron therapy, the BIANCA biophysical model was extended to O-ions and was used to construct a radiobiological database describing the survival of V79 cells as a function of ion type (1 &lt;= Z &lt;= 8) and energy. This database allowed performing RBE predictions in very good agreement with experimental data. A method was then developed to construct analogous databases for different cell lines, starting from the V79 database as a reference. Following interface to the FLUKA Monte Carlo radiation transport code, BIANCA was then applied for the first time to predict cell survival in a typical patient treatment scenario, consisting of two opposing fields of range-equivalent protons or C-ions. The model predictions were found to be in good agreement with CHO cell survival data obtained at the Heidelberg ion-beam therapy (HIT) centre, as well as predictions performed by the local effect model (version LEM IV). This work shows that BIANCA can be used to predict cell survival and RBE not only for V79 and AG01522 cells, as shown previously, but also, in principle, for any cell line of interest. Furthermore, following interface to a transport code like FLUKA, BIANCA can provide predictions of 3D biological dose distributions for hadron therapy treatments, thus laying the foundations for future applications in clinics.</t>
  </si>
  <si>
    <t>[Carante, M. P.; Ballarini, F.] Natl Inst Nucl Phys, Sez Pavia, Via Bassi 6, I-27100 Pavia, Italy; [Carante, M. P.; Ballarini, F.] Univ Pavia, Phys Dept, Via Bassi 6, I-27100 Pavia, Italy; [Arico, G.; Ferrari, A.; Kozlowska, W.] CERN European Org Nucl Res, Geneva, Switzerland; [Kozlowska, W.] Med Univ Vienna, Vienna, Austria; [Mairani, A.] HIT Heidelberg Ion Beam Therapy Ctr, Heidelberg, Germany; [Mairani, A.] CNAO, Pavia, Italy</t>
  </si>
  <si>
    <t>Istituto Nazionale di Fisica Nucleare (INFN); University of Pavia; European Organization for Nuclear Research (CERN); Medical University of Vienna; Centro Nazionale di Adroterapia Oncologica (CNAO)</t>
  </si>
  <si>
    <t>Ballarini, F (通訊作者)， Natl Inst Nucl Phys, Sez Pavia, Via Bassi 6, I-27100 Pavia, Italy.;Ballarini, F (通訊作者)， Univ Pavia, Phys Dept, Via Bassi 6, I-27100 Pavia, Italy.</t>
  </si>
  <si>
    <t>francesca.ballarini@unipv.it</t>
  </si>
  <si>
    <t>Ballarini, Francesca/J-7293-2013; Ballarini, Francesca/IAN-6671-2023; Kozlowska, Wioletta/AAS-4668-2020; Carante, Mario Pietro/HJI-6446-2023; Ferrari, Anna/E-9291-2015</t>
  </si>
  <si>
    <t>Ballarini, Francesca/0000-0002-6629-3382; Carante, Mario Pietro/0000-0002-9295-229X; Ferrari, Alfredo/0009-0005-0127-1114; Kozlowska, Wioletta Sandra/0000-0002-4899-1910;</t>
  </si>
  <si>
    <t>Italian National Institute of Nuclear Physics (project 'MC-INFN'); European Union's Horizon 2020 research and innovation programme under the Marie Sklodowska Curie grant [675265]</t>
  </si>
  <si>
    <t>Italian National Institute of Nuclear Physics (project 'MC-INFN'); European Union's Horizon 2020 research and innovation programme under the Marie Sklodowska Curie grant</t>
  </si>
  <si>
    <t>This work was supported by the Italian National Institute of Nuclear Physics (project 'MC-INFN'). GA wishes to thank the European Union's Horizon 2020 research and innovation programme under the Marie SklodowskaCurie grant agreement No 675265 OMA-optimisation of medical accelerators-for funding her research project.</t>
  </si>
  <si>
    <t>10.1088/1361-6560/ab490f</t>
  </si>
  <si>
    <t>JJ9RO</t>
  </si>
  <si>
    <t>WOS:000494489300001</t>
  </si>
  <si>
    <t>Hehn, L; Tilley, S; Pfeiffer, F; Stayman, JW</t>
  </si>
  <si>
    <t>Hehn, Lorenz; Tilley, Steven; Pfeiffer, Franz; Stayman, J. Webster</t>
  </si>
  <si>
    <t>Blind deconvolution in model-based iterative reconstruction for CT using a normalized sparsity measure</t>
  </si>
  <si>
    <t>blind deconvolution; statistical image reconstruction; iterative reconstruction; computed tomography</t>
  </si>
  <si>
    <t>IMAGE-RECONSTRUCTION; DETECTOR BLUR</t>
  </si>
  <si>
    <t>Model-based iterative reconstruction techniques for CT that include a description of the noise statistics and a physical forward model of the image formation process have proven to increase image quality for many applications. Specifically, including models of the system blur into the physical forward model and thus implicitly performing a deconvolution of the projections during tomographic reconstruction, could demonstrate distinct improvements, especially in terms of resolution. However, the results strongly rely on an exact characterization of all components contributing to the system blur. Such characterizations can be laborious and even a slight mismatch can diminish image quality significantly. Therefore, we introduce a novel objective function, which enables us to jointly estimate system blur parameters during tomographic reconstruction. Conventional objective functions are biased in terms of blur and can yield lowest cost to blurred reconstructions with low noise levels. A key feature of our objective function is a new normalized sparsity measure for CT based on total-variation regularization, constructed to be less biased in terms of blur. We outline a solving strategy for jointly recovering low-dimensional blur parameters during tomographic reconstruction. We perform an extensive simulation study, evaluating the performance of the regularization and the dependency of the different parts of the objective function on the blur parameters. Scenarios with different regularization strengths and system blurs are investigated, demonstrating that we can recover the blur parameter used for the simulations. The proposed strategy is validated and the dependency of the objective function with the number of iterations is analyzed. Finally, our approach is experimentally validated on test-bench data of a human wrist phantom, where the estimated blur parameter coincides well with visual inspection. Our findings are not restricted to attenuation-based CT and may facilitate the recovery of more complex imaging model parameters.</t>
  </si>
  <si>
    <t>[Hehn, Lorenz; Pfeiffer, Franz] Tech Univ Munich, Dept Phys, Chair Biomed Phys, D-85748 Garching, Germany; [Hehn, Lorenz; Pfeiffer, Franz] Tech Univ Munich, Munich Sch BioEngn, D-85748 Garching, Germany; [Hehn, Lorenz; Pfeiffer, Franz] Tech Univ Munich, Sch Med, Dept Diagnost &amp; Intervent Radiol, D-81675 Munich, Germany; [Hehn, Lorenz; Pfeiffer, Franz] Tech Univ Munich, Klinikum Rechts Isar, D-81675 Munich, Germany; [Tilley, Steven; Stayman, J. Webster] Johns Hopkins Univ, Dept Biomed Engn, Baltimore, MD 21205 USA</t>
  </si>
  <si>
    <t>Technical University of Munich; Technical University of Munich; Technical University of Munich; Technical University of Munich; Johns Hopkins University</t>
  </si>
  <si>
    <t>Hehn, L (通訊作者)， Tech Univ Munich, Dept Phys, Chair Biomed Phys, D-85748 Garching, Germany.;Hehn, L (通訊作者)， Tech Univ Munich, Munich Sch BioEngn, D-85748 Garching, Germany.;Hehn, L (通訊作者)， Tech Univ Munich, Sch Med, Dept Diagnost &amp; Intervent Radiol, D-81675 Munich, Germany.;Hehn, L (通訊作者)， Tech Univ Munich, Klinikum Rechts Isar, D-81675 Munich, Germany.</t>
  </si>
  <si>
    <t>lorenz.hehn@tum.de</t>
  </si>
  <si>
    <t>Pfeiffer, Franz/0000-0001-6665-4363; Stayman, Joseph/0000-0003-4358-378X</t>
  </si>
  <si>
    <t>DFG (Gottfried Wilhelm Leibniz program); NIH [F31EB023783]; German Research Foundation (DFG); Technical University of Munich (TUM)</t>
  </si>
  <si>
    <t>DFG (Gottfried Wilhelm Leibniz program)(German Research Foundation (DFG)); NIH(United States Department of Health &amp; Human ServicesNational Institutes of Health (NIH) - USA); German Research Foundation (DFG)(German Research Foundation (DFG)); Technical University of Munich (TUM)</t>
  </si>
  <si>
    <t>We thank Peter B Nol for making this collaboration possible and for useful discussions relevant to the presented paper. We acknowledge financial support through the DFG (Gottfried Wilhelm Leibniz program). This work was also supported, in part, by NIH Grant F31EB023783. This work was supported by the German Research Foundation (DFG) and the Technical University of Munich (TUM) in the framework of the Open Access Publishing Program.</t>
  </si>
  <si>
    <t>10.1088/1361-6560/ab489e</t>
  </si>
  <si>
    <t>JJ9RV</t>
  </si>
  <si>
    <t>WOS:000494490000001</t>
  </si>
  <si>
    <t>Sarrut, D; Krah, N; Létang, JM</t>
  </si>
  <si>
    <t>Sarrut, D.; Krah, N.; Letang, J. M.</t>
  </si>
  <si>
    <t>Generative adversarial networks (GAN) for compact beam source modelling in Monte Carlo simulations</t>
  </si>
  <si>
    <t>Monte-Carlo simulation; generative adversarial network; phase-space; linac</t>
  </si>
  <si>
    <t>PHOTON; IMPLEMENTATION; CODE</t>
  </si>
  <si>
    <t>A method is proposed and evaluated to model large and inconvenient phase space files used in Monte Carlo simulations by a compact generative adversarial network (GAN). The GAN is trained based on a phase space dataset to create a neural network, called Generator (G), allowing G to mimic the multidimensional data distribution of the phase space. At the end of the training process, G is stored with about 0.5 million weights, around 10 MB, instead of a few GB of the initial file. Particles are then generated with G to replace the phase space dataset. This concept is applied to beam models from linear accelerators (linacs) and from brachytherapy seed models. Simulations using particles from the reference phase space on one hand and those generated by the GAN on the other hand were compared. 3D distributions of deposited energy obtained from source distributions generated by the GAN were close to the reference ones, with less than 1% of voxel-by-voxel relative difference. Sharp parts such as the brachytherapy emission lines in the energy spectra were not perfectly modeled by the GAN. Detailed statistical properties and limitations of the GAN-generated particles still require further investigation, but the proposed exploratory approach is already promising and paves the way for a wide range of applications.</t>
  </si>
  <si>
    <t>[Sarrut, D.; Krah, N.; Letang, J. M.] Univ Lyon 1, Univ Lyon, Ctr Leon Berard, INSA Lyon,CREATIS,CNRS UMR5220,Inserm U1044, Villeurbanne, France; [Krah, N.] Univ Lyon, CNRS, IN2P3, IP2I Lyon,UMR 5822, Villeurbanne, France</t>
  </si>
  <si>
    <t>Centre National de la Recherche Scientifique (CNRS); CNRS - Institute for Engineering &amp; Systems Sciences (INSIS); UNICANCER; Centre Leon Berard; Institut National des Sciences Appliquees de Lyon - INSA Lyon; Universite Claude Bernard Lyon 1; Institut National de la Sante et de la Recherche Medicale (Inserm); Centre National de la Recherche Scientifique (CNRS); CNRS - National Institute of Nuclear and Particle Physics (IN2P3)</t>
  </si>
  <si>
    <t>Sarrut, D (通訊作者)， Univ Lyon 1, Univ Lyon, Ctr Leon Berard, INSA Lyon,CREATIS,CNRS UMR5220,Inserm U1044, Villeurbanne, France.</t>
  </si>
  <si>
    <t>david.sarrut@creatis.insa-lyon.fr</t>
  </si>
  <si>
    <t>; Létang, Jean/H-4170-2014; Letang, Jean Michel/H-4170-2014; Sarrut, David/F-4849-2010</t>
  </si>
  <si>
    <t>Krah, Nils/0000-0002-1376-6633; Letang, Jean Michel/0000-0003-2583-782X; Sarrut, David/0000-0002-4854-4141</t>
  </si>
  <si>
    <t>SIRIC LYriCAN Grant [INCa-INSERM-DGOS-12563]; LABEX PRIMES of Universite de Lyon within the program Investissements d'Avenir [ANR-11-LABX-0063, ANR-11-IDEX-0007]; NVIDIA Corporation</t>
  </si>
  <si>
    <t>SIRIC LYriCAN Grant; LABEX PRIMES of Universite de Lyon within the program Investissements d'Avenir(Agence Nationale de la Recherche (ANR)); NVIDIA Corporation(Nvidia Corporation)</t>
  </si>
  <si>
    <t>This work was performed within the framework of the SIRIC LYriCAN Grant INCa-INSERM-DGOS-12563, and the LABEX PRIMES (ANR-11-LABX-0063) of Universite de Lyon, within the program Investissements d'Avenir (ANR-11-IDEX-0007) operated by the ANR. We gratefully acknowledge the support of NVIDIA Corporation with the donation of the Titan Xp GPU used for this research.</t>
  </si>
  <si>
    <t>10.1088/1361-6560/ab3fc1</t>
  </si>
  <si>
    <t>WOS:000518764400004</t>
  </si>
  <si>
    <t>Therriault-Proulx, F; Pino, R; Yang, JN; Beddar, AS</t>
  </si>
  <si>
    <t>Therriault-Proulx, Francois; Pino, Ramiro; Yang, James N.; Beddar, A. Sam</t>
  </si>
  <si>
    <t>Quality assurance for Gamma Knife Perfexion using the Exradin W1 plastic scintillation detector and Lucy phantom</t>
  </si>
  <si>
    <t>Gamma Knife; scintillation detectors; Exradin W1 Scintillaror; radiosurgery commissioning; output factors</t>
  </si>
  <si>
    <t>CRYSTAL DIAMOND DETECTOR; MONTE-CARLO; SMALL FIELDS; RELATIVE DOSIMETRY; OUTPUT FACTOR; DOSE-RESPONSE; PHOTON BEAMS; CALIBRATION; COLLIMATORS; SIMULATION</t>
  </si>
  <si>
    <t>The goal of this work is to validate the use of the Exradin W1 plastic scintillation detector (PSD) to measure profiles and output factors from Gamma Knife Perfexion collimators in a Lucy phantom. The Exradin W1 PSD has a small-volume, near-water-equivalent, energy-independent sensitive element. Output measurements were performed for all 3 collimators (4?mm, 8?mm, and 16?mm) of the Gamma Knife Perfexion system, and these measurements were compared to measurements made with an A16 ion chamber and an EBT3 film and to the nominal values. We showed that a configuration in which the focus or ?shot? moves while the detector remains fixed is essentially equivalent to a configuration in which the focus is fixed while the detector moves. A Lucy phantom containing a PSD was moved in small steps to acquire profiles in all three dimensions. EBT3 film was inserted in the Lucy phantom and exposed to a single shot for each collimator. The relative values for output factors measured with the PSD were 1.000, 0.892, and 0.795, for the 16?mm, 8?mm, and 4?mm collimators, respectively. The values measured with EBT3 film were 1.000, 0.881, and 0.793, and the values measured with the A16 ion chamber were 1.000, 0.883, and 0.727. The nominal output factors for the Gamma Knife Perfexion are 1.000, 0.900, and 0.814, respectively. There was excellent agreement between all profiles measured with the PSD and EBT3 as well as with the treatment planning system data provided by the vendor. In light of our results, the Exradin W1 PSD is well suited for beam quality assurance of a Gamma Knife Perfexion irradiator.</t>
  </si>
  <si>
    <t>[Therriault-Proulx, Francois; Pino, Ramiro; Yang, James N.; Beddar, A. Sam] Univ Texas MD Anderson Canc Ctr, Dept Radiat Phys, Houston, TX 77030 USA; [Pino, Ramiro] Houston Methodist Hosp, Dept Radiat Oncol, Houston, TX 77030 USA</t>
  </si>
  <si>
    <t>University of Texas System; UTMD Anderson Cancer Center; Houston Methodist</t>
  </si>
  <si>
    <t>Beddar, AS (通訊作者)， Univ Texas MD Anderson Canc Ctr, Dept Radiat Phys, Houston, TX 77030 USA.</t>
  </si>
  <si>
    <t>abeddar@mdanderson.org</t>
  </si>
  <si>
    <t>Beddar, Sam/0000-0001-5825-110X</t>
  </si>
  <si>
    <t>Odyssey Program at The University of Texas MD Anderson Cancer Center; National Cancer Institute of the National Institutes of Health [R01CA182450]</t>
  </si>
  <si>
    <t>Odyssey Program at The University of Texas MD Anderson Cancer Center; National Cancer Institute of the National Institutes of Health(United States Department of Health &amp; Human ServicesNational Institutes of Health (NIH) - USANIH National Cancer Institute (NCI))</t>
  </si>
  <si>
    <t>The authors would like to thank Standard Imaging, Inc., for lending us the PSD adaptor for the Lucy phantom used in this project. F Therriault-Proulx was supported by the Odyssey Program at The University of Texas MD Anderson Cancer Center. S Beddar and the research reported in this publication were supported in part by the National Cancer Institute of the National Institutes of Health under award number R01CA182450. The content is solely the responsibility of the authors and does not necessarily represent the official views of the National Institutes of Health. We also would like to thank Amy L Ninetto from the Department of Scientific Publications at MD Anderson for editing our manuscript.</t>
  </si>
  <si>
    <t>10.1088/1361-6560/ab4ac3</t>
  </si>
  <si>
    <t>JR9SK</t>
  </si>
  <si>
    <t>WOS:000499955900001</t>
  </si>
  <si>
    <t>Breedveld, S; Bennan, ABA; Aluwini, S; Schaart, DR; Kolkman-Deurloo, IKK; Heijmen, BM</t>
  </si>
  <si>
    <t>Breedveld, Sebastiaan; Bennan, Amit B. A.; Aluwini, Shafak; Schaart, Dennis R.; Kolkman-Deurloo, Inger-Karine K.; Heijmen, Ben J. M.</t>
  </si>
  <si>
    <t>Fast automated multi-criteria planning for HDR brachytherapy explored for prostate cancer</t>
  </si>
  <si>
    <t>high dose rate brachytherapy; prostate; multi-criteria optimisation; automated treatment planning</t>
  </si>
  <si>
    <t>DOSE-RATE BRACHYTHERAPY; OPTIMIZATION; RADIOTHERAPY; QUALITY; MONOTHERAPY; GENERATION; AAPM</t>
  </si>
  <si>
    <t>We developed a fast and fully-automated, multi-criteria treatment planning workflow for high dose rate brachytherapy (HDR-BT). In this workflow, the patient-CT with catheter reconstructions and dwell positions are imported from the clinical TPS into a novel system for automated dwell time optimisation. The optimised dwell times are then imported into the clinical TPS. The aims of automation were (1) planner-independent, enhanced plan quality, (2) short optimisation times. Our in-house developed system for fully automated, multi-criteria external beam radiotherapy (EBRT) treatment planning (Erasmus-iCycle) was adapted for optimisation of HDR-BT dose distributions. The investigations were performed with planning CT scans with catheter reconstructions and delineations of twenty-five low- and intermediate-risk prostate cancer patients who were previously treated in our center with 4 x 9.5 Gy HDR-BT. Automatically generated plans (autoplans) were compared to the corresponding clinical plans. All evaluations were performed in the clinical TPS. The requested 95% tumour coverage was obtained for all autoplans, while this was only observed in 23/25 clinical plans. All autoplans showed a consistent reduction of the D-1% for the highest prioritised OAR, the urethra. The average and maximum reductions were 6.3%-point and 12.1%-point of the prescribed dose, respectively. In addition, conformality of the autoplans was higher. The autoplans had slightly smaller delivery times. Autoplanning took on average 4.6 s, including computation of the dose kernels.</t>
  </si>
  <si>
    <t>[Breedveld, Sebastiaan; Bennan, Amit B. A.; Aluwini, Shafak; Kolkman-Deurloo, Inger-Karine K.; Heijmen, Ben J. M.] Univ Med Ctr Rotterdam, Erasmus MC Canc Inst, Dept Radiat Oncol, POB 2040, NL-3000 CA Rotterdam, Netherlands; [Bennan, Amit B. A.; Schaart, Dennis R.] Delft Univ Technol, Radiat Sci &amp; Technol, Mekelweg 15, NL-2629 JB Delft, Netherlands</t>
  </si>
  <si>
    <t>Erasmus University Rotterdam; Erasmus MC; Erasmus MC Cancer Institute; Delft University of Technology</t>
  </si>
  <si>
    <t>Breedveld, S (通訊作者)， Univ Med Ctr Rotterdam, Erasmus MC Canc Inst, Dept Radiat Oncol, POB 2040, NL-3000 CA Rotterdam, Netherlands.</t>
  </si>
  <si>
    <t>s.breedveld@erasmusmc.nl</t>
  </si>
  <si>
    <t>; Schaart, Dennis/C-7136-2014</t>
  </si>
  <si>
    <t>Kolkman-Deurloo, Inger-Karine/0009-0004-8452-3198; Breedveld, Sebastiaan/0000-0001-8954-4554; Schaart, Dennis/0000-0002-3199-5608; Heijmen, Ben/0000-0003-1647-0528; Bennan, Amit Ben Antony/0000-0001-5599-7870</t>
  </si>
  <si>
    <t>10.1088/1361-6560/ab44ff</t>
  </si>
  <si>
    <t>WOS:000500247900002</t>
  </si>
  <si>
    <t>Je, E; Lee, HHC; Duan, XH; Li, B; Jia, X; Yang, M</t>
  </si>
  <si>
    <t>Je, Euikyu; Lee, Hugh H. C.; Duan, Xinhui; Li, Bin; Jia, Xun; Yang, Ming</t>
  </si>
  <si>
    <t>Optimal energy selection for proton stopping-power-ratio estimation using dual-energy CT-based monoenergetic imaging</t>
  </si>
  <si>
    <t>virtual monoenergetic imaging; dual energy computed tomography; proton stopping power ratio; stoichiometric calibration; proton therapy; treatment planning; human tissue composition</t>
  </si>
  <si>
    <t>COMPREHENSIVE ANALYSIS; COMPUTED-TOMOGRAPHY; CALIBRATION; PREDICTION; HEAD</t>
  </si>
  <si>
    <t>The dual-energy computed tomography (DECT)-based approach holds promise in reducing the overall uncertainty in proton stopping-power-ratio (SPR) estimation, but cannot be easily implemented with most commercial proton treatment planning systems (TPS). In this study, we revisited the idea of coupling the stoichiometric calibration method with virtual monoenergetic CT datasets (MonoCT) generated by modern DECT scanners, because of its readiness for implementation with the existing TPS. Our objective was to determine the optimal energy of the MonoCT dataset for stoichiometric calibration and estimate the overall uncertainty in SPR estimation at the optimal energy. We performed stoichiometric calibration for MonoCT datasets across the energy range available on a Siemens Force DECT scanner and a Philips IQon DECT scanner in a 10 keV step. We estimated the uncertainties of different sources (imaging, modeling, and inherent uncertainties) for different tissue types (lung, soft, and bone tissues) associated with each energy; these were then combined into a single composite uncertainty for three tumor sites (head-and-neck (HN), lung, and prostate). The optimal energy was eventually selected based on the composite range uncertainty, which turned out to be 160 keV for both DECT scanners. At 160 keV, the total uncertainties (2s) in SPR estimation were determined to be 3.2%-4.5%, 0.9%, and 1.4%-1.6% for lung, soft, and bony tissues, respectively. These results were comparable to the corresponding values estimated for the DECT approach evaluated in our previous study: 3.8%, 1.2% and 2.0%, for lung, soft, and bony tissues, respectively. The composite range uncertainties (2s) were estimated as 1.5%, 1.7%, and 1.5% for prostate, lung, and HN, respectively. Our results demonstrated the potential of MonoCT images for reducing proton SPR uncertainty. Further clinical studies are needed to compare this approach with the DECT approach directly on real patient cases.</t>
  </si>
  <si>
    <t>[Je, Euikyu; Lee, Hugh H. C.; Jia, Xun] Univ Texas Southwestern Med Ctr Dallas, Dept Radiat Oncol, Dallas, TX 75390 USA; [Duan, Xinhui] Univ Texas Southwestern Med Ctr Dallas, Dept Radiol, Dallas, TX 75390 USA; [Li, Bin] Sun Yat Sen Univ, Collaborat Innovat Ctr Canc Med, State Key Lab Oncol South China, Canc Ctr, Guangzhou 510060, Guangdong, Peoples R China; [Yang, Ming] Univ Texas MD Anderson Canc Ctr, Dept Radiat Phys, Houston, TX 77030 USA</t>
  </si>
  <si>
    <t>University of Texas System; University of Texas Southwestern Medical Center; University of Texas System; University of Texas Southwestern Medical Center; State Key Lab Oncology South China; Sun Yat Sen University; University of Texas System; UTMD Anderson Cancer Center</t>
  </si>
  <si>
    <t>Yang, M (通訊作者)， Univ Texas MD Anderson Canc Ctr, Dept Radiat Phys, Houston, TX 77030 USA.</t>
  </si>
  <si>
    <t>myang1@mdanderson.org</t>
  </si>
  <si>
    <t>; Li, Bin/LUY-7795-2024; Lee, Heui/AAL-1927-2020; Duan, Xinhui/ABD-4706-2020</t>
  </si>
  <si>
    <t>Yang, Ming/0000-0001-9122-0401; Lee, Heui Chang/0000-0003-1325-1530; Duan, Xinhui/0000-0001-8812-0768;</t>
  </si>
  <si>
    <t>Cancer Prevention and Research Institute of Texas [RP160661]; NIH [P20CA183639-01A1]</t>
  </si>
  <si>
    <t>Cancer Prevention and Research Institute of Texas(Cancer Prevention &amp; Research Institute of Texas); NIH(United States Department of Health &amp; Human ServicesNational Institutes of Health (NIH) - USA)</t>
  </si>
  <si>
    <t>We thank Parkland Hospital for granting access to the Siemens SOMATOM Force DECT scanner. We thank Dr Damiana Chiavolini for editing this manuscript. This work was partially supported by the Cancer Prevention and Research Institute of Texas Grant (RP160661) and NIH Grant (P20CA183639-01A1).</t>
  </si>
  <si>
    <t>10.1088/1361-6560/ab3dec</t>
  </si>
  <si>
    <t>WOS:000505954900002</t>
  </si>
  <si>
    <t>Höfel, S; Fix, MK; Zwicker, F; Sterpin, E; Drescher, M</t>
  </si>
  <si>
    <t>Hoefel, Sebastian; Fix, Michael K.; Zwicker, Felix; Sterpin, Edmond; Drescher, Malte</t>
  </si>
  <si>
    <t>EPR imaging of magnetic field effects on radiation dose distributions around millimeter-size air cavities</t>
  </si>
  <si>
    <t>EPR imaging; radiotherapy; MR-linac; MRgRT; irradiated quartz; dosimetry</t>
  </si>
  <si>
    <t>ELECTRON-PARAMAGNETIC-RESONANCE; RAPID-SCAN EPR; HIGH-PURITY; SPIN-RESONANCE; RADIOTHERAPY; TRANSVERSE; CENTERS; DOSIMETRY; DEFECTS; RECONSTRUCTION</t>
  </si>
  <si>
    <t>New hybrid radiotherapy treatment systems combining an MRI scanner with a source of ionizing radiation are being introduced in the clinic. The strong magnetic fields of MRI considerably affect radiation dose distributions, especially at tissue-air interfaces due to the electron return effect (ERE). Experimental investigation of the ERE within a sub-millimeter thick surface layer is still highly challenging. In the present work, we examine and quantify the magnetic field induced perturbations of dose distributions within a 0.5 mm layer surrounding millimeter-size air cavities by applying electron paramagnetic resonance imaging (EPRI). Air-filled fused quartz tubes (inner diameter 3 or 4 mm) mimic small air cavities and serve as model systems. The tubes were irradiated inside a PMMA phantom by a 6 MV photon beam. The irradiations were performed in the presence or absence of a transverse, magnetic field providing a magnetic field strength of 1.0 Tesla. The spatial distributions of radiation induced paramagnetic defects in the quartz tubes were subsequently determined by applying field-swept echo-detected EPRI and were then converted to relative dose distributions. The transverse magnetic field leads to considerable local dose enhancements and reductions (up to 35%) with respect to the mean dose within the quartz tubes. The experimentally determined dose distributions are in good quantitative agreement with Monte Carlo radiation transport simulations. The results of this work demonstrate the feasibility of field-swept echo-detected EPRI to measure magnetic field induced perturbations of dose distributions within a sub-millimeter thick surface layer at the dosimeter-air interface.</t>
  </si>
  <si>
    <t>[Hoefel, Sebastian; Drescher, Malte] Univ Konstanz, Dept Chem, Constance, Germany; [Hoefel, Sebastian; Drescher, Malte] Univ Konstanz, Konstanz Res Sch Chem Biol, Constance, Germany; [Hoefel, Sebastian; Zwicker, Felix] Klin &amp; Praxis Strahlentherapie Klinikum Konstanz, Constance, Germany; [Fix, Michael K.] Bern Univ Hosp, Inselspital, Div Med Radiat Phys, Bern, Switzerland; [Fix, Michael K.] Bern Univ Hosp, Inselspital, Dept Radiat Oncol, Bern, Switzerland; [Fix, Michael K.] Univ Bern, Bern, Switzerland; [Sterpin, Edmond] Katholieke Univ Leuven, Dept Oncol, Lab Expt Radiotherapy, Leuven, Belgium; [Sterpin, Edmond] Catholic Univ Louvain, Ctr Mol Imaging Radiotherapy &amp; Oncol, Brussels, Belgium</t>
  </si>
  <si>
    <t>University of Konstanz; University of Konstanz; University of Bern; University Hospital of Bern; University of Bern; University Hospital of Bern; University of Bern; KU Leuven; Universite Catholique Louvain</t>
  </si>
  <si>
    <t>Drescher, M (通訊作者)， Univ Konstanz, Dept Chem, Constance, Germany.;Drescher, M (通訊作者)， Univ Konstanz, Konstanz Res Sch Chem Biol, Constance, Germany.</t>
  </si>
  <si>
    <t>malte.drescher@uni-konstanz.de</t>
  </si>
  <si>
    <t>Sterpin, Edmond/AAS-3795-2021; Drescher, Malte/B-2578-2012</t>
  </si>
  <si>
    <t>Hofel, Sebastian/0000-0002-3630-0000; Fix, Michael/0000-0002-3911-3403</t>
  </si>
  <si>
    <t>Accuray for the simulation of the TomoTherapy machine</t>
  </si>
  <si>
    <t>All authors disclose any potential conflict of interest. Edmond Sterpin was partially supported by Accuray for the simulation of the TomoTherapy machine.</t>
  </si>
  <si>
    <t>10.1088/1361-6560/ab325b</t>
  </si>
  <si>
    <t>Green Accepted, Green Published</t>
  </si>
  <si>
    <t>WOS:000484508700006</t>
  </si>
  <si>
    <t>Rudek, B; McNamara, A; Ramos-Méndez, J; Byrne, H; Kuncic, Z; Schuemann, J</t>
  </si>
  <si>
    <t>Rudek, Benedikt; McNamara, Aimee; Ramos-Mendez, Jose; Byrne, Hilary; Kuncic, Zdenka; Schuemann, Jan</t>
  </si>
  <si>
    <t>Radio-enhancement by gold nanoparticles and their impact on water radiolysis for x-ray, proton and carbon-ion beams</t>
  </si>
  <si>
    <t>nanoparticle; radioenhancement; radiation therapy; radiolysis; Monte Carlo simulation</t>
  </si>
  <si>
    <t>MONTE-CARLO-SIMULATION; DOSE ENHANCEMENT; TOPAS-NBIO; DEPENDENCE; ENERGY; RADIOTHERAPY; EXTENSION; TOOLKIT; CELLS; SIZE</t>
  </si>
  <si>
    <t>Gold nanoparticle (GNP) radio-enhancement is a promising technique to increase the dose deposition in a tumor while sparing neighboring healthy tissue. Previous experimental studies showed effects on cell survival and tumor control for keV x-rays but surprisingly also for MV-photons, proton and carbon-ion beams. In a systematic study, we use the Monte Carlo simulation tool TOPAS-nBio to model the GNP radio-enhancement within a cell as a function of GNP concentration, size and clustering for a wide range of energies for photons, protons and, for the first time, carbon-ions. Moreover, we include water radiolysis, which has been recognized as a major pathway of GNP mediated radio-enhancement. At a GNP concentration of 0.5% and a GNP diameter of 10 nm, the dose enhancement ratio was highest for 50 keV x-rays (1.36) and decreased in the orthovoltage (1.04 at 250 keV) and megavoltage range (1.01 at 1 MeV). The dose enhancement linearly increased with GNP concentration and decreased with GNP size and degree of clustering for all radiation modalities. While the highest physical dose enhancement at 5% concentrations was only 1.003 for 10 MeV protons and 1.004 for 100 MeV carbon-ions, we find the number of hydroxyl (center dot OH) altered by 23% and 3% after 1 mu s at low, clinically-relevant concentrations. For the same concentration and proton-impact, the G-value is most sensitive to the nanoparticle size with 46 times more radical interactions at GNPs for 2 nm than for 50 nm GNP diameter within 1 mu s. Nanoparticle clustering was found to decrease the number of interactions at GNPs, e.g. for a cluster of 25 GNPs by a factor of 3.4. The changes in G-value correlate to the average distance between the chemical species and the GNPs. While the radiochemistry of GNP-loaded water has yet to be fully understood, this work offers a first relative quantification of radiolysis products for a broad parameter-set.</t>
  </si>
  <si>
    <t>[Rudek, Benedikt; McNamara, Aimee; Schuemann, Jan] Massachusetts Gen Hosp, Dept Radiat Oncol, Boston, MA 02114 USA; [Rudek, Benedikt] Boston Univ, Dept Phys, 590 Commonwealth Ave, Boston, MA 02215 USA; [Rudek, Benedikt] Phys Tech Bundesanstalt, Dept Ionizing Radiat, Braunschweig, Germany; [McNamara, Aimee; Schuemann, Jan] Harvard Med Sch, Boston, MA 02115 USA; [Ramos-Mendez, Jose] Univ Calif San Francisco, Dept Radiat Oncol, San Francisco, CA 94143 USA; [Byrne, Hilary; Kuncic, Zdenka] Univ Sydney, Sch Phys, Sydney, NSW, Australia; [Kuncic, Zdenka] Univ Sydney, Sydney Nano Inst, Sydney, NSW, Australia</t>
  </si>
  <si>
    <t>Harvard University; Harvard University Medical Affiliates; Massachusetts General Hospital; Boston University; Physikalisch-Technische Bundesanstalt (PTB); Harvard University; Harvard Medical School; University of California System; University of California San Francisco; University of Sydney; University of Sydney</t>
  </si>
  <si>
    <t>Rudek, B (通訊作者)， Massachusetts Gen Hosp, Dept Radiat Oncol, Boston, MA 02114 USA.;Rudek, B (通訊作者)， Boston Univ, Dept Phys, 590 Commonwealth Ave, Boston, MA 02215 USA.;Rudek, B (通訊作者)， Phys Tech Bundesanstalt, Dept Ionizing Radiat, Braunschweig, Germany.</t>
  </si>
  <si>
    <t>brudek@mgh.harvard.edu</t>
  </si>
  <si>
    <t>McNamara, Aimee/C-9432-2009; Schuemann, Jan/A-4346-2011; Rudek, Benedikt/A-5100-2017; Byrne, Hilary/Q-5207-2019; Kuncic, Zdenka/B-4464-2008; Ramos-Mendez, Jose/J-8491-2019; Byrne, Hilary/B-2115-2014</t>
  </si>
  <si>
    <t>Schuemann, Jan/0000-0002-7554-8818; McNamara, Aimee/0000-0001-8792-0464; Rudek, Benedikt/0000-0002-6404-4294; Byrne, Hilary/0000-0001-7023-7976; Ramos-Mendez, Jose Asuncion/0000-0002-8106-5142; Kuncic, Zdenka/0000-0001-6765-3215</t>
  </si>
  <si>
    <t>National Cancer Institute [R01 CA187003]; German Research Foundation, DFG [RU 2197/1-1]</t>
  </si>
  <si>
    <t>National Cancer Institute(United States Department of Health &amp; Human ServicesNational Institutes of Health (NIH) - USANIH National Cancer Institute (NCI)); German Research Foundation, DFG(German Research Foundation (DFG))</t>
  </si>
  <si>
    <t>This work was supported by the National Cancer Institute under R01 CA187003 (TOPAS nBio, a Monte Carlo tool for radiation biology research) and by the German Research Foundation, DFG, with Grant No. RU 2197/1-1.</t>
  </si>
  <si>
    <t>10.1088/1361-6560/ab314c</t>
  </si>
  <si>
    <t>WOS:000483095200005</t>
  </si>
  <si>
    <t>Li, X; Zhang, W; Wang, XW; Chen, X; Pan, HL; Ruan, Y; Khaledi, N; Wei, TH; He, XD; Zhuo, WH; Shao, CL; Pan, Y; Shi, LQ; Fu, S; Wang, XF</t>
  </si>
  <si>
    <t>Li, Xiang; Zhang, Wei; Wang, Xiaowa; Chen, Xue; Pan, Hailun; Ruan, Yue; Khaledi, Navid; Wei, Tianhao; He, Xiaodong; Zhuo, Weihai; Shao, Chunlin; Pan, Yan; Shi, Liqun; Fu, Shen; Wang, Xufei</t>
  </si>
  <si>
    <t>Charged particle radiobiology beamline using tandem accelerator-based MeV protons and carbon ions: a pilot study on the track-end radiation quality, variable biological effectiveness and Bayesian beam dosimetry</t>
  </si>
  <si>
    <t>TOPAS; proton; carbon ion; linear energy transfer (LET); relative biological effectiveness (RBE); dosimetry; Bayesian model</t>
  </si>
  <si>
    <t>LINEAR-ENERGY-TRANSFER; MAMMALIAN-CELLS; MODEL; THERAPY; RBE; SURVIVAL; SIMULATIONS; SENSITIVITY; IRRADIATION; LESIONS</t>
  </si>
  <si>
    <t>For in vitro cell irradiation using tandem accelerator-based MeV protons and carbon ions, by TOPAS simulation, a pilot study of performance evaluation is presented on a collimation beamline for 3 MeV protons and 10 MeV carbon ions from a 2 x 3 MV tandem accelerator. Based on the elements and source parameters, a collimated beam of 2.8 MeV protons or 2.5 MeV carbon ions, with 5.175 mm or 5.166 mm full width tenth maximum (FWTM), respectively, can be delivered to the target cell dish. TOPAS simulations and/or deterministic algorithms present a Bragg curve of linear energy transfer (LET) (10-70 keV mu m(-1)) along a 138 mu m range of the proton beam, and a declining LET of the carbon beam (900-100 keV mu m(-1)) within 4 mu m range. Based on the biophysical models for relative biological effectiveness (RBE) of protons, TOPAS RBE scorers presents a set of depth-variation curves of the proton RBE (for V79 and DU145 cells), linearly related to the Bragg curve of the proton LET. Based on the microdosimetric-kinetic (MK) theory, in the 4 mu m range for a monolayer cell thickness, the mean RBEa (V79 cells) of the carbon ion beam is estimated as 3.612 (late S phase) and 1.737 (G(1)/S phase) for the mean LET of 492 keV mu m(-1). For practical irradiations, a tunable proton RBE can be acquired by changing the thickness of the cell dish. For the low-energy high-fluence (rate) beams, indirect beam measurements are proposed to detect the proton-beam induced scattering/recoil protons from a beam-intercepting Mylar film, and the carbon-beam induced backscattered electrons from a gold-deposited Havar-foil beam window. Statistical dosimetry for the indirect measurement is established, using a Bayesian model based on the preset number of detection counts, by which the mean value of the whole-dish dose can be prescribed and the uncertainty introduced in the survival data can be corrected.</t>
  </si>
  <si>
    <t>[Li, Xiang; Zhang, Wei; Wang, Xiaowa; Pan, Hailun; Ruan, Yue; Khaledi, Navid; Wei, Tianhao; Shi, Liqun; Wang, Xufei] Fudan Univ, Inst Modern Phys, Shanghai 200433, Peoples R China; [Li, Xiang; Zhang, Wei; Wang, Xiaowa; Pan, Hailun; Ruan, Yue; Khaledi, Navid; Wei, Tianhao; Shi, Liqun; Wang, Xufei] Fudan Univ, Key Lab Nucl Phys &amp; Ion Beam Applicat MOE, Shanghai 200433, Peoples R China; [Chen, Xue; Fu, Shen] Fudan Univ, Dept Radiat Oncol, Shanghai Canc Ctr, Shanghai, Peoples R China; [Zhuo, Weihai; Shao, Chunlin; Pan, Yan] Fudan Univ, Inst Radiat Med, Shanghai 200032, Peoples R China; [He, Xiaodong] Shanghai Jiao Tong Univ, Sch Med, Radiotherapy Dept, Ruijin Hosp, Shanghai 200025, Peoples R China</t>
  </si>
  <si>
    <t>Fudan University; Chinese Academy of Sciences; Fudan University; Fudan University; Fudan University; Shanghai Jiao Tong University</t>
  </si>
  <si>
    <t>Wang, XF (通訊作者)， Fudan Univ, Inst Modern Phys, Shanghai 200433, Peoples R China.;Wang, XF (通訊作者)， Fudan Univ, Key Lab Nucl Phys &amp; Ion Beam Applicat MOE, Shanghai 200433, Peoples R China.</t>
  </si>
  <si>
    <t>wangxufei@fudan.edu.cn</t>
  </si>
  <si>
    <t>Zhang, Wei/N-3655-2013; Shao, Chunlin/AFP-1507-2022</t>
  </si>
  <si>
    <t>Pan, Yan/0000-0003-4307-3616; Zhuo, Weihai/0000-0002-4913-8057; Shao, Chunlin/0000-0001-9336-9912</t>
  </si>
  <si>
    <t>National Natural Science Foundation of China [11375047, 11005019]; Key R&amp;D Program of Ministry of Science and Technology [2017YFC0107600]; National Key Research and Development Program of China [2016YFF0200804]; Shanghai Scientific Research Project [18441905600]</t>
  </si>
  <si>
    <t>National Natural Science Foundation of China(National Natural Science Foundation of China (NSFC)); Key R&amp;D Program of Ministry of Science and Technology; National Key Research and Development Program of China(National Key Research &amp; Development Program of China); Shanghai Scientific Research Project</t>
  </si>
  <si>
    <t>This work was supported by National Natural Science Foundation of China (No. 11375047, 11005019), Key R&amp;D Program of Ministry of Science and Technology (No. 2017YFC0107600), National Key Research and Development Program of China (No. 2016YFF0200804) and Shanghai Scientific Research Project (18441905600).</t>
  </si>
  <si>
    <t>10.1088/1361-6560/ab21fa</t>
  </si>
  <si>
    <t>WOS:000481852600004</t>
  </si>
  <si>
    <t>Rix, KR; Dreier, T; Shen, T; Beck, M</t>
  </si>
  <si>
    <t>Rix, Kristian R.; Dreier, Till; Shen, Tao; Beck, Martin</t>
  </si>
  <si>
    <t>Super-resolution x-ray phase-contrast and dark-field imaging with a single 2D grating and electromagnetic source stepping</t>
  </si>
  <si>
    <t>x-ray imaging; dark field; differential phase contrast; movable micro focus x-ray source; single exposure imaging; super resolution</t>
  </si>
  <si>
    <t>Here we report a method for increased resolution of single exposure three modality x-ray images using super-resolution. The three x-ray image modalities are absorption-, differential phase-contrast-, and dark-field-images. To create super-resolution, a non-mechanically movable microfocus x-ray source is used. A series of almost identical x-ray projection images is obtained while the point source is translated in a two-dimensional grid pattern. The three image modalities are extracted from fourier space using spatial harmonic analysis, also known as the single-shot method. Using super-resolution on the low-resolution series of the three modalities separately results in high-resolution images for the modalities. This approach allows to compensate for the inherent loss in resolution caused by the single-shot method without increasing the need for stability or algorithms accounting for possible motion.</t>
  </si>
  <si>
    <t>[Rix, Kristian R.] Univ Copenhagen, Niels Bohr Inst, Xray &amp; Neutron Sci, DK-2100 Copenhagen, Denmark; [Dreier, Till; Shen, Tao; Beck, Martin] Lund Univ, Dept Med Radiat Phys, Clin Sci Lund, S-22185 Lund, Sweden; [Dreier, Till] Excillum AB, Jan Stenbecks Torg 17, S-16440 Kista, Sweden; [Shen, Tao] KIT, D-76131 Karlsruhe, Germany</t>
  </si>
  <si>
    <t>University of Copenhagen; Niels Bohr Institute; Lund University; Helmholtz Association; Karlsruhe Institute of Technology</t>
  </si>
  <si>
    <t>Beck, M (通訊作者)， Lund Univ, Dept Med Radiat Phys, Clin Sci Lund, S-22185 Lund, Sweden.</t>
  </si>
  <si>
    <t>martin.bech@med.lu.se</t>
  </si>
  <si>
    <t>Bech, Martin/K-4331-2012</t>
  </si>
  <si>
    <t>Bech, Martin/0000-0001-9109-7175; Dreier, Till/0000-0002-6632-402X</t>
  </si>
  <si>
    <t>Swedish Foundation for Strategic Research (SSF) [ID17-0097]; Swedish Research Council [E0605401, E0605402]; Swedish Foundation for Strategic Research (SSF) [ID17-0097] Funding Source: Swedish Foundation for Strategic Research (SSF)</t>
  </si>
  <si>
    <t>Swedish Foundation for Strategic Research (SSF)(Swedish Foundation for Strategic Research); Swedish Research Council(Swedish Research Council); Swedish Foundation for Strategic Research (SSF)(Swedish Foundation for Strategic Research)</t>
  </si>
  <si>
    <t>This project is financially supported by the Swedish Foundation for Strategic Research (SSF) Grant No. ID17-0097 and by the Swedish Research Council Grant No. E0605401 and E0605402.</t>
  </si>
  <si>
    <t>10.1088/1361-6560/ab2ff5</t>
  </si>
  <si>
    <t>WOS:000481852600009</t>
  </si>
  <si>
    <t>Weiss, S; Nejad-Davarani, S; Eggers, H; Orasanu, E; Renisch, S; Glide-Hurst, C</t>
  </si>
  <si>
    <t>Weiss, Steffen; Nejad-Davarani, Siarnak; Eggers, Holger; Orasanu, Eliza; Renisch, Steffen; Glide-Hurst, Carri</t>
  </si>
  <si>
    <t>A novel and rapid approach to estimate patient-specific distortions based on mDIXON MRI</t>
  </si>
  <si>
    <t>distortion; MR only radiation treatment planning; MRI</t>
  </si>
  <si>
    <t>GEOMETRIC DISTORTION; CT; SEGMENTATION</t>
  </si>
  <si>
    <t>While MRI-only radiation treatment planning (RTP) is becoming more widespread, a robust clinical solution for patient-specific distortion corrections is not available. This work explores B-0 mapping based on mDIXON imaging, often performed for MR-only RTP, as an alternative to separate dual-acquisition gradient-recalled echo imaging, with the overarching goal of developing an efficient and robust approach for patient-specific distortion correction. Initial benchmarking was conducted by scanning a phantom and generating B-0 field maps with two approaches: (1) conventional B-0 mapping and (2) experimental mDIXON imaging. Distortion maps were derived from the field maps and compared. The head and neck regions, including brain, often healthy volunteers were then evaluated at 1.5 T and 3 T. Distortion maps were again compared between approaches, using difference maps and histogram analysis. Overall, conventional B-0 mapping was well approximated by mDIXON imaging: The distortions of 95% of the voxels in the phantom estimated by mDIXON and conventional B-0 mapping differed by &lt;0.02 mm (1.5 T) and &lt;0.04 mm (3 T), while the 95-percentiles of the distortions estimated by conventional B-0 mapping were &lt;0.06 mm (1.5 T) and &lt;0.12 mm (3 T). In head and neck the distortions of 99% of the voxels were within +/- 0.2 mm at 1.5 T for both approaches and within +/- 0.4 mm and +/- 0.5 mm at 3 T for mDIXON imaging and conventional B-0 mapping, respectively. The majority of differences in vivo were confined to regions with high spatial variation of the Bo field, mostly around internal air cavities. For 1.5 T, the mDIXON imaging-based correction alone reduced the 95-percentile of distortions from 0.15 mm to 0.03 mm and within the brain from 0.06 mm to 0.02 mm. Slightly lower reductions were observed at 3 T. In conclusion, mDIXON imaging closely approximated conventional B(0 )mapping for patient-specific distortion assessment. Estimates in the brain were in good agreement, and slight differences were observed near air/tissue interfaces in the head and neck. Overall, mDIXON imaging-based B-0 field maps may be advantageous for rapid patient-specific distortion correction without additional imaging.</t>
  </si>
  <si>
    <t>[Weiss, Steffen; Eggers, Holger] Philips Res, Dept Tomog Imaging, D-22335 Hamburg, Germany; [Nejad-Davarani, Siarnak; Glide-Hurst, Carri] Henry Ford Hlth Canc Inst, Dept Radiat Oncol, Detroit, MI 48202 USA; [Orasanu, Eliza; Renisch, Steffen] Philips Res, Dept Digital Imaging, D-22335 Hamburg, Germany</t>
  </si>
  <si>
    <t>Philips; Philips Research; Philips; Philips Research</t>
  </si>
  <si>
    <t>Weiss, S (通訊作者)， Philips Res, Dept Tomog Imaging, D-22335 Hamburg, Germany.</t>
  </si>
  <si>
    <t>steffen.weiss@philips.com</t>
  </si>
  <si>
    <t>; Weiss, Steffen/MTD-9356-2025</t>
  </si>
  <si>
    <t>Glide-Hurst, Carri/0000-0001-7989-4382; Weiss, Steffen/0000-0003-3905-4666</t>
  </si>
  <si>
    <t>NCI NIH HHS [R01 CA204189] Funding Source: Medline</t>
  </si>
  <si>
    <t>10.1088/1361-6560/ab2b0a</t>
  </si>
  <si>
    <t>WOS:000478621000002</t>
  </si>
  <si>
    <t>Yousefian, O; Karbalaeisadegh, Y; Muller, M</t>
  </si>
  <si>
    <t>Yousefian, Omid; Karbalaeisadegh, Yasamin; Muller, Marie</t>
  </si>
  <si>
    <t>Modeling ultrasound attenuation in porous structures with mono-disperse random pore distributions using the independent scattering approximation: a 2D simulation study</t>
  </si>
  <si>
    <t>ultrasound; attenuation; independent scattering approximation; cortical bone; FDTD</t>
  </si>
  <si>
    <t>CORTICAL BONE; MULTIPLE-SCATTERING; HETEROGENEOUS MEDIA; WAVE PROPAGATION; INCREASED RISK; POROSITY; VELOCITY; DENSITY; WOMEN; DEPENDENCE</t>
  </si>
  <si>
    <t>The validity of the independent scattering approximation (ISA) to predict the frequency dependent attenuation in 2D models of simplified structures of cortical bone is studied. Attenuation of plane waves at central frequencies ranging from 1 to 8 MHz propagating in structures with mono-disperse random pore distributions with pore diameter and pore density in the range of those of cortical bone are evaluated by finite difference time domain numerical simulations. An approach to assess the multiple scattering of waves in random media is discussed to determine the pore diameter ranges at which the ISA is applicable. A modified version of the ISA is proposed to more accurately predict the attenuation in porosity ranges where it would traditionally fail. The results show that the modified ISA can model the frequency-dependent attenuation of ultrasonic wave with pore diameter and density ranges comparable to those of cortical bone.</t>
  </si>
  <si>
    <t>[Yousefian, Omid; Karbalaeisadegh, Yasamin; Muller, Marie] North Carolina State Univ, Mech &amp; Aerosp Engn Dept, Raleigh, NC 27606 USA</t>
  </si>
  <si>
    <t>North Carolina State University</t>
  </si>
  <si>
    <t>Muller, M (通訊作者)， North Carolina State Univ, Mech &amp; Aerosp Engn Dept, Raleigh, NC 27606 USA.</t>
  </si>
  <si>
    <t>mmuller2@ncsu.edu</t>
  </si>
  <si>
    <t>Yousefian, Omid/AAY-4338-2020</t>
  </si>
  <si>
    <t>Muller, Marie/0000-0002-5662-0650; Muller, Marie/0000-0002-2080-241X; Yousefian, Omid/0000-0002-5990-3744</t>
  </si>
  <si>
    <t>National Institute of Health [R03EB022743]</t>
  </si>
  <si>
    <t>This research was supported in part by the National Institute of Health under Grant No. R03EB022743. We would also like to thank Micah Ulrich for his help in preparation of this paper.</t>
  </si>
  <si>
    <t>10.1088/1361-6560/ab2a32</t>
  </si>
  <si>
    <t>WOS:000480292700008</t>
  </si>
  <si>
    <t>Daly, MJ; Wilson, BC; Irish, JC; Jaffray, DA</t>
  </si>
  <si>
    <t>Daly, M. J.; Wilson, B. C.; Irish, J. C.; Jaffray, D. A.</t>
  </si>
  <si>
    <t>Navigated non-contact fluorescence tomography</t>
  </si>
  <si>
    <t>fluorescence-guided surgery; diffuse optical tomography; surgical navigation; cone-beam CT</t>
  </si>
  <si>
    <t>DIFFUSE OPTICAL TOMOGRAPHY; IMAGE-GUIDED INTERVENTIONS; CONE-BEAM CT; INDOCYANINE-GREEN; NECK-SURGERY; LIGHT; RECONSTRUCTION; CANCER; ABSORPTION; SCATTERING</t>
  </si>
  <si>
    <t>A non-contact approach for diffuse optical tomography (DOT) has been developed for on-demand image updates using surgical navigation technology. A stereoscopic optical tracker provides real-time localization of reflective spheres mounted to a laser diode and near-infrared camera. Standard camera calibration is combined with tracking data to determine the intrinsic camera parameters (focal length, principal point and non-linear lens distortion) and the tracker-to-camera transform. Tracker-to-laser calibration is performed using images of laser beam intersection with a tracked calibration surface. Source and detector positions for a finite-element DOT implementation are projected onto the boundary elements of the tissue mesh by finding ray-triangle intersections. A multi-stage model converts camera counts to surface flux by accounting for lens aperture settings, fluorescence filter transmittance, photodetector quantum efficiency, photon energy, exposure time, readout offset and camera gain. The image-guidance framework was applied to an in-house optical tomography system configured for indocyanine green (ICG) fluorescence. Mean target registration errors for camera and laser calibration were less than 1 mm. Surface flux measurements of total reflectance and fluorescence in Intralipid-based fluorescence phantoms (0-2 mu g ml(-1)) had mean errors of 3.1% and 4.4%, respectively, relative to diffusion theory predictions. Spatially-resolved reflectance measurements in a calibrated optical phantom agreed with theory for radial distances up to 25 mm from the laser source. Inverse fluorescence reconstructions of a sub-surface fluorescence target confirmed the localization accuracy (average target centroid error of 0.44 mm). This translational research system is under investigation for clinical applications in head and neck surgery, including oral cavity tumor resection, lymph node mapping and free-flap perforator assessment.</t>
  </si>
  <si>
    <t>[Daly, M. J.; Irish, J. C.; Jaffray, D. A.] Univ Toronto, Inst Med Sci, Toronto, ON, Canada; [Daly, M. J.; Wilson, B. C.; Irish, J. C.; Jaffray, D. A.] Univ Hlth Network, TECHNA Inst, Toronto, ON, Canada; [Wilson, B. C.; Jaffray, D. A.] Univ Hlth Network, Princess Margaret Canc Ctr, Toronto, ON, Canada; [Wilson, B. C.; Jaffray, D. A.] Univ Toronto, Dept Med Biophys, Toronto, ON, Canada; [Irish, J. C.] Univ Toronto, Dept Otolaryngol Head &amp; Neck Surg, Toronto, ON, Canada; [Irish, J. C.] Univ Hlth Network, Dept Surg Oncol, Toronto, ON, Canada; [Jaffray, D. A.] Univ Hlth Network, Dept Radiat Phys, Toronto, ON, Canada</t>
  </si>
  <si>
    <t>University of Toronto; University of Toronto; University Health Network Toronto; University of Toronto; University Health Network Toronto; Princess Margaret Cancer Centre; University of Toronto; University of Toronto; University of Toronto; University Health Network Toronto; University of Toronto; University Health Network Toronto</t>
  </si>
  <si>
    <t>Jaffray, DA (通訊作者)， Univ Toronto, Inst Med Sci, Toronto, ON, Canada.;Jaffray, DA (通訊作者)， Univ Hlth Network, TECHNA Inst, Toronto, ON, Canada.;Jaffray, DA (通訊作者)， Univ Hlth Network, Princess Margaret Canc Ctr, Toronto, ON, Canada.;Jaffray, DA (通訊作者)， Univ Toronto, Dept Med Biophys, Toronto, ON, Canada.;Jaffray, DA (通訊作者)， Univ Hlth Network, Dept Radiat Phys, Toronto, ON, Canada.</t>
  </si>
  <si>
    <t>Jaffray, David/0000-0001-7378-7543</t>
  </si>
  <si>
    <t>Canadian Institutes of Health Research (CIHR) Doctoral Award (Frederick Banting and Charles Best Canada Graduate Scholarship); Harry Barberian Scholarship Fund (Department of Otolaryngology-Head &amp; Neck Surgery, University of Toronto); Princess Margaret Cancer Foundation (Sullivan Chair in Surgical Oncology, RACH Fund, Garron Fund)</t>
  </si>
  <si>
    <t>Canadian Institutes of Health Research (CIHR) Doctoral Award (Frederick Banting and Charles Best Canada Graduate Scholarship)(Canadian Institutes of Health Research (CIHR)); Harry Barberian Scholarship Fund (Department of Otolaryngology-Head &amp; Neck Surgery, University of Toronto); Princess Margaret Cancer Foundation (Sullivan Chair in Surgical Oncology, RACH Fund, Garron Fund)</t>
  </si>
  <si>
    <t>This work was supported by a Canadian Institutes of Health Research (CIHR) Doctoral Award (Frederick Banting and Charles Best Canada Graduate Scholarship), the Harry Barberian Scholarship Fund (Department of Otolaryngology-Head &amp; Neck Surgery, University of Toronto) and the Princess Margaret Cancer Foundation (Sullivan Chair in Surgical Oncology, RACH Fund, Garron Fund). The open-source software community is acknowledged, including IGSTK (Children's National/Kitware) and NIRFAST (Dartmouth College/University of Birmingham).</t>
  </si>
  <si>
    <t>10.1088/1361-6560/ab1f33</t>
  </si>
  <si>
    <t>WOS:000474396800007</t>
  </si>
  <si>
    <t>Meyer, S; Kamp, F; Tessonnier, T; Mairani, A; Belka, C; Carlson, DJ; Gianoli, C; Parodi, K</t>
  </si>
  <si>
    <t>Meyer, Sebastian; Kamp, Florian; Tessonnier, Thomas; Mairani, Andrea; Belka, Claus; Carlson, David J.; Gianoli, Chiara; Parodi, Katia</t>
  </si>
  <si>
    <t>Dosimetric accuracy and radiobiological implications of ion computed tomography for proton therapy treatment planning</t>
  </si>
  <si>
    <t>proton computed tomography; helium computed tomography; carbon computed tomography; ion computed tomography; dose calculation; repair misrepair-fixation (RMF) model; proton therapy</t>
  </si>
  <si>
    <t>RELATIVE BIOLOGICAL EFFECTIVENESS; MONTE-CARLO-SIMULATION; X-RAY; HETEROGENEOUS MEDIUM; RANGE UNCERTAINTIES; CT; ENERGY; PATH; PERFORMANCE; INTEGRATION</t>
  </si>
  <si>
    <t>Ion computed tomography (iCT) represents a potential replacement for x-ray CT (xCT) in ion therapy treatment planning to reduce range uncertainties, inherent in the semi-empirical conversion of xCT information into relative stopping power (RSP). In this work, we aim to quantify the increase in dosimetric accuracy associated with using proton-, helium- and carbon-CT compared to conventional xCT for clinical scenarios in proton therapy. Three cases imaged with active beam-delivery using an ideal single-particle-tracking detector were investigated using FLUKA Monte-Carlo (MC) simulations. The RSP accuracy of the iCTs was evaluated against the ground truth at similar physical dose. Next, the resulting dosimetric accuracy was investigated by using the RSP images as a patient model in proton therapy treatment planning, in comparison to common uncertainties associated with xCT. Finally, changes in relative biological effectiveness (RBE) with iCT particle type/spectrum were investigated by incorporating the repair-misrepair-fixation (RMF) model into FLUKA, to enable first insights on the associated biological imaging dose. Helium-CT provided the lowest overall RSP error, whereas carbon-CT offered the highest accuracy for bone and proton-CT for soft tissue. For a single field, the average relative proton beam-range variation was -1.00%, +0.09%, -0.08% and -0.35% for xCT, proton-, helium- and carbon-CT, respectively. Using a 0.5%/0.5mm gamma-evaluation, all iCTs offered comparable accuracy with a better than 99% passing rate, compared to 83% for xCT. The RMF model predictions for RBE for cell death relative to a diagnostic xCT spectrum were 0.82-0.85, 0.85-0.89 and 0.97-1.03 for proton-, helium-, and carbon-CT, respectively. The corresponding RBE for DNA double-strand break induction was generally below one. iCT offers great dinical potential for proton therapy treatment planning by providing superior dose calculation accuracy as well as lower physical and potentially biological dose exposure compared to xCT. For the investigated dose level and ideal detector, proton-CT and helium-CT yielded the best performance.</t>
  </si>
  <si>
    <t>[Meyer, Sebastian; Gianoli, Chiara; Parodi, Katia] Ludwig Maximilians Univ Munchen, Dept Med Phys, Garching, Germany; [Kamp, Florian; Belka, Claus] Ludwig Maximilians Univ Munchen, Dept Radiat Oncol, Univ Hosp, Munich, Germany; [Tessonnier, Thomas] Heidelberg Univ Hosp, Dept Radiat Oncol &amp; Radiat Therapy, Heidelberg, Germany; [Mairani, Andrea] Univ Hosp Heidelberg, Heidelberg Ion Beam Therapy Ctr, Heidelberg, Germany; [Mairani, Andrea] Fdn CNAO, Unita Fis Med, Pavia, Italy; [Belka, Claus] German Canc Consortium, Munich, Germany; [Carlson, David J.] Yale Univ, Sch Med, Dept Therapeut Radiol, New Haven, CT 06510 USA; [Tessonnier, Thomas] Ctr Francois Baclesse, Med Phys Dept, Caen, France; [Carlson, David J.] Univ Penn, Dept Radiat Oncol, Philadelphia, PA 19104 USA</t>
  </si>
  <si>
    <t>University of Munich; University of Munich; Ruprecht Karls University Heidelberg; Ruprecht Karls University Heidelberg; Centro Nazionale di Adroterapia Oncologica (CNAO); Helmholtz Association; German Cancer Research Center (DKFZ); Yale University; UNICANCER; Centre Francois Baclesse; University of Pennsylvania</t>
  </si>
  <si>
    <t>Meyer, S (通訊作者)， Ludwig Maximilians Univ Munchen, Dept Med Phys, Garching, Germany.</t>
  </si>
  <si>
    <t>Meyer.Se@physik.uni-muenchen.de</t>
  </si>
  <si>
    <t>Gianoli, Chiara/KBA-7258-2024</t>
  </si>
  <si>
    <t>Meyer, Sebastian/0000-0002-2510-7045</t>
  </si>
  <si>
    <t>DFG Cluster of Excellence Munich Centre for Advanced Photonics (MAP); DFG</t>
  </si>
  <si>
    <t>DFG Cluster of Excellence Munich Centre for Advanced Photonics (MAP)(German Research Foundation (DFG)); DFG(German Research Foundation (DFG))</t>
  </si>
  <si>
    <t>This work was supported by the DFG Cluster of Excellence Munich Centre for Advanced Photonics (MAP) and the DFG project Hybrid ImaGing framework in Hadrontherapy for Adaptive Radiation Therapy (HIGH-ART).</t>
  </si>
  <si>
    <t>10.1088/1361-6560/ab0fdf</t>
  </si>
  <si>
    <t>WOS:000471317900003</t>
  </si>
  <si>
    <t>Trefná, HD; Ström, A</t>
  </si>
  <si>
    <t>Trefna, Hana Dobsicek; Strom, Anna</t>
  </si>
  <si>
    <t>Hydrogels as a water bolus during hyperthermia treatment</t>
  </si>
  <si>
    <t>microwaves; mechanical properties; dielectrical properties</t>
  </si>
  <si>
    <t>LOCUST BEAN GUM; AGAROSE GELS; SYNERGISTIC GELATION; XANTHAN GUM; RADIATION; QUALITY; DESIGN</t>
  </si>
  <si>
    <t>The feasibility of using hydrogels as a water bolus during hyperthermia treatment was assessed. Three types of gels, high methoxyl (HM) pectin/alginate, xanthan/locust bean gum (LBG) and xanthan/LBG/agarose were evaluated based on their dielectric, rheological and mechanical properties. The most suitable, xanthan/LBG/agarose gel was further used as a water bolus in a hyperthermia array applicator. The gels composed of polysaccharides carrying low charge displayed dielectric properties close to those of water, while the dielectric properties of HM pectin/alginate gel was deemed unsuitable for the current application. The mechanical examination shows that the xanthan/LBG gel has a non-brittle behaviour at room temperature, in contrast to the agarose gel. The moduli of the xanthan/LBG gel weaken however considerably between the temperature range of 40 degrees C and 50 degrees C, reducing its potential to be used as water bolus. The ternary system of xanthan/LBG/agarose had advantageous behaviour as it was dominated by the thermal hysteresis typical of agarose upon temperature increase, but governed by the typical non-brittle behaviour of the xanthan/LBG at low temperatures. The final evaluation within the hyperthermia applicator showed excellent signal transmission from the antennas. The agarose/xanthan/LBG gel reduced the scattering of electromagnetic waves, enabled a tight closure between the body and the antennas, and offered a less bulky solution than the currently used water-filled plastic bags. The results presented here open up a new application area for hydrogels in improving heat delivery during hyperthermia treatment and other near-field microwave applications.</t>
  </si>
  <si>
    <t>[Trefna, Hana Dobsicek] Chalmers Univ Technol, Dept Elect Engn, Gothenburg, Sweden; [Strom, Anna] Chalmers Univ Technol, Dept Chem &amp; Chem Engn, Gothenburg, Sweden; [Strom, Anna] Chalmers Univ Technol, VINN Excellence Ctr, SuMo BIOMAT, Gothenburg, Sweden</t>
  </si>
  <si>
    <t>Chalmers University of Technology; Chalmers University of Technology; Chalmers University of Technology</t>
  </si>
  <si>
    <t>Trefná, HD (通訊作者)， Chalmers Univ Technol, Dept Elect Engn, Gothenburg, Sweden.</t>
  </si>
  <si>
    <t>hanatre@chalmers.se; anna.strom@chalmers.se</t>
  </si>
  <si>
    <t>Strom, Anna/0000-0002-9743-1514; Dobsicek Trefna, Hana/0000-0001-6025-0819</t>
  </si>
  <si>
    <t>VINN Excellence Centre ChaseON (Chalmers Antenna Systems Centre); SuMo Biomaterials; Vinnova's VINNMER Marie Curie Chair</t>
  </si>
  <si>
    <t>Tuva Wegnelius, Stephanie Hannoun, Bjorn Lonn and Liam Ekman, are acknowledged for their excellent experimental work. We also thank Christian Muller for interesting suggestion. This work was financially supported by the VINN Excellence Centre ChaseON (Chalmers Antenna Systems Centre) and SuMo Biomaterials, as well as Vinnova's VINNMER Marie Curie Chair.</t>
  </si>
  <si>
    <t>10.1088/1361-6560/ab0c29</t>
  </si>
  <si>
    <t>WOS:000470205600009</t>
  </si>
  <si>
    <t>Azarnoush, H; Pazos, V; Vergnole, S; Boulet, B; Lamouche, G</t>
  </si>
  <si>
    <t>Azarnoush, Hamed; Pazos, Valerie; Vergnole, Sebastien; Boulet, Benoit; Lamouche, Guy</t>
  </si>
  <si>
    <t>Intravascular optical coherence tomography to validate finite-element simulation of angioplasty balloon inflation</t>
  </si>
  <si>
    <t>optical coherence tomography; angioplasty; finite element simulation; intravascular; validation</t>
  </si>
  <si>
    <t>IN-STENT RESTENOSIS; DESIGN OPTIMIZATION; CORONARY STENTS; BEHAVIOR; IMPACT; PLAQUE</t>
  </si>
  <si>
    <t>Concrete methods are lacking to examine angioplasty simulation results. For the first time, we explored the application of intravascular optical coherence tomography (IVOCT) to experimentally validate results obtained from finite-element simulation of angioplasty balloon deployment. In order to simulate each experimental scenario, IVOCT images were used to create initial geometrical models for the balloon and the phantoms. The study comprised three scenarios. The first scenario involved experimentally monitoring as well as simulating free expansion of the balloon. The second scenario involved experimentally monitoring as well as simulating balloon inflation inside three artery phantoms with different mechanical properties. The third scenario involved experimentally monitoring as well as simulating balloon unfolding and inflation inside a multilayer phantom. Using the first scenario, a constitutive model was developed for the balloon and was tuned to fit the IVOCT balloon inflation monitoring results. This model was used to simulate the balloon's response in simulations involving phantoms corresponding to the second and third scenarios. Diameter values were calculated both from images and simulation results. These values were then compared for each scenario. The obtained results highlight the potentials of IVOCT monitoring to validate simulation procedures.</t>
  </si>
  <si>
    <t>[Azarnoush, Hamed] Amirkabir Univ Technol, Tehran, Iran; [Azarnoush, Hamed; Boulet, Benoit] McGill Univ, Ctr Intelligent Machines, Montreal, PQ, Canada; [Pazos, Valerie; Vergnole, Sebastien; Lamouche, Guy] Natl Res Council Canada, Boucherville, PQ, Canada</t>
  </si>
  <si>
    <t>Amirkabir University of Technology; McGill University; National Research Council Canada</t>
  </si>
  <si>
    <t>Azarnoush, H (通訊作者)， Amirkabir Univ Technol, Tehran, Iran.;Azarnoush, H (通訊作者)， McGill Univ, Ctr Intelligent Machines, Montreal, PQ, Canada.</t>
  </si>
  <si>
    <t>hamed.azarnoush@mail.mcgill.ca</t>
  </si>
  <si>
    <t>; Lamouche, Guy/AAC-6696-2019</t>
  </si>
  <si>
    <t>Vergnole, Sebastien/0000-0002-6150-1920; Lamouche, Guy/0000-0002-9831-8273; Azarnoush, Hamed/0000-0002-6406-2839</t>
  </si>
  <si>
    <t>10.1088/1361-6560/ab0d58</t>
  </si>
  <si>
    <t>HV8XD</t>
  </si>
  <si>
    <t>WOS:000466266500002</t>
  </si>
  <si>
    <t>Beld, E; Moerland, MA; van Zyp, JRNV; Viergever, MA; Lagendijk, JJW; Seevinck, PR</t>
  </si>
  <si>
    <t>Beld, Ellis; Moerland, Marinus A.; van Zyp, Jochem R. N. van der Voort; Viergever, Max A.; Lagendijk, Jan J. W.; Seevinck, Peter R.</t>
  </si>
  <si>
    <t>MRI artifact simulation for clinically relevant MRI sequences for guidance of prostate HDR brachytherapy</t>
  </si>
  <si>
    <t>MRI; HDR brachytherapy; MR-guided intervention; reap time; treatment verification; MRI simulation</t>
  </si>
  <si>
    <t>DOSE-RATE BRACHYTHERAPY; POSITIVE CONTRAST; SUSCEPTIBILITY; TRACKING; MONOTHERAPY; INTERVENTIONS; ECHO</t>
  </si>
  <si>
    <t>For the purpose of magnetic resonance imaging (MRI) guidance of prostate high-dose-rate (HDR) brachytherapy, this paper presents a study on the potential of clinically relevant MRI sequences to facilitate tracking or localization of brachytherapy devices (HDR source/titanium needle), and which could simultaneously be used to visualize the anatomy. The tracking or localization involves simulation of the MRI artifact in combination with a template matching algorithm. Simulations of the MRI artifacts induced by an HDR brachytherapy source and a titanium needle were implemented for four types of sequences: spoiled gradient echo, spin echo, balanced steady-state free precession (bSSFP) and bSSFP with spectral attenuated inversion recovery (SPAIR) fat suppression. A phantom study was conducted in which mentioned sequences (in 2D) as well as the volumetric MRI sequences of the current clinical scan protocol were applied to obtain the induced MRI artifacts for an HDR source and a titanium needle. Localization of the objects was performed by a phase correlation based template matching algorithm. The simulated images demonstrated high correspondences with the acquired MR images, and allowed localization of the objects. A comparison between the object positions obtained for all applied MRI sequences showed deviations (from the average position) of 0.2-0.3 mm, proving that all MRI sequences were suitable for localization of the objects, irrespective of their 2D or volumetric nature. This study demonstrated that the MRI artifact induced by an HDR source or a titanium needle could be simulated for the four investigated types of MRI sequences (spoiled gradient echo, spin echo, bSSFP and bSSFP-SPAIR), valuable for real-time object localization in clinical practice. This leads to more flexibility in the choice of MRI sequences for guidance of HDR brachytherapy, as they are suitable for both object localization and anatomy visualization.</t>
  </si>
  <si>
    <t>[Beld, Ellis; Moerland, Marinus A.; van Zyp, Jochem R. N. van der Voort; Lagendijk, Jan J. W.] Univ Med Ctr Utrecht, Dept Radiotherapy, Heidelberglaan 100, NL-3584 CX Utrecht, Netherlands; [Viergever, Max A.; Seevinck, Peter R.] Univ Med Ctr Utrecht, Image Sci Inst, Heidelberglaan 100, NL-3584 CX Utrecht, Netherlands</t>
  </si>
  <si>
    <t>Beld, E (通訊作者)， Univ Med Ctr Utrecht, Dept Radiotherapy, Heidelberglaan 100, NL-3584 CX Utrecht, Netherlands.</t>
  </si>
  <si>
    <t>E.Beld-2@umcutrecht.nl</t>
  </si>
  <si>
    <t>Viergever, Max/J-1215-2014; Seevinck, Peter/C-9003-2012</t>
  </si>
  <si>
    <t>Beld, Ellis/0000-0002-7480-2909</t>
  </si>
  <si>
    <t>Eurostars Programme, ITEA3 [12026]</t>
  </si>
  <si>
    <t>Eurostars Programme, ITEA3</t>
  </si>
  <si>
    <t>This research was funded by the Eurostars Programme, ITEA3, project name: System of Real-Time Systems (SoRTS), project number: 12026.</t>
  </si>
  <si>
    <t>10.1088/1361-6560/ab15ed</t>
  </si>
  <si>
    <t>WOS:000466266200001</t>
  </si>
  <si>
    <t>Dietze, MMA; Kunnen, B; van der Velden, S; Steenbergen, JHL; Koppert, WJC; Viergever, MA; de Jong, HWAM</t>
  </si>
  <si>
    <t>Dietze, Martijn M. A.; Kunnen, Britt; van der Velden, Sandra; Steenbergen, J. H. Leo; Koppert, Wilco J. C.; Viergever, Max A.; de Jong, Hugo W. A. M.</t>
  </si>
  <si>
    <t>Performance of a dual-layer scanner for hybrid SPECT/CBCT</t>
  </si>
  <si>
    <t>SPECT; CBCT; dual-layer; radioembolization</t>
  </si>
  <si>
    <t>HEPATIC RADIOEMBOLIZATION</t>
  </si>
  <si>
    <t>Fluoroscopic procedures involving radionuclides would benefit from interventional nuclear imaging by obtaining real-time feedback on the activity distribution. We have previously proposed a dual-layer detector that offers such procedural guidance by simultaneous fluoroscopic and nuclear planar imaging. Acquisition of single photon computed tomography (SPECT) and cone beam computed tomography (CBCT) could provide additional information on the activity distribution. This study investigates the feasibility and the image quality of simultaneous SPECT/CBCT, by means of phantom experiments and simulations. Simulations were performed to study the obtained reconstruction quality for (i) clinical SPECT/CT, (ii) a dual-layer scanner configured with optimized hardware, and (iii) our (non-optimized) dual-layer prototype. Experiments on an image quality phantom and an anthropomorphic phantom (including extrahepatic depositions with volumes and activities close to the median values encountered in hepatic radioembolization) were performed with a clinical SPECT/CT scanner and with our dual-layer prototype. Nuclear images were visually and quantitatively evaluated by measuring the tumor/non-tumor (T/N) ratio and contrast-to-noise ratio (CNR). The simulations showed that the maximum obtained CNR was 38.8 +/- 0.8 for the clinical scanner, 30.2 +/- 0.9 for the optimized dual-layer scanner, and 20.8 +/- 0.4 for the prototype scanner. T/N ratio showed a similar decline. The phantom experiments showed that performing simultaneous SPECT/CBCT is feasible. The CNR obtained from the SPECT reconstruction of largest sphere in the image quality phantom was 43.1 for the clinical scanner and 28.6 for the developed prototype scanner. The anthropomorphic phantom showed that the extrahepatic depositions were detected with both scanners. A dual-layer detector is able to simultaneously acquire SPECT and CBCT. Both CNR and T/N ratio are worse than that of a clinical system, but the phantom experiments showed that extrahepatic depositions with volumes and activities close to the median values encountered in hepatic radioembolization could be distinguished.</t>
  </si>
  <si>
    <t>[Dietze, Martijn M. A.; Kunnen, Britt; van der Velden, Sandra; Steenbergen, J. H. Leo; Koppert, Wilco J. C.; de Jong, Hugo W. A. M.] Univ Utrecht, Radiol &amp; Nucl Med, POB 85500, NL-3508 GA Utrecht, Netherlands; [Dietze, Martijn M. A.; Kunnen, Britt; van der Velden, Sandra; Steenbergen, J. H. Leo; Koppert, Wilco J. C.; Viergever, Max A.; de Jong, Hugo W. A. M.] Univ Med Ctr Utrecht, POB 85500, NL-3508 GA Utrecht, Netherlands; [Dietze, Martijn M. A.; Kunnen, Britt; van der Velden, Sandra; Viergever, Max A.; de Jong, Hugo W. A. M.] Univ Utrecht, Image Sci Inst, POB 85500, NL-3508 GA Utrecht, Netherlands</t>
  </si>
  <si>
    <t>Utrecht University; Utrecht University; Utrecht University Medical Center; Utrecht University</t>
  </si>
  <si>
    <t>Dietze, MMA (通訊作者)， Univ Utrecht, Radiol &amp; Nucl Med, POB 85500, NL-3508 GA Utrecht, Netherlands.;Dietze, MMA (通訊作者)， Univ Med Ctr Utrecht, POB 85500, NL-3508 GA Utrecht, Netherlands.</t>
  </si>
  <si>
    <t>m.m.a.dietze@umcutrecht.nl</t>
  </si>
  <si>
    <t>Dietze, Martijn/P-6688-2019; Viergever, Max/J-1215-2014</t>
  </si>
  <si>
    <t>European Union [646734]; Philips Healthcare</t>
  </si>
  <si>
    <t>European Union(European Union (EU)); Philips Healthcare</t>
  </si>
  <si>
    <t>This project has received funding from the European Union's Horizon 2020 research and innovation program under grant agreement no 646734. Philips Healthcare supported this research by providing an adapted flat panel detector. The authors had full control over the data and the information submitted for publication.</t>
  </si>
  <si>
    <t>10.1088/1361-6560/ab15f6</t>
  </si>
  <si>
    <t>WOS:000468283500005</t>
  </si>
  <si>
    <t>Huo, WL; Pi, YF; Feng, M; Qi, YP; Gao, YM; Caracappa, PF; Chen, Z; Xu, XG</t>
  </si>
  <si>
    <t>Huo, Wanli; Pi, Yifei; Feng, Mang; Qi, Yaping; Gao, Yiming; Caracappa, Peter F.; Chen, Zhi; Xu, X. George</t>
  </si>
  <si>
    <t>VirtualDose-IR: a cloud-based software for reporting organ doses in interventional radiology</t>
  </si>
  <si>
    <t>interventional radiology; software as a service (SaaS); VirtualDose-IR; Monte Carlo</t>
  </si>
  <si>
    <t>RADIATION PROTECTION; ADULT MALE; CT; PARAMETERS; PHANTOMS; EXPOSURE; FEMALE; COEFFICIENTS; ANGIOGRAPHY; CARDIOLOGY</t>
  </si>
  <si>
    <t>A cloud-based software, VirtualDose-IR (Virtual Phantoms Inc., Albany, New York, USA), designed to report organ doses and effective doses for a diverse patient population from interventional radiology (IR) procedures has been developed and tested. This software is based on a comprehensive database of Monte Carlo-generated organ dose built with a set of 21 anatomically realistic patient phantoms. The patient types included in this database are both male and female people with different ages reflecting reference adults, obese people with different BMIs and pregnant women at different gestational stages. Selectable parameters such as patient type, tube voltage, filtration thickness, beam direction, field size, and irradiation site are also considered in VirtualDose-IR. The software has been implemented using the 'Software as a Service (SaaS)' delivery concept permitting simultaneous multi-user, multi-platform access without requiring local installation. The patient doses resulting from different target sites and patient populations were reported using the VirtualDose-IR system. The patient doses under different source to surface distances (SSD) and beam angles calculated by VirtualDose-IR and Monte Carlo simulations were compared. For most organs, the dose differences between VirtualDose-IR results and Monte Carlo results were less than 0.3 mGy at 15 000 mGy* cm(2) kerma-area product (KAP). The organ dose results were compared with measurement data previously reported in literatures. The doses to organs that were located within the irradiation field match closely with experimental measurement data. The differences in the effective dose values between calculated using VirtualDose-IR and those measured were less than 2.5%. The dose errors of most organs between VirtualDose-IR and literature results were less than 40%. These results validate the accuracy of organ doses reported by VirtualDose-IR. With the inclusion of pre-specified clinical IR examination parameters (such as beam direction, target location, field of view and beam quality) and the latest anatomically realistic patient phantoms in Monte Carlo simulations, VirtualDose-IR provides users with accurate dose information in order to systematically compare, evaluate, and optimize IR plans.</t>
  </si>
  <si>
    <t>[Huo, Wanli; Pi, Yifei; Feng, Mang; Qi, Yaping; Chen, Zhi; Xu, X. George] Univ Sci &amp; Technol China, Sch Phys Sci, Hefei, Anhui, Peoples R China; [Gao, Yiming] Mem Sloan Kettering Canc Ctr, Dept Med Phys, New York, NY 10021 USA; [Caracappa, Peter F.; Xu, X. George] Virtual Phantoms Inc, Albany, NY 12205 USA; [Xu, X. George] Rensselaer Polytech Inst, Nucl Engn Program, Troy, NY 12180 USA</t>
  </si>
  <si>
    <t>Chinese Academy of Sciences; University of Science &amp; Technology of China, CAS; Memorial Sloan Kettering Cancer Center; Rensselaer Polytechnic Institute</t>
  </si>
  <si>
    <t>Xu, XG (通訊作者)， Univ Sci &amp; Technol China, Sch Phys Sci, Hefei, Anhui, Peoples R China.;Xu, XG (通訊作者)， Virtual Phantoms Inc, Albany, NY 12205 USA.;Xu, XG (通訊作者)， Rensselaer Polytech Inst, Nucl Engn Program, Troy, NY 12180 USA.</t>
  </si>
  <si>
    <t>xgxu@ustc.edu.cn</t>
  </si>
  <si>
    <t>Gao, Yiming/0000-0002-7133-9330; Huo, Wanli/0000-0002-5785-4379</t>
  </si>
  <si>
    <t>National Natural Science Foundation of China [11575180]; National Key R&amp;D Program of China [2017YFC0107500]; Anhui province key research and development plan [1804a09020039]</t>
  </si>
  <si>
    <t>National Natural Science Foundation of China(National Natural Science Foundation of China (NSFC)); National Key R&amp;D Program of China; Anhui province key research and development plan</t>
  </si>
  <si>
    <t>This work was supported by research fundings from the National Natural Science Foundation of China (Grant no. 11575180), National Key R&amp;D Program of China (Grant no. 2017YFC0107500) and Anhui province key research and development plan (Grant no. 1804a09020039).</t>
  </si>
  <si>
    <t>10.1088/1361-6560/ab0bd5</t>
  </si>
  <si>
    <t>WOS:000466266500003</t>
  </si>
  <si>
    <t>Alnaghy, S; Cutajar, DL; Safavi-Naeini, M; George, S; Howie, A; Bece, A; Bucci, JA; Jakubelc, J; Pospisil, S; Lerch, MLF; Petasecca, M; Rosenfeld, AB</t>
  </si>
  <si>
    <t>Alnaghy, S.; Cutajar, D. L.; Safavi-Naeini, M.; George, S.; Howie, A.; Bece, A.; Bucci, J. A.; Jakubelc, J.; Pospisil, S.; Lerch, M. L. F.; Petasecca, M.; Rosenfeld, A. B.</t>
  </si>
  <si>
    <t>BrachyView: initial preclinical results fora real-time in-body HDR PBT source tracking system with simultaneous TRUS image fusion</t>
  </si>
  <si>
    <t>BrachyView; HDR brachytherapy; dosimetry; quality assurance</t>
  </si>
  <si>
    <t>DOSE-RATE; PROSTATE BRACHYTHERAPY; EVOLUTION; CANCER</t>
  </si>
  <si>
    <t>A prototype in-body gamma camera system with integrated trans-rectal ultrasound (TRUS) and associated real-time image acquisition and analysis software was developed for intraoperative source tracking in high dose rate (HDR) brachytherapy. The accuracy and temporal resolution of the system was validated experimentally using a deformable tissue-equivalent prostate gel phantom and a full clinical HDR treatment plan. The BrachyView system was able to measure 78% of the 200 source positions with an accuracy of better than 1 mm. A minimum acquisition time of 0.28 s/frame was required to achieve this accuracy, restricting dwell times to a minimum of 0.3 s. Additionally, the performance of the BrachyView-TRUS fusion probe for mapping the spatial location of the tracked source within the prostate volume was evaluated. A global coordinate system was defined by scanning the phantom with the probe in situ using a CT scanner, and was subsequently used for co-registration of the BrachyView and TRUS fields of view (FoVs). TRUS imaging was used to segment the prostate volume and reconstruct it into a three-dimensional (3D) image. Fusion of the estimated source locations with the 3D prostate image was performed using integrated 3D visualisation software. HDR BrachyView is demonstrated to be a valuable tool for intraoperative source tracking in HDR brachytherapy, capable of resolving source dwell locations relative to the prostate anatomy when combined with TRUS.</t>
  </si>
  <si>
    <t>[Alnaghy, S.; Cutajar, D. L.; Safavi-Naeini, M.; George, S.; Lerch, M. L. F.; Petasecca, M.; Rosenfeld, A. B.] Univ Wollongong, Ctr Med Radiat Phys, Wollongong, NSW, Australia; [Howie, A.; Bece, A.; Bucci, J. A.] St George Hosp, St George Canc Care Ctr, Kogarah, NSW, Australia; [Jakubelc, J.; Pospisil, S.] Czech Tech Univ, Inst Expt &amp; Appl Phys, Prague, Czech Republic</t>
  </si>
  <si>
    <t>University of Wollongong; St George Hospital; Czech Technical University Prague</t>
  </si>
  <si>
    <t>Alnaghy, S (通訊作者)， Univ Wollongong, Ctr Med Radiat Phys, Wollongong, NSW, Australia.</t>
  </si>
  <si>
    <t>saree@uow.eda.au</t>
  </si>
  <si>
    <t>; Rosenfeld, Anatoly/D-1989-2014; Alnaghy, Saree/X-5285-2019; Petasecca, Marco/C-6436-2014; Pospisil, Stanislav/HZJ-6111-2023; Safavi-Naeini, Mitra/AAY-6976-2020</t>
  </si>
  <si>
    <t>Lerch, Michael/0000-0002-2406-9972; Alnaghy, Saree/0000-0002-6887-9694; Petasecca, Marco/0000-0001-5958-7457; Safavi-Naeini, Mitra/0000-0002-6975-9563; Howie, Andrew/0000-0002-6780-2791; Rosenfeld, Anatoly/0000-0001-5116-6308;</t>
  </si>
  <si>
    <t>10.1088/1361-6560/ab0a7e</t>
  </si>
  <si>
    <t>KT3NL</t>
  </si>
  <si>
    <t>WOS:000518923400002</t>
  </si>
  <si>
    <t>Cristoforetti, A; Masè, M; Bonmassari, R; Dallago, M; Nollo, G; Ravelli, F</t>
  </si>
  <si>
    <t>Cristoforetti, Alessandro; Mase, Michela; Bonmassari, Roberto; Dallago, Michele; Nollo, Giandomenico; Ravelli, Flavia</t>
  </si>
  <si>
    <t>A patient-specific mass-spring model for biomechanical simulation of aortic root tissue during transcatheter aortic valve implantation</t>
  </si>
  <si>
    <t>transcatheter aortic valve implantation (TAVI); mass spring model; cardiovascular imaging; biomechanical simulation; aortic valve disease</t>
  </si>
  <si>
    <t>FINITE-ELEMENT-ANALYSIS; DEFORMABLE MODELS; CT IMAGES; REPLACEMENT; IMPACT; SEGMENTATION; REGISTRATION; GEOMETRY; STENOSIS; FUSION</t>
  </si>
  <si>
    <t>The success of transcatheter aortic valve implantation (TAVI) is highly dependent on the prediction of the interaction between the prosthesis and the aortic root anatomy. The simulation of the surgical procedure may be useful to guide artificial valve selection and delivery, nevertheless the introduction of simulation models into the clinical workflow is often hindered by model complexity and computational burden. To address this point, we introduced a patient-specific mass-spring model (MSM) with viscous damping, as a good trade-off between simulation accuracy and time-efficiency. The anatomical model consisted of a hexahedral mesh, segmented from pre-procedural patient-specific cardiac computer tomographic (CT) images of the aortic root, including valve leaflets and attached calcifications. Nodal forces were represented by linear-elastic springs acting on edges and angles. A fast integration approach based on the modulation of nodal masses was also tested. The model was validated on seven patients, comparing simulation results with post-procedural CT images with respect to calcification and aortic wall position. The validation showed that the MSM was able to predict calcification displacement with an average accuracy of 1.72 mm and 1.54 mm for the normal and fast integration approaches, respectively. Wall displacement root mean squared error after valve expansion was about 1 mm for both approaches, showing an improved matching with respect to the pre-procedural configuration. In terms of computational burden, the fast integration approach allowed a consistent reduction of the computational times, which decreased from 36 h to 21.8 min per 100 K hexahedra. Our findings suggest that the proposed linear-elastic MSM model may provide good accuracy and reduced computational times for TAVI simulations, fostering its inclusion in clinical routines.</t>
  </si>
  <si>
    <t>[Cristoforetti, Alessandro; Nollo, Giandomenico] Univ Trento, Dept Ind Engn, Trento, Italy; [Cristoforetti, Alessandro; Mase, Michela; Ravelli, Flavia] Univ Trento, Dept Phys, Trento, Italy; [Bonmassari, Roberto; Dallago, Michele] Santa Chiara Hosp, Div Cardiol, Trento, Italy; [Mase, Michela; Nollo, Giandomenico] Bruno Kessler Fdn FBK, IRCS HTA, Trento, Italy</t>
  </si>
  <si>
    <t>University of Trento; University of Trento; Santa Chiara Hospital; Fondazione Bruno Kessler</t>
  </si>
  <si>
    <t>Ravelli, F (通訊作者)， Univ Trento, Dept Phys, Trento, Italy.</t>
  </si>
  <si>
    <t>flavia.ravelli@unitn.it</t>
  </si>
  <si>
    <t>; Ravelli, Flavia/R-1213-2019; Cristoforetti, Alessandro/K-6530-2019</t>
  </si>
  <si>
    <t>Ravelli, Flavia/0000-0002-6819-3668; Mase, Michela/0000-0001-9588-677X; Cristoforetti, Alessandro/0000-0003-1665-6656; Nollo, Giandomenico/0000-0002-9837-083X</t>
  </si>
  <si>
    <t>Fondazione Cassa di Risparmio di Trento e Rovereto</t>
  </si>
  <si>
    <t>Fondazione Cassa di Risparmio di Trento e Rovereto(Fondazione Caritro)</t>
  </si>
  <si>
    <t>Dr Mase is recipient of a fellowship by Fondazione Cassa di Risparmio di Trento e Rovereto.</t>
  </si>
  <si>
    <t>10.1088/1361-6560/ab10c1</t>
  </si>
  <si>
    <t>WOS:000464179400006</t>
  </si>
  <si>
    <t>Kroshko, A; Morin, O; Archambault, L</t>
  </si>
  <si>
    <t>Kroshko, Angelika; Morin, Olivier; Archambault, Louis</t>
  </si>
  <si>
    <t>Stochastic frontier analysis as knowledge-based model to improve sparing of organs-at-risk for VMAT-treated prostate cancer</t>
  </si>
  <si>
    <t>knowledge based planning; stochastic frontier analysis; external beam radiation therapy; prostate cancer; predictive model; VMAT</t>
  </si>
  <si>
    <t>RADIATION-THERAPY</t>
  </si>
  <si>
    <t>Stochastic frontier analysis (SFA) is used as a novel knowledge-based technique in order to develop a predictive model of dosimetric features from significant geometric parameters describing a patient morphology. 406 patients treated with VMAT for prostate cancer were analyzed retrospectively. Cases were divided into three prescription-based groups. Seven geometric parameters are extracted to characterize the relationship between the organs-at-risk (bladder and rectum) with the planning volume (PTV). In total, 37 dosimetric parameters are tested for these two OARs. SFA allows the determination of the minimum achievable dose to the OAR based on the geometric parameters. Stochastic frontiers are determined with a maximum likelihood estimation technique. The SFA model was tested using validation cohort (30 patients with prescribed dose between 60 and 70 Gy) where 77% (23 out of 30) of the predicted DVHs present a 5% or less dose deterioration for the bladder and rectum with the planned DVH. SFA can be used in EBRT planning as a predictive model based on anatomical features of previously treated plans.</t>
  </si>
  <si>
    <t>[Kroshko, Angelika; Archambault, Louis] Univ Laval, Dept Radiooncol, Pavillon Hotel Dieu Quebec, Quebec City, PQ G1R 2J6, Canada; [Kroshko, Angelika; Archambault, Louis] Univ Laval, Ctr Rech Canc, Pavillon Hotel Dieu Quebec, Quebec City, PQ G1R 2J6, Canada; [Kroshko, Angelika; Archambault, Louis] Univ Laval, Dept Phys Genie Phys &amp; Opt, Quebec City, PQ G1K 7P4, Canada; [Morin, Olivier] Univ Calif San Francisco, Dept Radiat Oncol, San Francisco, CA 94143 USA</t>
  </si>
  <si>
    <t>Laval University; Laval University; Laval University; University of California System; University of California San Francisco</t>
  </si>
  <si>
    <t>Archambault, L (通訊作者)， Univ Laval, Dept Radiooncol, Pavillon Hotel Dieu Quebec, Quebec City, PQ G1R 2J6, Canada.;Archambault, L (通訊作者)， Univ Laval, Ctr Rech Canc, Pavillon Hotel Dieu Quebec, Quebec City, PQ G1R 2J6, Canada.;Archambault, L (通訊作者)， Univ Laval, Dept Phys Genie Phys &amp; Opt, Quebec City, PQ G1K 7P4, Canada.</t>
  </si>
  <si>
    <t>Louis.Archabault@phy.ulaval.ca</t>
  </si>
  <si>
    <t>CREATE Medical Physics Research Training Network grant of the Natural Sciences and Engineering Research Council [432290]</t>
  </si>
  <si>
    <t>CREATE Medical Physics Research Training Network grant of the Natural Sciences and Engineering Research Council</t>
  </si>
  <si>
    <t>AK acknowledges partial support by the CREATE Medical Physics Research Training Network grant of the Natural Sciences and Engineering Research Council (Grant number: 432290).</t>
  </si>
  <si>
    <t>10.1088/1361-6560/ab0b4d</t>
  </si>
  <si>
    <t>WOS:000518923400007</t>
  </si>
  <si>
    <t>Edvardsson, A; Scherman, J; Nilsson, MP; Wennberg, B; Nordström, F; Ceberg, C; Ceberg, S</t>
  </si>
  <si>
    <t>Edvardsson, A.; Scherman, J.; Nilsson, M. P.; Wennberg, B.; Nordstrom, F.; Ceberg, C.; Ceberg, S.</t>
  </si>
  <si>
    <t>Breathing-motion induced interplay effects for stereotactic body radiotherapy of liver tumours using flattening-filter free volumetric modulated arc therapy</t>
  </si>
  <si>
    <t>liver; VMAT; SBRT; breathing motion; interplay effects; FFF; radiotherapy</t>
  </si>
  <si>
    <t>RESPIRATORY MOTION; RADIATION-THERAPY; DOSIMETRIC IMPACT; FREE BEAMS; LUNG; DELIVERY; REGISTRATION; RAPIDARC; ABDOMEN</t>
  </si>
  <si>
    <t>The purpose of this study was to investigate breathing-motion induced interplay effects for stereotactic body radiotherapy (SBRT) of liver tumours treated with flattening-filter free (FFF) volumetric modulated arc therapy (VMAT). Ten patients previously treated with liver SBRT were included in this study. All patients had four-dimensional computed tomography (4DCT) scans acquired prior to treatment. The 4DCT was sorted into 8-10 phases covering an equal time interval. A FFF VMAT plan was created for one fraction in the mid-ventilation phase for each patient. To generate dose distributions including both interplay effects and dose blurring, a sub-plan was calculated for each phase. The total dose distributions were accumulated to the mid-ventilation phase using the deformed vector fields (DVF) from deformable image registration between the corresponding CT and the mid-ventilation phase CT. A blurred dose distribution, not including interplay effects, was also obtained by distributing the delivery of the whole plan uniformly on all phases, and was similarly accumulated to the mid-ventilation phase. To isolate interplay effects, this blurred dose distribution was subtracted from the total dose distribution with interplay effects. The near minimum dose (D-98%), mean dose (D-mean), heterogeneity index (HI), and the near minimum dose difference (Delta D-98%) between the accumulated dose distributions with and without interplay effects were calculated within the gross tumour volume (GTV) for each patient. Comparing the accumulated dose distributions with and without interplay effects, the D-98(%) decreased for nine of the ten patients and the HI increased for all patients. The median and minimum differences in D-98(%) were -2.1% and -5.0% (p = 0.006), respectively, and the median HI significantly increased from 6.2% to 12.2% (p = 0.002). The median Delta D-98% was -4.0% (range - 7% to - 1.5%). In conclusion, statistically significant breathing-induced interplay effects were observed for a single fraction of FFF VMAT liver SBRT, resulting in heterogeneous dose distributions within the GTV.</t>
  </si>
  <si>
    <t>[Edvardsson, A.; Ceberg, C.; Ceberg, S.] Lund Univ, Dept Med Radiat Phys, Clin Sci, Lund, Sweden; [Scherman, J.; Nilsson, M. P.] Skane Univ Hosp, Dept Hematol Oncol &amp; Radiat Phys, Lund, Sweden; [Nilsson, M. P.] Lund Univ, Dept Clin Sci, Div Oncol &amp; Pathol, Lund, Sweden; [Wennberg, B.] Karolinska Univ Hosp, Div Med Radiat Phys &amp; Nucl Med, Dept Radiotherapy Phys &amp; Engn, Stockholm, Sweden; [Nordstrom, F.] Sahlgrenska Univ lIospital, Dept Med Phys &amp; Biomed Engn, Gothenburg, Sweden; [Nordstrom, F.] Univ Gothenburg, Sahlgrenska Acad, Inst Clin Sci, Dept Radiat Phys, Gothenburg, Sweden</t>
  </si>
  <si>
    <t>Lund University; Lund University; Skane University Hospital; Lund University; Karolinska Institutet; Karolinska University Hospital; University of Gothenburg</t>
  </si>
  <si>
    <t>Edvardsson, A (通訊作者)， Lund Univ, Dept Med Radiat Phys, Clin Sci, Lund, Sweden.</t>
  </si>
  <si>
    <t>anneli.edvardsson@med.lu.se</t>
  </si>
  <si>
    <t>Edvardsson, Anneli/0000-0002-6091-8441; Ceberg, Crister/0000-0003-1255-0336</t>
  </si>
  <si>
    <t>10.1088/1361-6560/aaf5d9</t>
  </si>
  <si>
    <t>HH6EY</t>
  </si>
  <si>
    <t>WOS:000455823300003</t>
  </si>
  <si>
    <t>Becker, S; Sabouri, P; Niu, Y; Prado, K; Chen, SF; Nichols, E; Yi, BY</t>
  </si>
  <si>
    <t>Becker, Stewart; Sabouri, Pouya; Niu, Ying; Prado, Karl; Chen, Shifeng; Nichols, Elizabeth; Yi, ByongYong</t>
  </si>
  <si>
    <t>Commissioning and acceptance guide for the GammaPod</t>
  </si>
  <si>
    <t>GammaPod; stereotactic radiosurgery; commissioning; breast radiation therapy; novel device; SRS; SBRT</t>
  </si>
  <si>
    <t>DELIVERY QUALITY-ASSURANCE; FAILURE MODE; KNIFE; RADIOSURGERY; CALIBRATION</t>
  </si>
  <si>
    <t>The GammaPod breast treatment device has been introduced to provide stereotactic radiation therapy to the breast to patients in the prone position. The GammaPod, using a stereotactic coordinate system, dynamically delivers dose to the target by rotating 25 non-overlapping Co-60 beams while the patient's breast is translated continuously in three axes on the couch during delivery. From simulation to treatment, the patient's breast is immobilized using mild negative pressure (150 mm Hg below atmospheric pressure) through a device-specific dual-cup system with stereotactic fiducials. This technology can be used for boost, multi-fraction partial-breast steterotactic body radiotherapy (SBRT), or single-fraction stereotactic radiosurgery (SRS). This paper reports the commissioning of the system for clinical use. The GammaPod device has four major subsystems: mechanical, dosimetric, radiation safety, and safety interlocks. Detailed methods for testing each subsystem have been identified and quantified. Mechanical systems include couch motion and accuracy along with couch sag. Dosimetric tests include absolute dose calibration, dose profiles, timer error, and plan verifications. Radiation safety includes room and wall surveys, along with device leakage measurements. Safety interlocks deal with power systems, immobilization, and treatment interrupts. The absolute dose rate of the 25 mm collimator was determined using TG-21 dosimetry protocol. The relative output factor for the 15 mm collimator was 0.94. The difference of the full-width-at-half-maximum of the single shot of the 25 mm collimator between the treatment planning system and the measurement was 0.2 mm. All interlocks were found to perform correctly, and the shield was within state and Nuclear Regulatory Commission limits. The items and techniques for commissioning the GammaPod have been developed and tested using the methods reported here.</t>
  </si>
  <si>
    <t>[Becker, Stewart; Sabouri, Pouya; Prado, Karl; Chen, Shifeng; Nichols, Elizabeth; Yi, ByongYong] Univ Maryland, Dept Radiat Oncol, Sch Med, Baltimore, MD 21201 USA; [Niu, Ying] MedStar Georgetown Univ Hosp, Washington, DC 20007 USA</t>
  </si>
  <si>
    <t>University System of Maryland; University of Maryland Baltimore; Georgetown University</t>
  </si>
  <si>
    <t>Becker, S (通訊作者)， Univ Maryland, Dept Radiat Oncol, Sch Med, Baltimore, MD 21201 USA.</t>
  </si>
  <si>
    <t>stewartbecker@umm.edu</t>
  </si>
  <si>
    <t>; Becker, Stewart/AAH-5776-2020</t>
  </si>
  <si>
    <t>Becker, Stewart/0000-0003-2834-8087; Yi, Byong Yong/0000-0002-8805-0250</t>
  </si>
  <si>
    <t>10.1088/1361-6560/ab41bd</t>
  </si>
  <si>
    <t>WOS:000500247900021</t>
  </si>
  <si>
    <t>Arboled, C; Lutz-Buen, V; Wang, Z; Villanueva-Perez, P; Guizar-Sicairos, M; Liebi, M; Varga, Z; Stampanoni, M</t>
  </si>
  <si>
    <t>Arboled, C.; Lutz-Buen, V; Wang, Z.; Villanueva-Perez, P.; Guizar-Sicairos, M.; Liebi, M.; Varga, Z.; Stampanoni, M.</t>
  </si>
  <si>
    <t>Assessing lesion malignancy by scanning small-angle x-ray scattering of breast tissue with microcalcifications</t>
  </si>
  <si>
    <t>small-angle x-ray scattering; breast cancer; breast micro calcifications; breast lesion diagnosis</t>
  </si>
  <si>
    <t>CARCINOMA; COLLAGEN; BENIGN; CLASSIFICATION; MICROSCOPY; BONE</t>
  </si>
  <si>
    <t>Scanning small-angle x-ray scattering (SAXS) measurements were performed on 36 formalin-fixed breast tissue biopsies obtained from two patients. All samples contained microcalcifications of type II, i.e. formed by hydroxyapatite. We demonstrate the feasibility of classifying breast lesions by scanning SAXS of tissues containing microcalcifications with a resolution of 35 mu m x 30 mu m We report a characteristic Bragg peak found around q = 1.725 nm(-1) that occurs primarily for malignant lesions. Such a clear SAXS fingerprint is potentially linked to structural changes of breast tissue and corresponds to dimensions of about 3.7 nm. This material property could be used as an early indicator of malignancy development, as it is readily assessed by SAXS. If this fingerprint is combined with other known SAXS features, which also indicate the level of malignancy, such as lipid spacing and collagen periodicity, it could complement traditional pathology-based analyses. To confirm the SAXS-based classification, a histopathological workup and a gold standard histopathological diagnosis were conducted to determine the malignancy level of the lesions. Our aim is to report this SAXS fingerprint, which is clearly related to malignant breast lesions. However, any further conclusion based on our dataset is limited by the low number of patients and samples. Running a broad study to increase the number of samples and patients is of great importance and relevance for the breast-imaging community.</t>
  </si>
  <si>
    <t>[Arboled, C.; Lutz-Buen, V; Wang, Z.; Villanueva-Perez, P.; Guizar-Sicairos, M.; Stampanoni, M.] Paul Scherrer Inst, Swiss Light Source, CH-5232 Villigen, Switzerland; [Arboled, C.; Wang, Z.; Stampanoni, M.] Swiss Fed Inst Technol, CH-8092 Zurich, Switzerland; [Liebi, M.] Max IV Lab, S-22592 Lund, Sweden; [Liebi, M.] Chalmers Univ Technol, S-41258 Gothenburg, Sweden; [Varga, Z.] Univ Hosp Zurich, Inst Pathol &amp; Mol Pathol, CH-8091 Zurich, Switzerland; [Villanueva-Perez, P.] DESY, D-22607 Hamburg, Germany</t>
  </si>
  <si>
    <t>Swiss Federal Institutes of Technology Domain; Paul Scherrer Institute; Swiss Federal Institutes of Technology Domain; ETH Zurich; Chalmers University of Technology; University of Zurich; University Zurich Hospital; Helmholtz Association; Deutsches Elektronen-Synchrotron (DESY)</t>
  </si>
  <si>
    <t>Arboled, C (通訊作者)， Paul Scherrer Inst, Swiss Light Source, CH-5232 Villigen, Switzerland.;Arboled, C (通訊作者)， Swiss Fed Inst Technol, CH-8092 Zurich, Switzerland.</t>
  </si>
  <si>
    <t>carolina.arboleda@psi.ch; Viviane.lutz@hest.ethz.ch</t>
  </si>
  <si>
    <t>Guizar-Sicairos, Manuel/AAB-3793-2019; Wang, Zhentian/AGQ-1868-2022; Varga, Zoltan/C-5215-2008; Stampanoni, Marco Francesco Mario/J-4099-2013; Liebi, Marianne/A-3821-2015</t>
  </si>
  <si>
    <t>Stampanoni, Marco Francesco Mario/0000-0001-7486-6681; Liebi, Marianne/0000-0002-5403-0593; Lutz-Bueno, Viviane/0000-0001-9735-5470; Guizar-Sicairos, Manuel/0000-0002-8293-3634</t>
  </si>
  <si>
    <t>European Research Council (ERC) [ERC-2012-StG 310005-PhaseX]; Swiss National Foundation (SNF)-Sinergia [CRSII2-154472 MedXPhase, CRSII5-183568]; Swiss National Science Foundation (SNF) [CRSII5_183568] Funding Source: Swiss National Science Foundation (SNF)</t>
  </si>
  <si>
    <t>European Research Council (ERC)(European Research Council (ERC)); Swiss National Foundation (SNF)-Sinergia; Swiss National Science Foundation (SNF)(Swiss National Science Foundation (SNSF))</t>
  </si>
  <si>
    <t>The authors acknowledge the European Research Council (ERC) (ERC-2012-StG 310005-PhaseX) and the Swiss National Foundation (SNF)-Sinergia CRSII2-154472 MedXPhase and CRSII5-183568 for funding this work. They also thank Dr Andreas Menzel from the the cSAXS beamline at the Swiss Light Source for his critical comments on the manuscript.</t>
  </si>
  <si>
    <t>10.1088/1361-6560/ab2c36</t>
  </si>
  <si>
    <t>WOS:000480292700005</t>
  </si>
  <si>
    <t>Chacon, A; Guatelli, S; Rutherford, H; Bolst, D; Mohammadi, A; Ahmed, A; Nitta, M; Nishikido, F; Iwao, Y; Tashima, H; Yoshida, E; Akamatsu, G; Takyu, S; Kitagawa, A; Hofmann, T; Pinto, M; Franklin, DR; Parodi, K; Yamaya, T; Rosenfeld, A; Safavi-Naeini, M</t>
  </si>
  <si>
    <t>Chacon, Andrew; Guatelli, Susanna; Rutherford, Harley; Bolst, David; Mohammadi, Akram; Ahmed, Abdella; Nitta, Munetaka; Nishikido, Fumihiko; Iwao, Yuma; Tashima, Hideaki; Yoshida, Eiji; Akamatsu, Go; Takyu, Sodai; Kitagawa, Atsushi; Hofmann, Theresa; Pinto, Marco; Franklin, Daniel R.; Parodi, Katia; Yamaya, Taiga; Rosenfeld, Anatoly; Safavi-Naeini, Mitra</t>
  </si>
  <si>
    <t>Comparative study of alternative Geant4 hadronic ion inelastic physics models for prediction of positron-emitting radionuclide production in carbon and oxygen ion therapy</t>
  </si>
  <si>
    <t>Geant4 Monte Carlo simulation toolkit; particle therapy; fragmentation; positron emission tomography (PET); quality assurance in particle therapy; range verification; hadronic inelastic fragmentation physics model</t>
  </si>
  <si>
    <t>IN-BEAM PET; SECONDARY PARTICLES; PROTON; FLUKA; FRAGMENTATION; DISTRIBUTIONS; VALIDATION; SIMULATION; RANGE; VERIFICATION</t>
  </si>
  <si>
    <t>The distribution of fragmentation products predicted by Monte Carlo simulations of heavy ion therapy depend on the hadronic physics model chosen in the simulation. This work aims to evaluate three alternative hadronic inelastic fragmentation physics options available in the Geant4 Monte Carlo radiation physics simulation framework to determine which model most accurately predicts the production of positron-emitting fragmentation products observable using in-beam PET imaging. Fragment distributions obtained with the BIC, QMD, and INCL + + physics models in Geant4 version 10.2.p03 are compared to experimental data obtained at the HIMAC heavy-ion treatment facility at NIRS in Chiba, Japan. For both simulations and experiments, monoenergetic beams are applied to three different block phantoms composed of gelatin, poly(methyl methacrylate) and polyethylene. The yields of the positron-emitting nuclei C-11, C-10 and O-15 obtained from simulations conducted with each model are compared to the experimental yields estimated by fitting a multi-exponential radioactive decay model to dynamic PET images using the normalised mean square error metric in the entrance, build up/Bragg peak and tail regions. Significant differences in positron-emitting fragment yield are observed among the three physics models with the best overall fit to experimental C-12 and O-16 beam measurements obtained with the BIC physics model.</t>
  </si>
  <si>
    <t>[Chacon, Andrew; Guatelli, Susanna; Rutherford, Harley; Bolst, David; Ahmed, Abdella; Rosenfeld, Anatoly; Safavi-Naeini, Mitra] Univ Wollongong, Ctr Med Radiat Phys, Wollongong, NSW 2522, Australia; [Chacon, Andrew; Rutherford, Harley; Ahmed, Abdella; Safavi-Naeini, Mitra] ANSTO, Lucas Heights, NSW 2234, Australia; [Safavi-Naeini, Mitra] Univ Sydney, Brain &amp; Mind Ctr, Sydney, NSW, Australia; [Guatelli, Susanna; Rosenfeld, Anatoly] Univ Wollongong, Illawarra Hlth &amp; Med Res Inst, Wollongong, NSW 2522, Australia; [Mohammadi, Akram; Nitta, Munetaka; Nishikido, Fumihiko; Iwao, Yuma; Tashima, Hideaki; Yoshida, Eiji; Akamatsu, Go; Takyu, Sodai; Kitagawa, Atsushi; Yamaya, Taiga] Natl Inst Quantum &amp; Radiol Sci &amp; Technol, NIRS, Inage Ku, 4-9-1 Anagawa, Chiba 2638555, Japan; [Hofmann, Theresa; Pinto, Marco; Parodi, Katia] Ludwig Maximilians Univ Munchen, Med Phys, D-80539 Munich, Germany; [Franklin, Daniel R.] Univ Technol Sydney, Sch Elect &amp; Data Engn, Ultimo, NSW 2007, Australia</t>
  </si>
  <si>
    <t>University of Wollongong; Australian Nuclear Science &amp; Technology Organisation; University of Sydney; University of Wollongong; Illawarra Health &amp; Medical Research Institute; National Institutes for Quantum Science &amp; Technology; University of Munich; University of Technology Sydney</t>
  </si>
  <si>
    <t>Safavi-Naeini, M (通訊作者)， Univ Wollongong, Ctr Med Radiat Phys, Wollongong, NSW 2522, Australia.;Safavi-Naeini, M (通訊作者)， ANSTO, Lucas Heights, NSW 2234, Australia.;Safavi-Naeini, M (通訊作者)， Univ Sydney, Brain &amp; Mind Ctr, Sydney, NSW, Australia.</t>
  </si>
  <si>
    <t>ac917@uowmail.edu.au; mitras@ansto.gov.au</t>
  </si>
  <si>
    <t>; Safavi-Naeini, Mitra/AAY-6976-2020; Franklin, Daniel/Q-5655-2019; Guatelli, Susanna/C-2896-2014; Tashima, Hideaki/ABB-7337-2020; Hamato, Akram/V-7081-2019; Rosenfeld, Anatoly/D-1989-2014; Akamatsu, Go/AAG-1059-2020</t>
  </si>
  <si>
    <t>Guatelli, Susanna/0000-0002-9289-7956; Chacon, Andrew/0000-0003-3939-0862; Safavi-Naeini, Mitra/0000-0002-6975-9563; Franklin, Daniel Robert/0000-0002-9563-5943; Rutherford, Harley/0000-0001-5044-9365; Hamato, Akram/0000-0002-3274-4261; Bolst, David/0000-0002-0257-1267; Rosenfeld, Anatoly/0000-0001-5116-6308; Akamatsu, Go/0000-0001-9686-8901</t>
  </si>
  <si>
    <t>Australian government research training program scholarship</t>
  </si>
  <si>
    <t>Australian government research training program scholarship(Australian GovernmentDepartment of Industry, Innovation and Science)</t>
  </si>
  <si>
    <t>The authors would like to acknowledge the following organisations for providing access to their high performance computing resources: University of Wollongong 'Centaur 2' Cluster, the Multi-modal Australian Sciences Imaging and Visualisation Environment (MASSIVE) 'M3' cluster and Australia's Nuclear Science and Technology Organisation (ANSTO) 'Commodore' cluster. This research has been conducted with the support of the Australian government research training program scholarship. The authors acknowledge the scientific and technical assistance of the National Imaging Facility, a National Collaborative Research Infrastructure Strategy (NCRIS) capability, at the Australian Nuclear Science and Technology Organisation, ANSTO.</t>
  </si>
  <si>
    <t>10.1088/1361-6560/ab2752</t>
  </si>
  <si>
    <t>WOS:000480292700009</t>
  </si>
  <si>
    <t>Dedes, G; Dickmann, J; Niepel, K; Wesp, P; Johnson, RP; Pankuch, M; Bashkirov, V; Rits, S; Volz, L; Schulte, RW; Landry, G; Parodi, K</t>
  </si>
  <si>
    <t>Dedes, George; Dickmann, Jannis; Niepel, Katharina; Wesp, Philipp; Johnson, Robert P.; Pankuch, Mark; Bashkirov, Vladimir; Rits, Simon; Volz, Lennart; Schulte, Reinhard W.; Landry, Guillaume; Parodi, Katia</t>
  </si>
  <si>
    <t>Experimental comparison of proton CT and dual energy x-ray CT for relative stopping power estimation in proton therapy</t>
  </si>
  <si>
    <t>proton imaging; proton CT; dual energy CT; computed tomography; proton therapy; Monte Carlo; relative stopping power</t>
  </si>
  <si>
    <t>COMPUTED-TOMOGRAPHY; RANGE UNCERTAINTIES; HEAD; RECONSTRUCTION; SCANNER; PERFORMANCE; CALIBRATION; SIMULATION; ACCURACY; DESIGN</t>
  </si>
  <si>
    <t>Proton computed tomography (pCT) has been proposed as an alternative to x-ray computed tomography (CT) for acquiring relative to water stopping power (RSP) maps used for proton treatment planning dose calculations. In parallel, it has been shown that dual energy x-ray CT (DECT) improves RSP accuracy when compared to conventional single energy x-ray CT. This study aimed at directly comparing the RSP accuracy of both modalities using phantoms scanned at an advanced prototype pCT scanner and a state-of-the-art DECT scanner. Two phantoms containing 13 tissue-mimicking inserts of known RSP were scanned at the pCT phase II prototype and a latest generation dual-source DECT scanner (Siemens SOMATOM Definition FORCE). RSP accuracy was compared by mean absolute percent error (MAPE) over all inserts. A highly realistic Monte Carlo (MC) simulation was used to gain insight on pCT image artifacts which degraded MAPE. MAPE was 0.55% for pCT and 0.67% for DECT. The realistic MC simulation agreed well with pCT measurements (MAPE = 0.69%). Both simulation and experimental results showed ring artifacts in pCT images which degraded the MAPE compared to an ideal pCT simulation (MAPE = 0.17%). Using the realistic simulation, we could identify sources of artifacts, which are attributed to the interfaces in the five-stage plastic scintillator energy detector and calibration curve interpolation regions. Secondary artifacts stemming from the proton tracker geometry were also identified. The pCT prototype scanner outperformed a state-of-the-art DECT scanner in terms of RSP accuracy (MAPE) for plastic tissue mimicking inserts. Since artifacts tended to concentrate in the inserts, their mitigation may lead to further improvements in the reported pCT accuracy.</t>
  </si>
  <si>
    <t>[Dedes, George; Dickmann, Jannis; Niepel, Katharina; Wesp, Philipp; Landry, Guillaume; Parodi, Katia] Ludwig Maximilians Univ Munchen, Dept Med Phys, Garching, Germany; [Johnson, Robert P.] UC Santa Cruz, Dept Phys, Santa Cruz, CA USA; [Pankuch, Mark] Northwestern Med Chicago Proton Ctr, Warrenville, IL 60555 USA; [Bashkirov, Vladimir; Schulte, Reinhard W.] Loma Linda Univ, Div Biomed Engn Sci, Loma Linda, CA 92350 USA; [Rits, Simon] Univ Claude Bernard Lyon 1, Univ Lyon, UJM St Etienne, INSA Lyon,CNRS,Inserm,CREATIS UMR 5220,U1206, F-69373 Lyon, France; [Volz, Lennart] Deutsch Krebsfoschungszentrum DKFZ, Dept Biomed Phys Radiat Oncol, Heidelberg, Germany; [Volz, Lennart] Heidelberg Univ, Dept Phys &amp; Astron, Heidelberg, Germany; [Landry, Guillaume] Ludwig Maximilians Univ Munchen, Univ Hosp, Dept Radiat Oncol, Munich, Germany; [Landry, Guillaume] German Canc Consortium DKTK, Munich, Germany</t>
  </si>
  <si>
    <t>University of Munich; University of California System; University of California Santa Cruz; Loma Linda University; Institut National de la Sante et de la Recherche Medicale (Inserm); Institut National des Sciences Appliquees de Lyon - INSA Lyon; Universite Claude Bernard Lyon 1; Centre National de la Recherche Scientifique (CNRS); CNRS - Institute for Engineering &amp; Systems Sciences (INSIS); Ruprecht Karls University Heidelberg; University of Munich; Helmholtz Association; German Cancer Research Center (DKFZ)</t>
  </si>
  <si>
    <t>Dedes, G (通訊作者)， Ludwig Maximilians Univ Munchen, Dept Med Phys, Garching, Germany.</t>
  </si>
  <si>
    <t>g.dedes@physik.uni-muenchen.de</t>
  </si>
  <si>
    <t>; Volz, Lennart/ABE-1953-2021; Wesp, Philipp/AAW-2195-2021; Bashkirov, Vladimir/A-9213-2016; Landry, Guillaume/AFL-3214-2022; Schulte, Reinhard/ABH-2305-2020; Rit, Simon/H-9410-2014</t>
  </si>
  <si>
    <t>Dickmann, Jannis/0000-0001-8410-3995; Volz, Lennart/0000-0003-0441-4350; Schulte, Reinhard/0000-0002-7892-2756; Bashkirov, Vladimir/0000-0002-7850-3105; Rit, Simon/0000-0003-2530-1013</t>
  </si>
  <si>
    <t>Bavaria-California Technology Center (BaCaTeC); German Research Foundation (DFG) [388731804]; DFG's Cluster of Excellence Munich-Centre for Advanced Photonics (MAP); DFG's Research Training Group Advanced Medical Physics for Image-Guided Cancer Therapy project B4 [GRK2274]</t>
  </si>
  <si>
    <t>Bavaria-California Technology Center (BaCaTeC); German Research Foundation (DFG)(German Research Foundation (DFG)); DFG's Cluster of Excellence Munich-Centre for Advanced Photonics (MAP)(German Research Foundation (DFG)); DFG's Research Training Group Advanced Medical Physics for Image-Guided Cancer Therapy project B4(German Research Foundation (DFG))</t>
  </si>
  <si>
    <t>This work was supported by the Bavaria-California Technology Center (BaCaTeC), by the German Research Foundation (DFG) project #388731804 'Fluence modulated proton computed tomography: a new approach for low-dose image guidance in particle therapy', by the DFG's Cluster of Excellence Munich-Centre for Advanced Photonics (MAP) and the DFG's Research Training Group GRK2274 Advanced Medical Physics for Image-Guided Cancer Therapy project B4. We thank Dr. Valentina Giacometti and Dr. Pierluigi Piersimoni for sharing their initial implementation of the pCT simulation platform.</t>
  </si>
  <si>
    <t>10.1088/1361-6560/ab2b72</t>
  </si>
  <si>
    <t>WOS:000481852600002</t>
  </si>
  <si>
    <t>Ren, SL; Lu, YH; Bertolli, O; Thielemans, K; Carson, RE</t>
  </si>
  <si>
    <t>Ren, Silin; Lu, Yihuan; Bertolli, Ottavia; Thielemans, Kris; Carson, Richard E.</t>
  </si>
  <si>
    <t>Event-by-event non-rigid data-driven PET respiratory motion correction methods: comparison of principal component analysis and centroid of distribution</t>
  </si>
  <si>
    <t>respiratory motion; data-driven; non-rigid event-by-event motion correction</t>
  </si>
  <si>
    <t>LIST-MODE RECONSTRUCTION; TUMOR MOTION; COMPENSATION; ALGORITHM; SOFTWARE; SIGNAL; 3D</t>
  </si>
  <si>
    <t>Respiratory motion is a major cause of degradation of PET image quality. Respiratory gating and motion correction can be performed to reduce the effects of respiratory motion; these methods require motion information, typically obtained from external tracking systems. Various groups have studied data-driven (DD) motion estimation methods. Recently, a DD respiratory motion estimation method was established by calculating the centroid of distribution (COD) of listmode events, which was then used with event-by-event respiratory motion correction (EBE-MC) and showed results comparable to those with an external motion tracking device. The EBE-MC method only corrected for rigid motion, so that non-rigid components still contributed to motion-induced blurring. A non-rigid respiratory motion correction (NRMC) was later developed to overcome this problem, but was only evaluated using signals from an external monitor. Thus, it is desirable to further develop DD motion estimation to achieve the best respiratory motion correction results. We evaluated two DD respiratory motion detection methods, COD and principal component analysis (PCA), by comparing the extracted motion trace to that acquired by the Anzai system in dynamic studies with two tracers. PCA was chosen as a preliminary study indicated that it produced stable results than other DD methods. We then developed and performed DD-EBE-NRMC using either COD-or PCA-derived respiratory motion information. DD correction results were compared with Anzai-based results. For all tested studies, both COD and PCA showed a good-to-excellent match with Anzai signals, with PCA showing a higher correlation with Anzai signals. The DD-EBE-NRMC results showed that both COD and PCA provide comparable image quality improvement to the Anzai-based correction. Although COD showed a lower correlation with Anzai than PCA, COD-based NRMC results are comparable to those of PCA, both of which showed great reduction in motion-induced blurring.</t>
  </si>
  <si>
    <t>[Ren, Silin; Carson, Richard E.] Yale Univ, Dept Biomed Engn, POB 208048, New Haven, CT 06520 USA; [Lu, Yihuan; Carson, Richard E.] Yale Univ, Dept Radiol &amp; Biomed Imaging, New Haven, CT USA; [Bertolli, Ottavia; Thielemans, Kris] UCL, Inst Nucl Med, London, England</t>
  </si>
  <si>
    <t>Yale University; Yale University; University of London; University College London</t>
  </si>
  <si>
    <t>Ren, SL (通訊作者)， Yale Univ, Dept Biomed Engn, POB 208048, New Haven, CT 06520 USA.</t>
  </si>
  <si>
    <t>silin.ren.yale@gmail.com</t>
  </si>
  <si>
    <t>Ren, Silin/JUF-6998-2023; Thielemans, Kris/AAG-9208-2019</t>
  </si>
  <si>
    <t>Lu, Yihuan/0000-0002-9492-6802; Thielemans, Kris/0000-0002-5514-199X</t>
  </si>
  <si>
    <t>Engineering and Physical Sciences Research Council [1443987] Funding Source: researchfish</t>
  </si>
  <si>
    <t>Engineering and Physical Sciences Research Council(UK Research &amp; Innovation (UKRI)Engineering &amp; Physical Sciences Research Council (EPSRC))</t>
  </si>
  <si>
    <t>10.1088/1361-6560/ab0bc9</t>
  </si>
  <si>
    <t>WOS:000482525700005</t>
  </si>
  <si>
    <t>Um, H; Tixier, F; Bermudez, D; Deasy, JO; Young, RJ; Veeraraghavan, H</t>
  </si>
  <si>
    <t>Um, Hyemin; Tixier, Florent; Bermudez, Dalton; Deasy, Joseph O.; Young, Robert J.; Veeraraghavan, Harini</t>
  </si>
  <si>
    <t>Impact of image preprocessing on the scanner dependence of multi-parametric MRI radiomic features and covariate shift in multi-institutional glioblastoma datasets</t>
  </si>
  <si>
    <t>radiomics; magnetic resonance imaging (MRI); image preprocessing; scanner variations; covariate shift; multi-institution; glioblastoma multiforme (GBM)</t>
  </si>
  <si>
    <t>MGMT METHYLATION STATUS; TEXTURAL FEATURES; CANCER; CLASSIFICATION; SEGMENTATION; INFORMATION; PREDICTION</t>
  </si>
  <si>
    <t>Recent advances in radiomics have enhanced the value of medical imaging in various aspects of clinical practice, but a crucial component that remains to be investigated further is the robustness of quantitative features to imaging variations and across multiple institutions. In the case of MRI, signal intensity values vary according to the acquisition parameters used, yet no consensus exists on which preprocessing techniques are favorable in reducing scanner-dependent variability of image-based features. Hence, the purpose of this study was to assess the impact of common image preprocessing methods on the scanner dependence of MRI radiomic features in multi-institutional glioblastoma multiforme (GBM) datasets. Two independent GBM cohorts were analyzed: 50 cases from the TCGA-GBM dataset and 111 cases acquired in our institution, and each case consisted of 3 MRI sequences viz. FLAIR, T1-weighted, and T1-weighted post-contrast. Five image preprocessing techniques were examined: 8-bit global rescaling, 8-bit local rescaling, bias field correction, histogram standardization, and isotropic resampling. A total of 420 features divided into eight categories representing texture, shape, edge, and intensity histogram were extracted. Two distinct imaging parameters were considered: scanner manufacturer and scanner magnetic field strength. Wilcoxon tests identified features robust to the considered acquisition parameters under the selected image preprocessing techniques. A machine learning-based strategy was implemented to measure the covariate shift between the analyzed datasets using features computed using the aforementioned preprocessing methods. Finally, radiomic scores (rad-scores) were constructed by identifying features relevant to patients' overall survival after eliminating those impacted by scanner variability. These were then evaluated for their prognostic significance through Kaplan-Meier and Cox hazards regression analyses. Our results demonstrate that overall, histogram standardization contributes the most in reducing radiomic feature variability as it is the technique to reduce the covariate shift for three feature categories and successfully discriminate patients into groups of different survival risks.</t>
  </si>
  <si>
    <t>[Um, Hyemin; Tixier, Florent; Bermudez, Dalton; Deasy, Joseph O.; Veeraraghavan, Harini] Mem Sloan Kettering Canc Ctr, Dept Med Phys, New York, NY 10065 USA; [Young, Robert J.] Mem Sloan Kettering Canc Ctr, Dept Radiol, New York, NY 10065 USA; [Young, Robert J.] Mem Sloan Kettering Canc Ctr, Brain Tumor Ctr, New York, NY 10065 USA; [Um, Hyemin] Mem Sloan Kettering Canc Ctr, Dept Med Phys, 485 Lexington Ave, New York, NY 10017 USA</t>
  </si>
  <si>
    <t>Memorial Sloan Kettering Cancer Center; Memorial Sloan Kettering Cancer Center; Memorial Sloan Kettering Cancer Center; Memorial Sloan Kettering Cancer Center</t>
  </si>
  <si>
    <t>Um, H (通訊作者)， Mem Sloan Kettering Canc Ctr, Dept Med Phys, New York, NY 10065 USA.;Um, H (通訊作者)， Mem Sloan Kettering Canc Ctr, Dept Med Phys, 485 Lexington Ave, New York, NY 10017 USA.</t>
  </si>
  <si>
    <t>umh@mskcc.org</t>
  </si>
  <si>
    <t>; Young, Robert/AAD-9823-2020; Bermudez, Dalton/KTI-7165-2024; Tixier, Florent/AAE-2952-2019; Veeraraghavan, Harini/M-1986-2018</t>
  </si>
  <si>
    <t>Deasy, Joseph/0000-0002-9437-266X; Tixier, Florent/0000-0002-9668-6574; Um, Hyemin/0000-0003-2083-7484; Bermudez, Dalton/0000-0002-5044-8757; Veeraraghavan, Harini/0000-0002-4054-5529</t>
  </si>
  <si>
    <t>National Institutes of Health/National Cancer Institute Cancer Center Support Grant [P30 CA008748]; Brain Tumor Center at Memorial Sloan Kettering Cancer Center; Neuro-Oncology Research Translation in Humans (NORTH) Program at Memorial Sloan Kettering Cancer Center</t>
  </si>
  <si>
    <t>National Institutes of Health/National Cancer Institute Cancer Center Support Grant; Brain Tumor Center at Memorial Sloan Kettering Cancer Center; Neuro-Oncology Research Translation in Humans (NORTH) Program at Memorial Sloan Kettering Cancer Center</t>
  </si>
  <si>
    <t>The authors are grateful to Aditya Apte and Aditi Iyer for their valuable assistance with the publicly available software Computational Environment for Radiomics Research (CERR). This work was supported in part from the National Institutes of Health/National Cancer Institute Cancer Center Support Grant P30 CA008748, and the Brain Tumor Center and Neuro-Oncology Research Translation in Humans (NORTH) Program at Memorial Sloan Kettering Cancer Center.</t>
  </si>
  <si>
    <t>10.1088/1361-6560/ab2f44</t>
  </si>
  <si>
    <t>WOS:000482525700002</t>
  </si>
  <si>
    <t>Liu, CC; Qi, JY</t>
  </si>
  <si>
    <t>Liu, Chih-Chieh; Qi, Jinyi</t>
  </si>
  <si>
    <t>Higher SNR PET image prediction using a deep learning model and MRI image</t>
  </si>
  <si>
    <t>positron emission tomography; deep learning; neural network</t>
  </si>
  <si>
    <t>RECONSTRUCTION; NETWORK; INFORMATION; CANCER</t>
  </si>
  <si>
    <t>PET images often suffer poor signal-to-noise ratio (SNR). Our objective is to improve the SNR of PET images using a deep neural network (DNN) model and MRI images without requiring any higher SNR PET images in training. Our proposed DNN model consists of three modified U-Nets (3U-net). The PET training input data and targets were reconstructed using filtered-backprojection (FBP) and maximum likelihood expectation maximization (MLEM), respectively. FBP reconstruction was used because of its computational efficiency so that the trained network not only removes noise, but also accelerates image reconstruction. Digital brain phantoms downloaded from BrainWeb were used to evaluate the proposed method. Poisson noise was added into sinogram data to simulate a 6 min brain PET scan. Attenuation effect was included and corrected before the image reconstruction. Extra Poisson noise was introduced to the training inputs to improve the network denoising capability. Three independent experiments were conducted to examine the reproducibility. A lesion was inserted into testing data to evaluate the impact of mismatched MRI information using the contrast-to-noise ratio (CNR). The negative impact on noise reduction was also studied when miscoregistration between PET and MRI images occurs. Compared with 1U-net trained with only PET images, training with PET/MRI decreased the mean squared error (MSE) by 31.3% and 34.0% for 1U-net and 3U-net, respectively. The MSE reduction is equivalent to an increase in the count level by 2.5 folds and 2.9 folds for 1U-net and 3U-net, respectively. Compared with the MLEM images, the lesion CNR was improved 2.7 folds and 1.4 folds for 1U-net and 3U-net, respectively. The results show that the proposed method could improve the PET SNR without having higher SNR PET images.</t>
  </si>
  <si>
    <t>[Liu, Chih-Chieh; Qi, Jinyi] Univ Calif Davis, Dept Biomed Engn, Davis, CA 95616 USA</t>
  </si>
  <si>
    <t>Qi, JY (通訊作者)， Univ Calif Davis, Dept Biomed Engn, Davis, CA 95616 USA.</t>
  </si>
  <si>
    <t>qi@ucdavis.edu</t>
  </si>
  <si>
    <t>Liu, Chih-Chieh/ABA-2011-2020; Qi, Jinyi/IXW-8224-2023; Qi, Jinyi/A-1768-2010</t>
  </si>
  <si>
    <t>Qi, Jinyi/0000-0002-5428-0322; Liu, Chih-Chieh/0000-0003-1968-8346</t>
  </si>
  <si>
    <t>National Institute of Biomedical Imaging and Bioengineering (NIBIB) [R01EB000194, R21EB026668]</t>
  </si>
  <si>
    <t>This work is supported by the National Institute of Biomedical Imaging and Bioengineering (NIBIB) under grant no. R01EB000194 and R21EB026668.</t>
  </si>
  <si>
    <t>10.1088/1361-6560/ab0dc0</t>
  </si>
  <si>
    <t>WOS:000468942900004</t>
  </si>
  <si>
    <t>Shen, CY; Gonzalez, Y; Klages, P; Qin, N; Jung, H; Chen, LY; Nguyen, D; Jiang, SB; Jia, X</t>
  </si>
  <si>
    <t>Shen, Chenyang; Gonzalez, Yesenia; Klages, Peter; Qin, Nan; Jung, Hyunuk; Chen, Liyuan; Dan Nguyen; Jiang, Steve B.; Jia, Xun</t>
  </si>
  <si>
    <t>Intelligent inverse treatment planning via deep reinforcement learning, a proof-of-principle study in high dose-rate brachytherapy for cervical cancer</t>
  </si>
  <si>
    <t>treatment planning; deep reinforcement learning; auto-planning; human-level intelligence; brachytherapy; weight tuning</t>
  </si>
  <si>
    <t>PARAMETER OPTIMIZATION; RADIATION-THERAPY; NEURAL-NETWORKS; IMRT; RADIOTHERAPY; ADAPTATION; WEIGHTS; GAME; GO</t>
  </si>
  <si>
    <t>Inverse treatment planning in radiation therapy is formulated as solving optimization problems. The objective function and constraints consist of multiple terms designed for different clinical and practical considerations. Weighting factors of these terms are needed to define the optimization problem. While a treatment planning optimization engine can solve the optimization problem with given weights, adjusting the weights to yield a high-quality plan is typically performed by a human planner. Yet the weight-tuning task is labor intensive, time consuming, and it critically affects the final plan quality. An automatic weight-tuning approach is strongly desired. The procedure of weight adjustment to improve the plan quality is essentially a decision-making problem. Motivated by the tremendous success in deep learning for decision making with human-level intelligence, we propose a novel framework to adjust the weights in a human-like manner. This study used inverse treatment planning in high-dose-rate brachytherapy (HDRBT) for cervical cancer as an example. We developed a weight-tuning policy network (WTPN) that observes dose volume histograms of a plan and outputs an action to adjust organ weighting factors, similar to the behaviors of a human planner. We trained the WTPN via end-to-end deep reinforcement learning. Experience replay was performed with the epsilon greedy algorithm. After training was completed, we applied the trained WTPN to guide treatment planning of five testing patient cases. It was found that the trained WTPN successfully learnt the treatment planning goals and was able to guide the weight tuning process. On average, the quality score of plans generated under the WTPN's guidance was improved by similar to 8.5% compared to the initial plan with arbitrarily set weights, and by 10.7% compared to the plans generated by human planners. To our knowledge, this was the first time that a tool was developed to adjust organ weights for the treatment planning optimization problem in a human-like fashion based on intelligence learnt from a training process, which was different from existing strategies based on pre-defined rules. The study demonstrated potential feasibility to develop intelligent treatment planning approaches via deep reinforcement learning.</t>
  </si>
  <si>
    <t>[Shen, Chenyang; Gonzalez, Yesenia; Qin, Nan; Jung, Hyunuk; Jia, Xun] Univ Texas Southwestern Med Ctr Dallas, Innovat Technol Radiotherapy Computat &amp; Hardware, Dept Radiat Oncol, Dallas, TX 75287 USA; [Shen, Chenyang; Gonzalez, Yesenia; Qin, Nan; Jung, Hyunuk; Chen, Liyuan; Dan Nguyen; Jiang, Steve B.; Jia, Xun] Univ Texas Southwestern Med Ctr Dallas, Med Artificial Intelligence &amp; Automat MAIA Lab, Dept Radiat Oncol, Dallas, TX 75287 USA; [Klages, Peter] Mem Sloan Kettering Canc Ctr, Dept Med Phys, 1275 York Ave, New York, NY 10065 USA</t>
  </si>
  <si>
    <t>University of Texas System; University of Texas Southwestern Medical Center; University of Texas System; University of Texas Southwestern Medical Center; Memorial Sloan Kettering Cancer Center</t>
  </si>
  <si>
    <t>Shen, CY (通訊作者)， Univ Texas Southwestern Med Ctr Dallas, Innovat Technol Radiotherapy Computat &amp; Hardware, Dept Radiat Oncol, Dallas, TX 75287 USA.;Shen, CY (通訊作者)， Univ Texas Southwestern Med Ctr Dallas, Med Artificial Intelligence &amp; Automat MAIA Lab, Dept Radiat Oncol, Dallas, TX 75287 USA.</t>
  </si>
  <si>
    <t>chenyang.shen@utsouthwestern.edu; xun.jia@utsouthwestern.edu</t>
  </si>
  <si>
    <t>Chen, Liyuan/AAF-3864-2020; Qin, Nan/F-8765-2017; Gonzalez, Yesenia/AAK-5857-2020; Shen, Chenyang/I-2144-2019; Jiang, Steve/GRO-3951-2022</t>
  </si>
  <si>
    <t>Shen, Chenyang/0000-0001-6490-6555; Nguyen, Dan/0000-0002-9590-0655; Gonzalez, Yesenia/0000-0002-0945-6771</t>
  </si>
  <si>
    <t>NIH [1R01CA237269]</t>
  </si>
  <si>
    <t>This work was partially supported by NIH grant 1R01CA237269.</t>
  </si>
  <si>
    <t>10.1088/1361-6560/ab18bf</t>
  </si>
  <si>
    <t>WOS:000469802000005</t>
  </si>
  <si>
    <t>Anthony, GI; Bollen, V; Hendley, S; Antic, T; Sammet, S; Bader, KB</t>
  </si>
  <si>
    <t>Anthony, Gregory, I; Bollen, Viktor; Hendley, Samuel; Antic, Tatjana; Sammet, Steffen; Bader, Kenneth B.</t>
  </si>
  <si>
    <t>Assessment of histotripsy-induced liquefaction with diagnostic ultrasound and magnetic resonance imaging in vitro and ex vivo</t>
  </si>
  <si>
    <t>magnetic resonance imaging; passive cavitation imaging; diagnostic ultrasound; histotripsy</t>
  </si>
  <si>
    <t>INTENSITY FOCUSED ULTRASOUND; PULSED CAVITATIONAL ULTRASOUND; TISSUE ABLATION; THERAPY; BACKSCATTER; PRINCIPLES; PROSTATE; FEEDBACK</t>
  </si>
  <si>
    <t>Histotripsy is a therapeutic ultrasound modality under development to liquefy tissue mechanically via bubble clouds. Image guidance of histotripsy requires both quantification of the bubble cloud activity and accurate delineation of the treatment zone. In this study, magnetic resonance (MR) and diagnostic ultrasound imaging were combined to assess histotripsy treatment in vitro and ex vivo. Mechanically ablative histotripsy pulses were applied to agarose phantoms or porcine livers. Bubble cloud emissions were monitored with passive cavitation imaging (PCI), and hyperechogenicity via plane wave imaging. Changes in the medium structure due to bubble activity were assessed with diagnostic ultrasound using conventional B-mode imaging and T-1-, T-2-, and diffusion-weighted MR images acquired at 3 Tesla. Liquefaction zones were correlated with diagnostic ultrasound and MR imaging via receiver operating characteristic (ROC) analysis and Dice similarity coefficient (DSC) analysis. Diagnostic ultrasound indicated strong bubble activity for all samples. Histotripsy-induced changes in sample structure were evident on conventional B-mode and T-2-weighted images for all samples, and were dependent on the sample type for T-1- and diffusion-weighted imaging. The greatest changes observed on conventional B-mode or MR imaging relative to baseline in the samples did not necessarily indicate the regions of strongest bubble activity. Areas under the ROC curve for predicting phantom or liver liquefaction were significantly greater than 0.5 for PCI power, plane wave and conventional B-mode grayscale, T-1, T-2, and ADC. The acoustic power mapped via PCI provided a better prediction of liquefaction than assessment of the liquefaction zone via conventional B-mode or MR imaging for all samples. The DSC values for T-2-weighted images were greater than those derived from conventional B-mode images. These results indicate diagnostic ultrasound and MR imaging provide complimentary sets of information, demonstrating that multimodal imaging is useful for assessment of histotripsy liquefaction.</t>
  </si>
  <si>
    <t>[Anthony, Gregory, I; Bollen, Viktor; Hendley, Samuel; Antic, Tatjana; Sammet, Steffen; Bader, Kenneth B.] Univ Chicago, Chicago, IL 60637 USA</t>
  </si>
  <si>
    <t>University of Chicago</t>
  </si>
  <si>
    <t>Bader, KB (通訊作者)， Univ Chicago, Chicago, IL 60637 USA.</t>
  </si>
  <si>
    <t>baderk@uchicago.edu</t>
  </si>
  <si>
    <t>Sammet, Steffen/E-4009-2011</t>
  </si>
  <si>
    <t>Sammet, Steffen/0000-0001-6564-9132; Bader, Kenneth/0000-0003-2384-3150</t>
  </si>
  <si>
    <t>National Institutes of Health [R01HL133334, K12CA139160, T32EB002103]; University of Chicago Comprehensive Cancer Center; National Institutes of Health National Cancer Institute [P30CA014599]; Paul C Hodges Alumni Society of the Department of Radiology at the University of Chicago; MRIRC research core; HTRC core facility</t>
  </si>
  <si>
    <t>National Institutes of Health(United States Department of Health &amp; Human ServicesNational Institutes of Health (NIH) - USA); University of Chicago Comprehensive Cancer Center; National Institutes of Health National Cancer Institute(United States Department of Health &amp; Human ServicesNational Institutes of Health (NIH) - USANIH National Cancer Institute (NCI)); Paul C Hodges Alumni Society of the Department of Radiology at the University of Chicago; MRIRC research core; HTRC core facility</t>
  </si>
  <si>
    <t>We would like to acknowledge and thank the MRIRC research core and the HTRC core facility for their support on this project. This work was supported in part by the National Institutes of Health Grant R01HL133334, Grant K12CA139160, and Grant T32EB002103 (Greg Anthony), the University of Chicago Comprehensive Cancer Center and National Institutes of Health National Cancer Institute under Grant P30CA014599, and the Paul C Hodges Alumni Society of the Department of Radiology at the University of Chicago.</t>
  </si>
  <si>
    <t>10.1088/1361-6560/ab143f</t>
  </si>
  <si>
    <t>WOS:000466862700002</t>
  </si>
  <si>
    <t>Rosendahl, S; Büermann, L; Borowski, M; Kortesniemi, M; Sundell, VM; Kosunen, A; Siiskonen, T</t>
  </si>
  <si>
    <t>Rosendahl, S.; Bueermann, L.; Borowski, M.; Kortesniemi, M.; Sundell, V-M; Kosunen, A.; Siiskonen, T.</t>
  </si>
  <si>
    <t>CT beam dosimetric characterization procedure for personalized dosimetry</t>
  </si>
  <si>
    <t>computed tomography; personalized radiation dosimetry; Monte Carlo simulation; equivalent source models</t>
  </si>
  <si>
    <t>MONTE-CARLO TOOL; HALF-VALUE LAYER; X-RAY TUBE; DOSE CALCULATIONS; ENERGY-SPECTRA; VALIDATION; FILTRATION</t>
  </si>
  <si>
    <t>Personalized dosimetry in computed tomography (CT) can be realized by a full Monte Carlo (MC) simulation of the scan procedure. Essential input data needed for the simulation are appropriate CT x-ray source models and a model of the patient's body which is based on the CT image. The purpose of this work is to develop comprehensive procedures for the determination of CT x-ray source models and their verification by comparison of calculated and measured dose distributions in physical phantoms. Mobile equipment together with customized software was developed and used for non-invasive determination of equivalent source models of CT scanners under clinical conditions. Standard and physical anthropomorphic CT dose phantoms equipped with real-time CT dose probes at five representative positions were scanned. The accumulated dose was measured during the scan at the five positions. ImpactMC, an MC-based CT dose software program, was used to simulate the scan. The necessary inputs were obtained from the scan parameters, from the equivalent source models and from the material-segmented CT images of the phantoms. 3D dose distributions in the phantoms were simulated and the dose values calculated at the five positions inside the phantom were compared to measured dose values. Initial results were obtained by means of a General Electric Optima CT 660 and a Toshiba (Canon) Aquilion ONE. In general, the measured and calculated dose values were within relative uncertainties that had been estimated to be less than 10%. The procedures developed were found to be viable and rapid. The procedures are applicable to any scanner type under clinical conditions without making use of the service mode with stationary x-ray tube position. Results show that the procedures are well suited for determining and verifying the equivalent source models needed for personalized CT dosimetry based on post-scan MC calculations.</t>
  </si>
  <si>
    <t>[Rosendahl, S.; Bueermann, L.] Phys Tech Bundesanstalt, Bundesallee 100, D-38116 Braunschweig, Germany; [Borowski, M.] Stadtisches Klinikum Braunschweig gGmbH, Salzdahlumerstr 90, D-38126 Braunschweig, Germany; [Kortesniemi, M.; Sundell, V-M] Helsinki Univ Cent Hosp, HUS Med Imaging Ctr, Haartmaninkatu 4, Helsinki 00290, Finland; [Kosunen, A.; Siiskonen, T.] STUK Radiat &amp; Nucl Safety Author, Laippatie 4, Helsinki 00880, Finland</t>
  </si>
  <si>
    <t>Physikalisch-Technische Bundesanstalt (PTB); University of Helsinki; Helsinki University Central Hospital; Hyvinkaan Sairaala; Radiation &amp; Nuclear Safety Authority (STUK)</t>
  </si>
  <si>
    <t>Büermann, L (通訊作者)， Phys Tech Bundesanstalt, Bundesallee 100, D-38116 Braunschweig, Germany.</t>
  </si>
  <si>
    <t>ludwig.bueermann@ptb.de</t>
  </si>
  <si>
    <t>EMPIR programme [15HLT05]; European Union</t>
  </si>
  <si>
    <t>EMPIR programme; European Union(European Union (EU))</t>
  </si>
  <si>
    <t>The authors thank Reinulf Bottcher, Hartmut Drehsler, Marvin Wenzel and Lars Herrman (PTB) for supporting the measurements and mechanical construction of the mobile measurement equipment. This project has received funding from the EMPIR programme 15HLT05, 'Metrology for multi-modality imaging of impaired tissue perfusion'. The EMPIR initiative is co-funded by the European Union's Horizon 2020 research and innovation programme and the EMPIR Participating States.</t>
  </si>
  <si>
    <t>10.1088/1361-6560/ab0e97</t>
  </si>
  <si>
    <t>WOS:000462887300001</t>
  </si>
  <si>
    <t>Ludwig, V; Seifert, M; Hauke, C; Hellbach, K; Horn, F; Pelzer, G; Radicke, M; Rieger, J; Sutter, SM; Michel, T; Anton, G</t>
  </si>
  <si>
    <t>Ludwig, Veronika; Seifert, Maria; Hauke, Christian; Hellbach, Katharina; Horn, Florian; Pelzer, Georg; Radicke, Marcus; Rieger, Jens; Sutter, Sven-Martin; Michel, Thilo; Anton, Gisela</t>
  </si>
  <si>
    <t>Exploration of different x-ray Talbot-Lau setups for dark-field lung imaging examined in a porcine lung</t>
  </si>
  <si>
    <t>x-ray dark-field imaging; correlation length; lung/pulmonary imaging; sensitivity and visibility; grating-based x-ray imaging; Talbot-Lau interferometer</t>
  </si>
  <si>
    <t>NONDESTRUCTIVE CHARACTERIZATION; COMPUTED-TOMOGRAPHY; CONTRAST; DIAGNOSIS; RADIOGRAPHY; SENSITIVITY; SIMULATION; GENERATION; COHERENT; ORIGIN</t>
  </si>
  <si>
    <t>X-ray dark-field imaging is a promising technique for lung diagnosis. Due to the alveolar structure of lung tissue, a higher contrast is obtained by the dark-field image compared to the attenuation image. Animal studies indicate an enhancement regarding the detection of lung diseases in early stages. In this publication, we focus on the influence of different Talbot-Lau interferometer specifications while maintaining the x-ray source, sample magnification and detector system. By imaging the same porcine lung with three different grating sets, we analyze the contrast-to-noise ratio of the obtained dark-field images with respect to visibility and correlation length. We demonstrate that relatively large grating periods of the phase and of the analyzer grating are sufficient for high quality lung imaging at reasonable dose levels.</t>
  </si>
  <si>
    <t>[Ludwig, Veronika; Seifert, Maria; Hauke, Christian; Horn, Florian; Pelzer, Georg; Rieger, Jens; Michel, Thilo; Anton, Gisela] Friedrich Alexander Univ Erlangen Nuremberg, Erlangen Ctr Astroparticle Phys, D-91058 Erlangen, Germany; [Hellbach, Katharina] Ludwig Maximilians Univ Munchen, Dept Radiol, Univ Hosp, D-80336 Munich, Germany; [Hauke, Christian; Radicke, Marcus; Sutter, Sven-Martin] Siemens Healthcare GmbH, D-91301 Forchheim, Germany</t>
  </si>
  <si>
    <t>University of Erlangen Nuremberg; University of Munich; Siemens AG</t>
  </si>
  <si>
    <t>Ludwig, V (通訊作者)， Friedrich Alexander Univ Erlangen Nuremberg, Erlangen Ctr Astroparticle Phys, D-91058 Erlangen, Germany.</t>
  </si>
  <si>
    <t>veronika.ludwig@fau.de</t>
  </si>
  <si>
    <t>; Michel, Thilo/AAT-9705-2020; Anton, Gisela/C-4840-2013</t>
  </si>
  <si>
    <t>Ludwig, Veronika/0000-0003-3711-6958; Anton, Gisela/0000-0003-2039-4724; Horn, Florian/0000-0001-5421-0888; Seifert, Maria/0000-0003-3651-7899</t>
  </si>
  <si>
    <t>10.1088/1361-6560/ab051c</t>
  </si>
  <si>
    <t>HP1KQ</t>
  </si>
  <si>
    <t>WOS:000461426100002</t>
  </si>
  <si>
    <t>Wang, YJ; Liu, SW; Wang, G; Liu, Y</t>
  </si>
  <si>
    <t>Wang, Yuanjun; Liu, Shiwei; Wang, Ge; Liu, Yu</t>
  </si>
  <si>
    <t>Accurate tooth segmentation with improved hybrid active contour model</t>
  </si>
  <si>
    <t>dental CBCT images; active contour model; anterior teeth segmentation; tooth root</t>
  </si>
  <si>
    <t>LEVEL SET EVOLUTION; IMAGE; DRIVEN; TEETH</t>
  </si>
  <si>
    <t>In orthodontic diagnosis and oral treatment planning, 3D tooth model constructed by dental computed tomography (CT) images is an essential and useful assisted tool. In virtue of the higher spatial resolution and lower radiation of x-ray, cone beam computed tomography (CBCT) has been widely used in dental application. However, due to lower signal to noise ratio, vague and weak edge between tooth root and sockets as well as intensity inhomogeneity, the tooth root is easy to be under-segmented and appears false boundary. This paper presents a new hybrid active contour model in a variational level set formulation to segment the tooth root accurately. Initial shape and intensity information from the upper layer is used for next layer's enhancement and shape constraint. The hybrid level set model is constituted by multi-scale local likelihood image fitting (LLIF) energy term, prior shape constraint energy term with adaptive weight and reaction-diffiusion (RD) regularization energy term. For detailed interpretation of this hybrid energy model, the intensity information in a narrowband region outside the contour was used to enhance the contrast between tooth dentine and sockets. The LLIF energy term was incorporated into the level set function to overcome the edge fuzziness and intensity inhomogeneity. The shape prior energy term with adaptive weight was used to differentiate the constraint of the contour evolution inside and outside the level set function to improve the capability of curve topology changes. The RD energy term was introduced to effectively regularize the level set evolution. A new measurement for tooth segmentation evaluation was proposed for quantitative validation. The experimental result of the proposed method was compared with two other typical approaches, and was demonstrated to achieve a higher segmentation accuracy.</t>
  </si>
  <si>
    <t>[Wang, Yuanjun; Liu, Shiwei; Wang, Ge] Univ Shanghai Sci &amp; Technol, Sch Med Instrument &amp; Food Engn, Shanghai 200093, Peoples R China; [Liu, Yu] Shanghai Jiao Tong Univ, Sch Med, Shanghai Ninth Peoples Hosp, Dept Radiol, Shanghai 200011, Peoples R China</t>
  </si>
  <si>
    <t>University of Shanghai for Science &amp; Technology; Shanghai Jiao Tong University</t>
  </si>
  <si>
    <t>Liu, SW (通訊作者)， Univ Shanghai Sci &amp; Technol, Sch Med Instrument &amp; Food Engn, Shanghai 200093, Peoples R China.;Liu, Y (通訊作者)， Shanghai Jiao Tong Univ, Sch Med, Shanghai Ninth Peoples Hosp, Dept Radiol, Shanghai 200011, Peoples R China.</t>
  </si>
  <si>
    <t>yjusst@126.com; yliu9y@126.com</t>
  </si>
  <si>
    <t>; Liu, Shiwei/JPL-9105-2023</t>
  </si>
  <si>
    <t>Wang, Yuanjun/0000-0003-2573-1144;</t>
  </si>
  <si>
    <t>Natural Science Foundation of Shanghai [18ZR1426900]; National Natural Science Foundation of China [61201067, 81401455]</t>
  </si>
  <si>
    <t>Natural Science Foundation of Shanghai(Natural Science Foundation of Shanghai); National Natural Science Foundation of China(National Natural Science Foundation of China (NSFC))</t>
  </si>
  <si>
    <t>This work is sponsored by Natural Science Foundation of Shanghai (18ZR1426900), National Natural Science Foundation of China (61201067, 81401455).</t>
  </si>
  <si>
    <t>10.1088/1361-6560/aaf441</t>
  </si>
  <si>
    <t>WOS:000454239200005</t>
  </si>
  <si>
    <t>Elter, A; Dorsch, S; Mann, P; Runz, A; Johnen, W; Spindeldreier, CK; Klüter, S; Karger, CP</t>
  </si>
  <si>
    <t>Elter, A.; Dorsch, S.; Mann, P.; Runz, A.; Johnen, W.; Spindeldreier, C. K.; Klueter, S.; Karger, C. P.</t>
  </si>
  <si>
    <t>End-to-end test of an online adaptive treatment procedure in MR-guided radiotherapy using a phantom with anthropomorphic structures</t>
  </si>
  <si>
    <t>magnetic resonance-guided (adaptive) radiotherapy (MRgRT); inter-fractional motion; end-to-end test; deformable anthropomorphic phantom; 3D gel dosimetry (PAGAT)</t>
  </si>
  <si>
    <t>POLYMER GEL DOSIMETRY; MAGNETIC-RESONANCE; COMPUTED-TOMOGRAPHY; DOSE VERIFICATION; HEAD; VALIDATION; MARGINS; SYSTEM; IMRT; ECHO</t>
  </si>
  <si>
    <t>Online adaptive treatment procedures in magnetic resonance (MR)-guided radiotherapy (MRgRT) allow compensating for inter-fractional anatomical variations in the patient. Clinical implementation of these procedures, however, requires specific end-to-end tests to validate the treatment chain including imaging, treatment planning, positioning, treatment plan adaption and accurate dose delivery. For this purpose, a new phantom with reproducibly adjustable anthropomorphic structures has been developed. These structures can be filled either with contrast materials providing anthropomorphic image contrast in MR and CT or with polymer dosimetry gel (PG) allowing for 3D dose measurements. To test an adaptive workflow at a 0.35 T MR-Linac, the phantom was employed in two settings simulating inter-fractional anatomical variations within the patient. The settings included two PG-filled structures representing a tumour and an adjacent organ at risk (OAR) as well as five additional structures. After generating a treatment plan, three irradiation experiments were performed: (i) delivering the treatment plan to the phantom in reference setting, (ii) delivering the treatment plan after changing the phantom to a displaced setting without adaption, and (iii) adapting the treatment plan online to the new setting and delivering it to the phantom. PG measurements revealed a homogeneous tumour coverage and OAR sparing for experiment (i) and a significant under-dosage in the PTV (down to 45% of the prescribed dose) and over-dosage in the OAR (up to 180% relative to the planned dose) in experiment (ii). In experiment (iii), a uniform dose in the PTV and a significantly reduced dose in the OAR was obtained, well-comparable to that of experiment (i) where no adaption of the treatment plan was necessary. PG measurements were well comparable with the corresponding treatment plan in all irradiation experiments. The developed phantom can be used to perform end-to-end tests of online adaptive treatment procedures at MR-Linac devices before introducing them to patients.</t>
  </si>
  <si>
    <t>[Elter, A.; Dorsch, S.; Mann, P.; Runz, A.; Johnen, W.; Karger, C. P.] German Canc Res Ctr, Dept Med Phys Radiat Oncol, INF 280, Heidelberg, Germany; [Elter, A.; Dorsch, S.] Heidelberg Univ, Fac Phys &amp; Astron, Heidelberg, Germany; [Spindeldreier, C. K.; Klueter, S.] Univ Hosp Heidelberg, Dept Radiat Oncol, INF 400, D-69120 Heidelberg, Germany; [Elter, A.; Dorsch, S.; Mann, P.; Runz, A.; Johnen, W.; Spindeldreier, C. K.; Klueter, S.; Karger, C. P.] HIRO, Natl Ctr Radiat Res Oncol NCRO, Heidelberg, Germany; [Mann, P.] HQ Imaging GmbH, Heidelberg, Germany</t>
  </si>
  <si>
    <t>Helmholtz Association; German Cancer Research Center (DKFZ); Ruprecht Karls University Heidelberg; Ruprecht Karls University Heidelberg</t>
  </si>
  <si>
    <t>Elter, A (通訊作者)， German Canc Res Ctr, Dept Med Phys Radiat Oncol, INF 280, Heidelberg, Germany.;Elter, A (通訊作者)， Heidelberg Univ, Fac Phys &amp; Astron, Heidelberg, Germany.;Elter, A (通訊作者)， HIRO, Natl Ctr Radiat Res Oncol NCRO, Heidelberg, Germany.</t>
  </si>
  <si>
    <t>a.elter@dkfz.de</t>
  </si>
  <si>
    <t>Klueter, Sebastian/DRC-0812-2022; Elter, Alina/AAK-5005-2020</t>
  </si>
  <si>
    <t>Dorsch, Stefan/0000-0002-8185-8644; Mann, Philipp/0000-0002-2857-4861; Kluter, Sebastian/0000-0003-3139-3444; Elter, Alina/0000-0002-0295-9931</t>
  </si>
  <si>
    <t>EMPIR programme; German Research Council (DFG); European Union</t>
  </si>
  <si>
    <t>EMPIR programme; German Research Council (DFG)(German Research Foundation (DFG)); European Union(European Union (EU))</t>
  </si>
  <si>
    <t>This work was supported by the EMPIR programme co-financed by the Participating States and from the European Union's Horizon 2020 research and innovation programme. We would like to thank the German Research Council (DFG) for the funding of the MR-Linac device. In addition, the authors would like to thank Professor Dr K Kopka for providing the lab space to produce the polymer gel.</t>
  </si>
  <si>
    <t>10.1088/1361-6560/ab4d8e</t>
  </si>
  <si>
    <t>JR0VD</t>
  </si>
  <si>
    <t>WOS:000499352700001</t>
  </si>
  <si>
    <t>Moren, B; Larsson, T; Tedgren, AC</t>
  </si>
  <si>
    <t>Moren, Bjorn; Larsson, Torbjorn; Tedgren, Asa Carlsson</t>
  </si>
  <si>
    <t>A mathematical optimization model for spatial adjustments of dose distributions in high dose-rate brachytherapy</t>
  </si>
  <si>
    <t>high dose-rate brachytherapy; mathematical optimization; dosimetric index; dose-volume model; hot spots; dose heterogeneity; spatial dose distribution</t>
  </si>
  <si>
    <t>HDR-BRACHYTHERAPY; PLAN QUALITY; TARGET; INDEX; SPOTS; HOT</t>
  </si>
  <si>
    <t>High dose-rate brachytherapy is a modality of radiation therapy used for cancer treatment, in which the radiation source is placed within the body. The treatment goal is to give a high enough dose to the tumour while sparing nearby healthy tissue and organs (organs-at-risk). The most common criteria for evaluating dose distributions are dosimetric indices. For the tumour, such an index is the portion of the volume that receives at least a specified dose level (e.g. the prescription dose), while for organs-at-risk it is instead the portion of the volume that receives at most a specified dose level. Dosimetric indices are aggregate criteria and do not consider spatial properties of the dose distribution. Further, there are neither any established evaluation criteria for characterizing spatial properties, nor have such properties been studied in the context of mathematical optimization of brachytherapy. Spatial properties are however of clinical relevance and therefore dose plans are sometimes adjusted manually to improve them. We propose an optimization model for reducing the prevalence of contiguous volumes with a too high dose (hot spots) or a too low dose (cold spots) in a tentative dose plan. This model is independent of the process of constructing the tentative plan. We conduct computational experiments with tentative plans obtained both from optimization models and from clinical practice. The objective function considers pairs of dose points and each pair is given a distance-based penalty if the dose is either too high or too low at both dose points. Constraints are included to retain dosimetric indices at acceptable levels. Our model is designed to automate the manual adjustment step in the planning process. In the automatic adjustment step large-scale optimization models are solved. We show reductions of the volumes of the largest hot and cold spots, and the computing times are feasible in clinical practice.</t>
  </si>
  <si>
    <t>[Moren, Bjorn; Larsson, Torbjorn] Linkoping Univ, Dept Math, Linkoping, Sweden; [Tedgren, Asa Carlsson] Linkoping Univ, Dept Med &amp; Hlth Sci, Radiat Phys, Linkoping, Sweden; [Tedgren, Asa Carlsson] Karolinska Univ Hosp, Med Radiat Phys &amp; Nucl Med, Stockholm, Sweden; [Tedgren, Asa Carlsson] Karolinska Inst, Dept Oncol Pathol, Stockholm, Sweden</t>
  </si>
  <si>
    <t>Linkoping University; Linkoping University; Karolinska Institutet; Karolinska University Hospital; Karolinska Institutet</t>
  </si>
  <si>
    <t>Moren, B (通訊作者)， Linkoping Univ, Dept Math, Linkoping, Sweden.</t>
  </si>
  <si>
    <t>bjorn.moren@liu.se</t>
  </si>
  <si>
    <t>; Tedgren, Åsa/JWG-6302-2024; Larsson, Torbjorn/F-2536-2011; Morén, Björn/AAA-2988-2021; Larsson, Torbjörn/F-2536-2011; Carlsson Tedgren, Asa/JWG-6302-2024</t>
  </si>
  <si>
    <t>Moren, Bjorn/0000-0001-7191-5206; Larsson, Torbjorn/0000-0003-2094-7376; Carlsson Tedgren, Asa/0000-0002-4549-8303</t>
  </si>
  <si>
    <t>Swedish Research Council [VR-NT 2015-04543]; Swedish Cancer Society [CAN 2015/618, CAN 2018/622]</t>
  </si>
  <si>
    <t>Swedish Research Council(Swedish Research Council); Swedish Cancer Society(Swedish Cancer Society)</t>
  </si>
  <si>
    <t>The project was funded by the Swedish Research Council, Grant No. VR-NT 2015-04543 and by the Swedish Cancer Society, Grants Nos. CAN 2015/618 and CAN 2018/622.</t>
  </si>
  <si>
    <t>10.1088/1361-6560/ab4d8d</t>
  </si>
  <si>
    <t>JR0WB</t>
  </si>
  <si>
    <t>WOS:000499355100001</t>
  </si>
  <si>
    <t>Liu, J; Zhang, Y; Zhao, QL; Lv, TL; Wu, WW; Cai, N; Quan, GT; Yang, W; Chen, Y; Luo, LM; Shu, HZ; Coatrieux, JL</t>
  </si>
  <si>
    <t>Liu, Jin; Zhang, Yi; Zhao, Qianlong; Lv, Tianling; Wu, Weiwen; Cai, Ning; Quan, Guotao; Yang, Wei; Chen, Yang; Luo, Limin; Shu, Huazhong; Coatrieux, Jean-Louis</t>
  </si>
  <si>
    <t>Deep iterative reconstruction estimation (DIRE): approximate iterative reconstruction estimation for low dose CT imaging</t>
  </si>
  <si>
    <t>low dose CT; deep learning; iterative reconstruction estimation; residual network</t>
  </si>
  <si>
    <t>CONVOLUTIONAL NEURAL-NETWORK; COMPUTED-TOMOGRAPHY; NOISE-REDUCTION</t>
  </si>
  <si>
    <t>The image quality in low dose computed tomography (LDCT) can be severely degraded by amplified mottle noise and streak artifacts. Although the iterative reconstruction (IR) algorithms bring sound improvements, their high computation cost remains a major inconvenient. In this work, a deep iterative reconstruction estimation (DIRE) strategy is developed to estimate IR images from LDCT analytic reconstructions images. Within this DIRE strategy, a 3D residual convolutional network (3D ResNet) architecture is proposed. Experiments on several simulated and real datasets as well as comparisons with state-of-the-art methods demonstrate that the proposed approach is effective in providing improved LDCT images.</t>
  </si>
  <si>
    <t>[Liu, Jin] Anhui Polytech Univ, Coll Comp &amp; Informat, Wuhu 241000, Peoples R China; [Zhang, Yi] Sichuan Univ, Coll Comp Sci, Chengdu 610065, Sichuan, Peoples R China; [Liu, Jin; Zhao, Qianlong; Lv, Tianling; Cai, Ning; Chen, Yang; Luo, Limin; Shu, Huazhong] Southeast Univ, Lab Image Sci &amp; Technol, Sch Comp Sci &amp; Engn, Nanjing 210096, Jiangsu, Peoples R China; [Wu, Weiwen] Chongqing Univ, Minist Educ, Key Lab Optoelect Technol &amp; Syst, Chongqing 400044, Peoples R China; [Quan, Guotao] United Imaging Healthcare Co Ltd, CT RPA Dept, Shanghai 201807, Peoples R China; [Yang, Wei] Southern Med Univ, Sch Biomed Engn, Guangzhou 510515, Guangdong, Peoples R China; [Chen, Yang] Southeast Univ, Key Lab Comp Network &amp; Informat Integrat, Minist Educ, Nanjing 210096, Jiangsu, Peoples R China; [Chen, Yang] Southeast Univ, Sch Cyber Sci &amp; Engn, Nanjing 210096, Jiangsu, Peoples R China; [Chen, Yang; Luo, Limin; Shu, Huazhong; Coatrieux, Jean-Louis] Ctr Rech Informat Biomed Sinofrancais, F-35042 Rennes, France</t>
  </si>
  <si>
    <t>Anhui Polytechnic University; Sichuan University; Southeast University - China; Chongqing University; Southern Medical University - China; Southeast University - China; Southeast University - China</t>
  </si>
  <si>
    <t>Chen, Y (通訊作者)， Southeast Univ, Lab Image Sci &amp; Technol, Sch Comp Sci &amp; Engn, Nanjing 210096, Jiangsu, Peoples R China.;Chen, Y (通訊作者)， Southeast Univ, Key Lab Comp Network &amp; Informat Integrat, Minist Educ, Nanjing 210096, Jiangsu, Peoples R China.;Chen, Y (通訊作者)， Southeast Univ, Sch Cyber Sci &amp; Engn, Nanjing 210096, Jiangsu, Peoples R China.;Chen, Y (通訊作者)， Ctr Rech Informat Biomed Sinofrancais, F-35042 Rennes, France.</t>
  </si>
  <si>
    <t>chenyang.list@seu.edu.cn</t>
  </si>
  <si>
    <t>yi, zhang/KGL-4990-2024; Wu, Weiwen/AAF-6920-2019; Lyu, Tianling/KYR-7477-2024; Coatrieux, Jean-Louis/ABC-8154-2020</t>
  </si>
  <si>
    <t>Zhang, Yi/0000-0001-7201-2092;</t>
  </si>
  <si>
    <t>State's Key Project of Research and Development Plan [2017YFA0104302, 2017YFC0109202, 2017YFC0107900]; National Natural Science Foundation [61801003, 61871117, 81530060]; Fundamental Research Funds for the Central Universities; Southeast University; Nanjing Medical University; National Institute of Biomedical Imaging and Bioengineering [EB017095, EB017185]</t>
  </si>
  <si>
    <t>State's Key Project of Research and Development Plan; National Natural Science Foundation(National Natural Science Foundation of China (NSFC)); Fundamental Research Funds for the Central Universities(Fundamental Research Funds for the Central Universities); Southeast University; Nanjing Medical University; National Institute of Biomedical Imaging and Bioengineering(United States Department of Health &amp; Human ServicesNational Institutes of Health (NIH) - USANIH National Institute of Biomedical Imaging &amp; Bioengineering (NIBIB))</t>
  </si>
  <si>
    <t>This research was supported in part by the State's Key Project of Research and Development Plan under Grant 2017YFA0104302, Grant 2017YFC0109202 and 2017YFC0107900, in part by the National Natural Science Foundation under Grant 61801003, 61871117 and 81530060, in part by the Fundamental Research Funds for the Central Universities, and in part by the joint research project of Southeast University and Nanjing Medical University. The authors would also like to thank Dr. Cynthia McCollough (the Mayo Clinic, USA) for providing clinical projection data, which was arranged under the American Association of Physicists in Medicine, and grants EB017095 and EB017185 from the National Institute of Biomedical Imaging and Bioengineering.</t>
  </si>
  <si>
    <t>10.1088/1361-6560/ab18db</t>
  </si>
  <si>
    <t>WOS:000473698800007</t>
  </si>
  <si>
    <t>Pojtinger, S; Kapsch, RP; Dohm, OS; Thorwarth, D</t>
  </si>
  <si>
    <t>Pojtinger, Stefan; Kapsch, Ralf-Peter; Dohm, Oliver Steften; Thorwarth, Daniela</t>
  </si>
  <si>
    <t>A finite element method for the determination of the relative response of ionization chambers in MR-linacs: simulation and experimental validation up to 1.5 T</t>
  </si>
  <si>
    <t>Monte Carlo; dosimetry; MR-linac; finite element simulation; EGSnrc; COMSOL; ionization chamber</t>
  </si>
  <si>
    <t>MAGNETIC-FIELDS; DOSIMETRY; ACCELERATOR</t>
  </si>
  <si>
    <t>In magnetic resonance (MR) guided radiotherapy, the magnetic field-dependent change in the dose response of ionization chambers is typically included by means of a correction factor k((B) over right arrow ,M,Q). This factor can be determined experimentally or calculated by means of Monte Carlo (MC) simulations. To date, a small number of experimental values for k((B) over right arrow ,M,Q) at magnetic flux densities above 1.2 T have been available to benchmark these simulations. Furthermore, MC simulations of the dose response of ionization chambers in magnetic fields (where such simulations are based on manufacturer blueprints) have been shown to converge with results that deviate considerably from experimental values for orientations where the magnetic field is perpendicular to the axis of the ionization chamber and the influence of the magnetic field is largest. In this work, k((B) over right arrow ,M,Q) was simulated for a PTW 30013 Farmer ionization chamber using an approach based on finite element simulations. First, the electrical field inside the ionization chamber was simulated using finite element methods. The collecting volume of the ionization was not defined in terms of the physical dimensions of the detector but in terms of the simulated electrical field lines inside the chamber. Then, an MC simulation of the dose response of a Farmer type chamber (PTW 30013) was performed using EGSnrc with a dedicated package to consider the effect of the magnetic field. In the second part, k((B) over right arrow ,M,Q) was determined experimentally for two different PTW 30013 ionization chambers for a range of magnetic flux densities between B = 0 and 1.5 T, covering the range of commercially available MR-linacs. In the perpendicular orientation, the maximum difference between the simulated values for k((B) over right arrow ,M,Q) and the experimental values for k((B) over right arrow ,M,Q) was 0.31(30)% and the minimum difference was 0.02(24)%. For the PTW 30013 ionization chambers, the experimental values for k((B) over right arrow ,M,Q) were 0.9679(1) and 0.9681(1) for a magnetic flux density of 1.5 T. The value resulting from the simulation was 0.967(3). The comparison of the correction factors simulated using this new approach with the experimental values determined in this study shows excellent agreement for all magnetic flux densities up to 1.5 T. Integrating the explicit simulation of the collection volume inside the ionization chambers into the MC simulation model significantly improves simulations of the chamber response in magnetic fields. The results presented suggest that intra- type variations for k((B) over right arrow ,M,Q) may be neglectable for ionization chambers of the PTW 30013 type.</t>
  </si>
  <si>
    <t>[Pojtinger, Stefan; Kapsch, Ralf-Peter] Phys Tech Bundesanstalt, Braunschweig, Germany; [Dohm, Oliver Steften] Univ Hosp Tubingen, Med Phys, Tubingen, Germany; [Pojtinger, Stefan; Thorwarth, Daniela] Univ Hosp Tubingen, Biomed Phys, Tubingen, Germany</t>
  </si>
  <si>
    <t>Physikalisch-Technische Bundesanstalt (PTB); Eberhard Karls University of Tubingen; Eberhard Karls University Hospital; Eberhard Karls University of Tubingen; Eberhard Karls University Hospital</t>
  </si>
  <si>
    <t>Pojtinger, S (通訊作者)， Phys Tech Bundesanstalt, Braunschweig, Germany.;Pojtinger, S (通訊作者)， Univ Hosp Tubingen, Biomed Phys, Tubingen, Germany.</t>
  </si>
  <si>
    <t>Stefan.Pojtinger@ptb.de; Ralf-Peter.Kapsch@ptb.de; Oliver.Dohm@med.uni-tuebingen.de; Daniela.Thorwarth@med.uni-tuebingen.de</t>
  </si>
  <si>
    <t>; Pojtinger, Stefan/L-4229-2019</t>
  </si>
  <si>
    <t>Pojtinger, Stefan/0000-0001-6397-4572; Thorwarth, Daniela/0000-0003-1433-9315</t>
  </si>
  <si>
    <t>state of Baden-Wurttemberg through bwHPC; German Research Foundation (DFG) [INST 39/963-1 FUGG]; EURAMET through EMPIR Grant [15HLT08 MRgRT]</t>
  </si>
  <si>
    <t>state of Baden-Wurttemberg through bwHPC; German Research Foundation (DFG)(German Research Foundation (DFG)); EURAMET through EMPIR Grant</t>
  </si>
  <si>
    <t>We acknowledge the technical support of Markus Meier, Markus Schrader and Larissa Meyer (PTB, Braunschweig, Germany), who greatly assisted the experimental work. We would like to thank Daniela Poppinga and Rafael Kranzer (PTW, Freiburg, Germany) for their constructive discussion and for providing us with detailed information on the detectors. Furthermore, we acknowledge the support provided by the state of Baden-Wurttemberg through bwHPC and by the German Research Foundation (DFG) through Grant No. INST 39/963-1 FUGG. This work was funded by EURAMET through EMPIR Grant No. 15HLT08 MRgRT.</t>
  </si>
  <si>
    <t>10.1088/1361-6560/ab2837</t>
  </si>
  <si>
    <t>WOS:000474298100003</t>
  </si>
  <si>
    <t>Sarno, A; Tucciariello, RM; Mettivier, G; di Franco, F; Russo, P</t>
  </si>
  <si>
    <t>Sarno, A.; Tucciariello, R. M.; Mettivier, G.; di Franco, F.; Russo, P.</t>
  </si>
  <si>
    <t>Monte Carlo calculation of monoenergetic and polyenergetic DgN coefficients for mean glandular dose estimates in mammography using a homogeneous breast model</t>
  </si>
  <si>
    <t>mammography; mean glandular dose; DgN; Geant 4 simulation</t>
  </si>
  <si>
    <t>X-RAY-SPECTRA; COMPUTED-TOMOGRAPHY; DIGITAL MAMMOGRAPHY; TOMOSYNTHESIS; DOSIMETRY; ENERGY; UK</t>
  </si>
  <si>
    <t>We computed normalized glandular dose (DgN) coefficients for mean glandular dose estimates in contemporary 2D mammography units, taking into account a homogeneous model for the breast which reflects recent literature reports. We developed a Monte Carlo code based on the simulation toolkit GEANT4 ver. 10.00. The breast was modelled as a cylinder with a semi-cylindrical section with a radius of 10 cm, enveloped in a 1.45 mm thick skin layer, as found out in recent reports in the analysis of breast computed tomography clinical scans. The compressed breast thickness was between 3 cm and 8 cm. The DgN coefficients were calculated for monoenergetic x-ray beams between 4.25 keV and 49.25 keV and were fitted with polynomial curves. Polyenergetic DgN coefficients were then computed for spectra obtained for various anode/filter combinations as adopted in routine clinical practice: Mo/Mo 30 mu m (25-40 kV), Mo/Rh 25 mu m (25-40 kV), Rh/Rh 25 mu m (25-40 kV), W/Ag 50 mu m (26-34 kV), W/Al500 mu m (26-38 kV), W/Al700 mu m (28-40 kV) and W/Rh 50 mu m (24-35 kV). Monoenergetic DgN curve fit coefficients and polyenergetic DgN(P) coefficients were released for research and clinical work. Polyenergetic DgN(P) coefficients were 6% higher than those provided in the recent literature, on average. The differences range between -18% and 30%; up to 50% of the computed coefficients differed by less than 10%. The dataset of DgN coefficients are provided as tables for varying glandular fraction by mass and compressed breast thickness. Moreover, a computer code has been developed for generating user specific coefficients DgN(P), for user defined x-ray spectra up to 49 kV, calculated by spectral weighting from the dataset of monoenergetic DgN coefficients.</t>
  </si>
  <si>
    <t>[Sarno, A.; Mettivier, G.; di Franco, F.; Russo, P.] INFN, Sez Napoli, I-80126 Naples, Italy; [Tucciariello, R. M.; Mettivier, G.; di Franco, F.; Russo, P.] Univ Napoli Federico II, Dipartimento Fis Ettore Pancini, I-80126 Naples, Italy; [Tucciariello, R. M.] Univ Pisa, Dipartimento Fis E Fermi, Scuola Specializzaz Fis Med, I-56127 Pisa, Italy</t>
  </si>
  <si>
    <t>Istituto Nazionale di Fisica Nucleare (INFN); University of Naples Federico II; University of Pisa</t>
  </si>
  <si>
    <t>Mettivier, G (通訊作者)， INFN, Sez Napoli, I-80126 Naples, Italy.;Mettivier, G (通訊作者)， Univ Napoli Federico II, Dipartimento Fis Ettore Pancini, I-80126 Naples, Italy.</t>
  </si>
  <si>
    <t>mettivier@na.infn.it</t>
  </si>
  <si>
    <t>Russo, Paolo/LLL-5029-2024; Sarno, Antonio/AAA-7701-2019; Mettivier, G/AAJ-6776-2020; Tucciariello, Raffaele/KFT-0735-2024</t>
  </si>
  <si>
    <t>di Franco, Francesca/0000-0001-5478-0565; Russo, Paolo/0000-0001-9409-0008; Mettivier, Giovanni/0000-0001-6606-4304; Tucciariello, Raffaele Maria/0000-0001-9600-4177</t>
  </si>
  <si>
    <t>Istituto Nazionale di Fisica Nucleare project 'MC-INFN'</t>
  </si>
  <si>
    <t>This work is supported by the Istituto Nazionale di Fisica Nucleare project 'MC-INFN'.</t>
  </si>
  <si>
    <t>10.1088/1361-6560/ab253f</t>
  </si>
  <si>
    <t>WOS:000518929400002</t>
  </si>
  <si>
    <t>Bläckberg, L; Sajedi, S; Mandl, S; Mohan, A; Vittum, B; El Fakhri, G; Sabet, H</t>
  </si>
  <si>
    <t>Blackberg, L.; Sajedi, S.; Mandl, S.; Mohan, A.; Vittum, B.; El Fakhri, G.; Sabet, H.</t>
  </si>
  <si>
    <t>Exploring light confinement in laser-processed LYSO:Ce for photon counting CT application</t>
  </si>
  <si>
    <t>photon counting detector; computed tomography; scintillator; LYSO:Ce; light transport; light confinement; laser induced optical barriers</t>
  </si>
  <si>
    <t>COMPUTED-TOMOGRAPHY; IMAGE-QUALITY; RAY-DETECTOR; SPECTRAL CT; SCINTILLATOR; ARRAY; READOUT; CSITL</t>
  </si>
  <si>
    <t>With the goal of developing a low-cost scintillator-based photon counting detector (PCD) with high dose efficiency suitable for CT, the light transport characteristics in LYSO:Ce detectors containing laser induced optical barriers (LIOB) are simulated. Light confinement and light collection efficiencies (LCE) are studied for a variety of optical barrier patterns and properties (refractive index (RI) and barrier/crystal interface roughness). Up to 80% confinement is achievable with a simple pixel pattern with one barrier wall separating each pixel coupled one-to-one to a photodetector (PD) pixel. Confinement is heavily dependent on barrier properties, and rough interfaces and higher RI results in increased cross-talk. Three approaches to enhance performance beyond the basic pattern are explored:(1) Multiple barrier walls separating each crystal pixel. (2) Introduction of long and short range confinement by having multiple crystal pixels per PD pixel. (3) Combination of LIOB and laser ablation (LA). (1) Is effective for rough interfaces where confinement can be increased by up to 24% for double compared to single walls. (2) Results in high confinement in the pixel centered on the PD pixel, but lower confinement closer to the PD edge. This feature may be explored to achieve spatial resolution beyond the PD pixel size using light sharing based positioning algorithms. (3) Can increase confinement for smooth interfaces using a smooth ablation in the bottom part of the crystal. A general trend across all configurations is a trade-off between light confinement and LCE. The LCE attainable is found comparable to that for mechanically pixelated arrays. While the confinement achievable with LIOB is always lower compared to a mechanically pixelated array, the former may offer a high level of flexibility in terms of detector design. This, in combination with the possibility to fabricate sub-mm pixels in a cost-effective manner, makes LIOB a promising technology for scintillator-based PCDs.</t>
  </si>
  <si>
    <t>[Blackberg, L.; Sajedi, S.; Mandl, S.; Mohan, A.; Vittum, B.; El Fakhri, G.; Sabet, H.] Massachusetts Gen Hosp, Dept Radiol, Gordon Ctr Med Imaging, Boston, MA 02114 USA; [Blackberg, L.; Sajedi, S.; Mandl, S.; Mohan, A.; Vittum, B.; El Fakhri, G.; Sabet, H.] Harvard Med Sch, Boston, MA 02115 USA; [Mandl, S.] McGill Univ, Montreal, PQ, Canada; [Mohan, A.; Vittum, B.] Northeastern Univ, Boston, MA 02115 USA</t>
  </si>
  <si>
    <t>Harvard University; Harvard University Medical Affiliates; Massachusetts General Hospital; Harvard University; Harvard Medical School; McGill University; Northeastern University</t>
  </si>
  <si>
    <t>Bläckberg, L (通訊作者)， Massachusetts Gen Hosp, Dept Radiol, Gordon Ctr Med Imaging, Boston, MA 02114 USA.;Bläckberg, L (通訊作者)， Harvard Med Sch, Boston, MA 02115 USA.</t>
  </si>
  <si>
    <t>LBlackberg@MGH.Harvard.edu; HSabet@MGH.Harvard.edu</t>
  </si>
  <si>
    <t>Mandl, Sophie/0000-0002-1229-9105; Sabet, Hamid/0000-0002-6495-882X</t>
  </si>
  <si>
    <t>NIH [R03EB020762, R21EB023391, S10OD011928]</t>
  </si>
  <si>
    <t>This work was supported in part by NIH grant R03EB020762 and R21EB023391. Computational resources funded by NIH grant S10OD011928 were used. The authors would also like to thank Prof. Mattias Klintenberg at Uppsala University for access to additional computational resources.</t>
  </si>
  <si>
    <t>10.1088/1361-6560/ab1213</t>
  </si>
  <si>
    <t>WOS:000466572600007</t>
  </si>
  <si>
    <t>Christensen, JB; Almhagen, E; Stolarczyk, L; Vestergaard, A; Bassler, N; Andersen, CE</t>
  </si>
  <si>
    <t>Christensen, Jeppe Brage; Almhagen, Erik; Stolarczyk, Liliana; Vestergaard, Anne; Bassler, Niels; Andersen, Claus E.</t>
  </si>
  <si>
    <t>Ionization quenching in scintillators used for dosimetry of mixed particle fields</t>
  </si>
  <si>
    <t>plastic scintillator; particle dosimetry; quenching; proton therapy</t>
  </si>
  <si>
    <t>PROTON; DETECTORS; CRYSTALS</t>
  </si>
  <si>
    <t>Ionization quenching in ion beam dosimetry is often related to the fluence- or dose-averaged linear energy transfer (LET). Both quantities are however averaged over a wide LET range and a mixed field of primary and secondary ions. We propose a novel method to correct the quenched luminescence in scintillators exposed to ion beams. The method uses the energy spectrum of the primaries and accounts for the varying quenched luminescence in heavy, secondary ion tracks through amorphous track structure theory. The new method is assessed against more traditional approaches by correcting the quenched luminescence response from the BCF-12, BCF-60, and 81-0084 plastic scintillators exposed to a 100 MeV pristine proton beam in order to compare the effects of the averaged LET quantities and the secondary ions. Calculations and measurements show that primary protons constitute more than 92% of the energy deposition but account for more than 95% of the luminescence signal in the scintillators. The quenching corrected luminescence signal is in better agreement with the dose measurement when the secondary particles are taken into account. The Birks model provided the overall best quenching corrections, when the quenching corrected signal is adjusted for the number of free model parameters. The quenching parameter kB for the BCF-12 and BCF-60 scintillators is in agreement with literature values and was found to be kB = (10.6 +/- 0.1) x 10(-2) mu m keV(-1) for the 81-0084 scintillator. Finally, a fluence threshold for the 100 MeV proton beam was calculated to be of the order of 10(10) cm(-2), corresponding to 110 Gy, above which the quenching increases non-linearly and the Birks model no longer is applicable.</t>
  </si>
  <si>
    <t>[Christensen, Jeppe Brage; Andersen, Claus E.] Tech Univ Denmark, Ctr Nucl Technol, Roskilde, Denmark; [Almhagen, Erik; Stolarczyk, Liliana] Skandionkliniken, Uppsala, Sweden; [Almhagen, Erik] Uppsala Univ, Dept Immunol Genet &amp; Pathol, Med Radiat Sci, Uppsala, Sweden; [Stolarczyk, Liliana] Polish Acad Sci, Inst Nucl Phys, Bronowice Cyclotron Ctr, Krakow, Poland; [Vestergaard, Anne] Aarhus Univ Hosp, Danish Ctr Particle Therapy, Aarhus, Denmark; [Bassler, Niels] Stockholm Univ, Dept Phys, Med Radiat Phys, Stockholm, Sweden; [Bassler, Niels] Karolinska Inst, Dept Oncol &amp; Pathol, Med Radiat Phys, Stockholm, Sweden; [Bassler, Niels] Aarhus Univ Hosp, Dept Expt Clin Oncol, Aarhus, Denmark</t>
  </si>
  <si>
    <t>Technical University of Denmark; Uppsala University; Polish Academy of Sciences; Institute of Nuclear Physics - Polish Academy of Sciences; Aarhus University; Stockholm University; Karolinska Institutet; Aarhus University</t>
  </si>
  <si>
    <t>Christensen, JB (通訊作者)， Tech Univ Denmark, Ctr Nucl Technol, Roskilde, Denmark.</t>
  </si>
  <si>
    <t>jepb@dtu.dk</t>
  </si>
  <si>
    <t>Christensen, Jeppe/HRA-2808-2023; Bassler, Niels/AFL-9077-2022</t>
  </si>
  <si>
    <t>Christensen, Jeppe Brage/0000-0002-6894-381X; Almhagen, Erik/0000-0001-8661-4019; Vestergaard, Anne/0000-0003-1398-6377; Bassler, Niels/0000-0002-4160-1078; Andersen, Claus E./0000-0002-7356-9607</t>
  </si>
  <si>
    <t>Danish Cancer Society; Danish Council for Independent Research (grant FTP) [DFF-4184-00151]</t>
  </si>
  <si>
    <t>Danish Cancer Society(Danish Cancer Society); Danish Council for Independent Research (grant FTP)</t>
  </si>
  <si>
    <t>The work was supported by the Danish Cancer Society and the Danish Council for Independent Research (grant FTP, DFF-4184-00151).</t>
  </si>
  <si>
    <t>10.1088/1361-6560/ab12f2</t>
  </si>
  <si>
    <t>WOS:000466572600005</t>
  </si>
  <si>
    <t>Dilger, SKN; Leng, S; Chen, BY; Carter, RE; Favazza, CP; Fletcher, JG; McCollough, CH; Yu, LF</t>
  </si>
  <si>
    <t>Dilger, Samantha K. N.; Leng, Shuai; Chen, Baiyu; Carter, Rickey E.; Favazza, Chris P.; Fletcher, Joel G.; McCollough, Cynthia H.; Yu, Lifeng</t>
  </si>
  <si>
    <t>Localization of liver lesions in abdominal CT imaging: II. Mathematical model observer performance correlates with human observer performance for localization of liver lesions in abdominal CT imaging</t>
  </si>
  <si>
    <t>computed tomography (CT); model observer; image quality; iterative reconstruction (IR); liver lesions; comparative study</t>
  </si>
  <si>
    <t>DETECTABILITY; TASK</t>
  </si>
  <si>
    <t>Determination of the effect of protocol modifications on diagnostic performance in CT with human observers is extremely time-consuming, limiting the applicability of such methods in routine clinical practice. In this work, we sought to determine whether a channelized Hotelling observer (CHO) could predict human observer performance for the task of liver lesion localization as background, reconstruction algorithm, dose, and lesion size were varied. Liver lesions (5 mm, 7 mm, and 9 mm) were digitally inserted into the CT projection data of patients with normal livers and water phantoms. The projection data were reconstructed with filtered back projection (FBP) and iterative reconstruction (IR) algorithms for three dose levels: full dose (liver CTDIvol = 10.5 +/- 8.5 mGy, water phantom CTDIvol = 9.6 +/- 0.1 mGy) and simulated half and quarter doses. For each of 36 datasets (3 dose levels x 2 reconstruction algorithms x 2 backgrounds x 3 sizes), 66 signal-present and 34 signal-absent 2D images were extracted from the reconstructed volumes. Three medical physicists independently reviewed each dataset and noted the lesion location and a confidence score for each image. A CHO with Gabor channels was calculated to estimate the performance for each of the 36 localization tasks. The CHO performances, quantified using localization receiver operating characteristic (LROC) analysis, were compared to the human observer performances. Performance values between human and model observers were highly correlated for equivalent parameters (same lesion size, dose, background, and reconstruction), with a Spearman's correlation coefficient of 0.93 (95% CI: 0.82-0.98). CHO performance values for the uniform background were strongly correlated (rho = 0.94, CI: 0.80-1.0) with the human observer performance values for the liver background. Performance values between human observers and CHO were highly correlated as dose, reconstruction type and object size were varied for the task of localization of patient liver lesions in both uniform and liver backgrounds.</t>
  </si>
  <si>
    <t>[Dilger, Samantha K. N.; Leng, Shuai; Chen, Baiyu; Favazza, Chris P.; Fletcher, Joel G.; McCollough, Cynthia H.; Yu, Lifeng] Mayo Clin, Dept Radiol, Rochester, MN 55905 USA; [Carter, Rickey E.] Mayo Clin, Dept Biostat, Rochester, MN USA; [Chen, Baiyu] NYU Langone Med Ctr, Ctr Biomed Imaging, New York, NY USA</t>
  </si>
  <si>
    <t>Mayo Clinic; Mayo Clinic; NYU Langone Medical Center</t>
  </si>
  <si>
    <t>Yu, LF (通訊作者)， Mayo Clin, Dept Radiol, Rochester, MN 55905 USA.</t>
  </si>
  <si>
    <t>Yu.Lifeng@mayo.edu</t>
  </si>
  <si>
    <t>; Carter, Rickey/A-1594-2012; Chen, Baiyu/H-7625-2017</t>
  </si>
  <si>
    <t>Dilger, Samantha/0000-0002-3524-1723; Carter, Rickey/0000-0002-0818-273X;</t>
  </si>
  <si>
    <t>National Institute of Health [EB17095, EB17185]</t>
  </si>
  <si>
    <t>The project described was supported by Grant Numbers EB17095 and EB17185 from the National Institute of Health. The content is solely the responsibility of the authors and does not necessarily represent the official views of the National Institute of Health.</t>
  </si>
  <si>
    <t>10.1088/1361-6560/ab1a62</t>
  </si>
  <si>
    <t>WOS:000467702500007</t>
  </si>
  <si>
    <t>Lei, Y; Harms, J; Wang, TH; Tian, SB; Zhou, J; Shu, HK; Zhong, J; Mao, H; Curran, WJ; Liu, T; Yang, XF</t>
  </si>
  <si>
    <t>Lei, Yang; Harms, Joseph; Wang, Tonghe; Tian, Sibo; Zhou, Jun; Shu, Hui-Kuo; Zhong, Jim; Mao, Hui; Curran, Walter J.; Liu, Tian; Yang, Xiaofeng</t>
  </si>
  <si>
    <t>MRI-based synthetic CT generation using semantic random forest with iterative refinement</t>
  </si>
  <si>
    <t>MRI-based treatment planning; synthetic CT; random forest</t>
  </si>
  <si>
    <t>DERIVE ELECTRON-DENSITY; PSEUDO-CT; ATTENUATION CORRECTION; ONLY RADIOTHERAPY; AUTO-CONTEXT; IMAGE; SEQUENCES; MULTISCALE</t>
  </si>
  <si>
    <t>Target delineation for radiation therapy treatment planning often benefits from magnetic resonance imaging (MRI) in addition to x-ray computed tomography (CT) due to MRI's superior soft tissue contrast. MRI-based treatment planning could reduce systematic MR-CT co-registration errors, medical cost, radiation exposure, and simplify clinical workflow. However, MRI-only based treatment planning is not widely used to date because treatment-planning systems rely on the electron density information provided by CTs to calculate dose. Additionally, air and bone regions are difficult to separategiven their similar intensities in MR imaging. The purpose of this work is to develop a learning-based method to generate patient-specific synthetic CT (sCT) from a routine anatomical MRI for use in MRI-only radiotherapy treatment planning. An auto-context model with patch-based anatomical features was integrated into a classification random forest to generate and improve semantic information. The semantic information along with anatomical features was then used to train a series of regression random forests based on the auto-context model. After training, the sCT of a new MRI can be generated by feeding anatomical features extracted from the MRI into the well-trained classification and regression random forests. The proposed algorithm was evaluated using 14 patient datasets withT1-weighted MR and corresponding CT images of the brain. The mean absolute error (MAE), peak signal-to-noise ratio (PSNR), and normalized cross correlation (NCC) were 57.45 +/- 8.45 HU, 28.33 +/- 1.68 dB, and 0.97 +/- 0.01. We also compared the difference between dose maps calculated on the sCT and those on the original CT, using the same plan parameters. The average LATH differences among all patients are less than 0.2 Gy for PTVs, and less than 0.02 Gy for OARs. The sCT generation by the proposed method allows for dose calculation based MR imaging alone, and may be a useful tool for MRI-based radiation treatment planning.</t>
  </si>
  <si>
    <t>[Lei, Yang; Harms, Joseph; Wang, Tonghe; Tian, Sibo; Zhou, Jun; Shu, Hui-Kuo; Zhong, Jim; Curran, Walter J.; Liu, Tian; Yang, Xiaofeng] Emory Univ, Dept Radiat Oncol, Atlanta, GA 30322 USA; [Lei, Yang; Harms, Joseph; Wang, Tonghe; Tian, Sibo; Zhou, Jun; Shu, Hui-Kuo; Zhong, Jim; Mao, Hui; Curran, Walter J.; Liu, Tian; Yang, Xiaofeng] Emory Univ, Winship Canc Inst, Atlanta, GA 30322 USA; [Mao, Hui] Emory Univ, Dept Radiol &amp; Imaging Sci, Atlanta, GA 30322 USA</t>
  </si>
  <si>
    <t>; Wang, Tonghe/AAL-9431-2020; Lei, Yang/AAE-5089-2019; Yang, Xiaofeng/G-9479-2012</t>
  </si>
  <si>
    <t>Zhou, Jun/0000-0002-6078-9424; Yang, Xiaofeng/0000-0001-9023-5855; Lei, Yang/0000-0002-3572-0345; Wang, Tonghe/0000-0001-9021-1204; Tian, Sibo/0000-0001-5018-4854</t>
  </si>
  <si>
    <t>This research was supported in part by the National Cancer Institute of the National Institutes of Health under Award No. R01CA215718 and the Emory Winship Cancer Institute pilot grant.</t>
  </si>
  <si>
    <t>10.1088/1361-6560/ab0b66</t>
  </si>
  <si>
    <t>WOS:000518923400001</t>
  </si>
  <si>
    <t>Winterhalter, C; Zepter, S; Shim, S; Meier, G; Bolsi, A; Fredh, A; Hrbacek, J; Oxley, D; Zhang, Y; Weber, DC; Lomax, A; Safai, S</t>
  </si>
  <si>
    <t>Winterhalter, Carla; Zepter, Stefan; Shim, Sojin; Meier, Gabriel; Bolsi, Alessandra; Fredh, Anna; Hrbacek, Jan; Oxley, David; Zhang, Ye; Weber, Damien C.; Lomax, Antony; Safai, Sairos</t>
  </si>
  <si>
    <t>Evaluation of the ray-casting analytical algorithm for pencil beam scanning proton therapy</t>
  </si>
  <si>
    <t>proton therapy; pencil beam scanning; Monte Carlo simulation; analytical algorithm; ray-casting algorithm; pencil-beam algorithm</t>
  </si>
  <si>
    <t>DOSE CALCULATION; QUALITY-ASSURANCE; VERIFICATION; IMPACT</t>
  </si>
  <si>
    <t>For pencil beam scanned (PBS) proton therapy, analytical dose calculation engines are still typically used for the optimisation process, and often for the final evaluation of the plan. Recently however, the suitability of analytical calculations for planning PBS treatments has been questioned. Conceptually, the two main approaches for these analytical dose calculations are the ray-casting (RC) and the pencil-beam (PB) method. In this study, we compare dose distributions and dosimetric indices, calculated on both the clinical dose calculation grid and as a function of dose grid resolution, to Monte Carlo (MC) calculations. The analysis is done using a comprehensive set of clinical plans which represent a wide choice of treatment sites. When analysing dose difference histograms for relative treatment plans, pencil beam calculations with double grid resolution perform best, with on average 97.7%/91.9% (RC), 97.9%/92.7% (RC, double grid resolution), 97.6%/91.0% (PB) and 98.6%/94.0% (PB, double grid resolution) of voxels agreeing within +/- 5%/+/- 3% between the analytical and the MC calculations. Even though these point-to-point dose comparison shows differences between analytical and MC calculations, for all algorithms, clinically relevant dosimetric indices agree within +/- 4% for the PTV and within +/- 5% for critical organs. While the clinical agreement depends on the treatment site, there is no substantial difference of indices between the different algorithms. The pencil-beam approach however comes at a higher computational cost than the ray-casting calculation. In conclusion, we would recommend using the ray-casting algorithm for fast dose optimization and subsequently combine it with one MC calculation to scale the absolute dose and assure the quality of the treatment plan.</t>
  </si>
  <si>
    <t>[Winterhalter, Carla; Zepter, Stefan; Shim, Sojin; Meier, Gabriel; Bolsi, Alessandra; Fredh, Anna; Hrbacek, Jan; Oxley, David; Zhang, Ye; Weber, Damien C.; Lomax, Antony; Safai, Sairos] Paul Scherrer Inst, Ctr Proton Therapy, Villigen, Switzerland; [Winterhalter, Carla; Lomax, Antony] Swiss Fed Inst Technol, Dept Phys, Zurich, Switzerland; [Shim, Sojin] Swiss Fed Inst Technol, Dept Mech &amp; Proc Engn, Zurich, Switzerland; [Shim, Sojin] EPF Lausanne, Sect Phys, Lausanne, Switzerland; [Weber, Damien C.] Univ Hosp Bern, Radiat Oncol Dept, Bern, Switzerland; [Weber, Damien C.] Univ Hosp Zurich, Radiat Oncol Dept, Zurich, Switzerland</t>
  </si>
  <si>
    <t>Swiss Federal Institutes of Technology Domain; Paul Scherrer Institute; Swiss Federal Institutes of Technology Domain; ETH Zurich; Swiss Federal Institutes of Technology Domain; ETH Zurich; Swiss Federal Institutes of Technology Domain; Ecole Polytechnique Federale de Lausanne; University of Bern; University Hospital of Bern; University of Zurich; University Zurich Hospital</t>
  </si>
  <si>
    <t>Winterhalter, C (通訊作者)， Paul Scherrer Inst, Ctr Proton Therapy, Villigen, Switzerland.;Winterhalter, C (通訊作者)， Swiss Fed Inst Technol, Dept Phys, Zurich, Switzerland.</t>
  </si>
  <si>
    <t>Zhang, Ye/R-5980-2016</t>
  </si>
  <si>
    <t>Zhang, Ye/0000-0003-1608-4467; Shim, Sojin/0000-0003-3530-5835; Safai, Sairos/0000-0002-0459-4534; Winterhalter, Carla/0009-0008-4289-984X; Hrbacek, Jan/0009-0001-3854-4594</t>
  </si>
  <si>
    <t>10.1088/1361-6560/aafe58</t>
  </si>
  <si>
    <t>HP4HD</t>
  </si>
  <si>
    <t>WOS:000461636100002</t>
  </si>
  <si>
    <t>Jaszczak, M; Kolesinska, B; Wach, R; Maras, P; Dudek, M; Kozicki, M</t>
  </si>
  <si>
    <t>Jaszczak, Malwina; Kolesinska, Beata; Wach, Radoslaw; Maras, Piotr; Dudek, Mariusz; Kozicki, Marek</t>
  </si>
  <si>
    <t>Examination of THPC as an oxygen scavenger impacting VIC dosimeter thermal stability and comparison of NVP-containing polymer gel dosimeters</t>
  </si>
  <si>
    <t>VIC-T; VIC; polymer gel dosimetry; tetrakis(hydroxymethyl)phosphonium chloride; gelatine-THPC crosslinking mechanism; NVP-containing polymer gel dosimeters; laser light trapping phenomenon</t>
  </si>
  <si>
    <t>HYDROXYMETHYL PHOSPHONIUM CHLORIDE; AQUEOUS GELATIN; ANTIOXIDANT; HYDROGELS</t>
  </si>
  <si>
    <t>This work reports on the impact of tetrakis(hydroxymethyl)phosphonium chloride (THPC) on the properties of a VIC gel dosimeter (VIC is an abbreviated acronym of VIPAR(CT)). THPC was used as a substitute oxygen scavenger in VIC (17% N-vinylpyrrolidone, 8% N,N'-methylenebisacrylamide, 12% tert-butyl alcohol, 7.5% gelatine, 0.02% hydroquinone and an oxygen scavenger of 0.007% ascorbic acid and 0.0008% CuSO4 x 5H(2)O). THPC reduced the gelation time of VIC from hours to minutes. The best composition (VIC-T) contained 14 mM THPC and a reduced gelatine concentration (5%) with respect to VIC, which allowed for gelation in about 3 min. VIC-T was characterised by the same dose sensitivity (0.176 +/- 0.003 Gy(-1) s(-1) for VIC-T and 0.171 +/- 0.002 Gy(-1) s(-1) for VIC), dose threshold (0.5 Gy) and dynamic dose range (0.5-50 Gy) as VIC, and a lower linear dose range (20 Gy for VIC-T, 30 Gy for VIC) (0.47 T NMR measurements). VIC-T was stable for at least 10 days after irradiation, and 3D dose distribution was stable for over 4 months after irradiation. The dose response of VIC-T was independent of the radiation dose rate, type and energy of radiation for 6 and 15 MV photons and 12 MeV electrons. This is an improvement with respect to VIC which showed a different dose response for 6 MV photons than for 12 MeV electrons and 15 MV photons. Raman spectroscopy showed similarity in the rate of radiation-induced conversion of monomers in VIC and VIC-T, indicating interaction of THPC with gelatine in VIC-T, and showed ageing of gelatine in both dosimeters. Differential scanning calorimetry showed VIC-T stability at 0 degrees C-80 degrees C (VIC: 0 degrees C-29.5 degrees C). The chemical polymerisation and crosslinking of gelatine with THPC is reported, the mechanism of which was analysed in detail. A comparison of N-vinylpyrrolidone-containing dosimeters is presented in this work.</t>
  </si>
  <si>
    <t>[Jaszczak, Malwina; Dudek, Mariusz] Lodz Univ Technol, Inst Mat Sci &amp; Engn, Lodz, Poland; [Kolesinska, Beata] Lodz Univ Technol, Inst Organ Chem, Lodz, Poland; [Wach, Radoslaw] Lodz Univ Technol, Inst Appl Radiat Chem, Lodz, Poland; [Maras, Piotr] Copernicus Hosp, Dept Med Phys, Lodz, Poland; [Kozicki, Marek] Lodz Univ Technol, Dept Man Made Fibres, Lodz, Poland; [Kozicki, Marek] GeVero Co, Lodz, Poland</t>
  </si>
  <si>
    <t>Lodz University of Technology; Lodz University of Technology; Lodz University of Technology; Lodz University of Technology</t>
  </si>
  <si>
    <t>Kozicki, M (通訊作者)， Lodz Univ Technol, Dept Man Made Fibres, Lodz, Poland.;Kozicki, M (通訊作者)， GeVero Co, Lodz, Poland.</t>
  </si>
  <si>
    <t>gevero@polygevero.com; marek.kozicki@p.lodz.pl</t>
  </si>
  <si>
    <t>Dudek, Mariusz/O-1242-2018; Kolesinska, Beata/P-5209-2019; Wach, Radoslaw/F-6030-2017; Jaszczak, Malwina/Q-2691-2019; Kozicki, Marek/M-2744-2018; Maras, Piotr/MSW-2971-2025</t>
  </si>
  <si>
    <t>Dudek, Mariusz/0000-0003-4213-7673; Maras, Piotr/0000-0002-5821-4947; Kolesinska, Beata/0000-0002-4581-947X; Wach, Radoslaw/0000-0001-7311-4525; Kozicki, Marek/0000-0002-8396-4344; Jaszczak-Kuligowska, Malwina/0000-0001-9524-0848</t>
  </si>
  <si>
    <t>10.1088/1361-6560/aafa86</t>
  </si>
  <si>
    <t>WOS:000457439100004</t>
  </si>
  <si>
    <t>Mann, P; Schwahofer, A; Karger, CP</t>
  </si>
  <si>
    <t>Mann, P.; Schwahofer, A.; Karger, C. P.</t>
  </si>
  <si>
    <t>Absolute dosimetry with polymer gels-a TLD reference system</t>
  </si>
  <si>
    <t>radiation dosimeters; absolute dosimetry; 3D dosimetry; polymer gel; thermoluminescence dosimetry; TLD</t>
  </si>
  <si>
    <t>RADIATION-THERAPY; DOSE VERIFICATION; LUNG PHANTOM; RADIOTHERAPY; MOTION; VALIDITY; MRI; VALIDATION</t>
  </si>
  <si>
    <t>Background and purpose. Absolute dosimetry in 3D with polymer gels (PG) is generally complicated and usually requires a second independent measurement with conventional detectors. This is why, PG are often used only for relative dosimetry. To overcome this drawback, we combine PG with a 1D thermoluminescence (TL) detector within the same measurement. The TL detector information is then used as additional information for calibration of the gel. Materials and methods. The PAGAT dosimetry gel was used in combination with TLD600 (LiF:Mg,Ti). TL detectors were attached on the surface of the PG container placed inside a cylindrical phantom. To test the usability of this setup, two irradiation geometries were carried out: (a) homogeneous target coverage and (b) small-field irradiation. PG was evaluated with magnetic resonance imaging (MRI) and the TL detectors with a Harshaw 5500 hot gas reader. Results. PG dosimetry alone showed deviations of up to 4% as compared to calculations. Including additionally the dose information of the TL detectors for PG calibration, this deviation was decreased to less than 1% for both irradiation geometries. This is also reflected by the very high gamma 3D-passing rates of &gt; 96% (3%/3 mm) and &gt;93% (2%/12 mm), respectively. Conclusion. This study presents a novel method combining 3D PG and TL dose measurements for the purpose of absolute 3D dose measurements that can also be applied in complex anthropomorphic phantoms using only a single measurement. The method was validated for two different irradiation geometries including a homogeneous large field as well as a small field irradiation with sharp dose gradients.</t>
  </si>
  <si>
    <t>[Mann, P.; Schwahofer, A.; Karger, C. P.] German Canc Res Ctr, Dept Med Phys Radiat Therapy E040, Neuenheimer Feld 280, Heidelberg, Germany; [Mann, P.; Schwahofer, A.; Karger, C. P.] Natl Ctr Radiat Res Oncol NCRO, HIRO, Neuenheimer Feld 280, Heidelberg, Germany</t>
  </si>
  <si>
    <t>Helmholtz Association; German Cancer Research Center (DKFZ)</t>
  </si>
  <si>
    <t>Mann, P (通訊作者)， German Canc Res Ctr, Dept Med Phys Radiat Therapy E040, Neuenheimer Feld 280, Heidelberg, Germany.;Mann, P (通訊作者)， Natl Ctr Radiat Res Oncol NCRO, HIRO, Neuenheimer Feld 280, Heidelberg, Germany.</t>
  </si>
  <si>
    <t>p.mann@dkfz.de</t>
  </si>
  <si>
    <t>Mann, Philipp/0000-0002-2857-4861</t>
  </si>
  <si>
    <t>EMPIR programme; European Union's Horizon 2020 research and innovation programme [15HLT08]</t>
  </si>
  <si>
    <t>This work has received funding from the EMPIR programme co-financed by the Participating States and from the European Union's Horizon 2020 research and innovation programme under Grant No. 15HLT08. Additionally, the authors would like to thank Professor Dr K Kopka for providing the lab space for the production of the polymer gel.</t>
  </si>
  <si>
    <t>10.1088/1361-6560/aafd41</t>
  </si>
  <si>
    <t>WOS:000458375200002</t>
  </si>
  <si>
    <t>Paverd, C; Lyka, E; Elbes, D; Coussios, C</t>
  </si>
  <si>
    <t>Paverd, Catherine; Lyka, Erasmia; Elbes, Delphine; Coussios, Constantin</t>
  </si>
  <si>
    <t>Passive acoustic mapping of extravasation following ultrasound-enhanced drug delivery</t>
  </si>
  <si>
    <t>focussed ultrasound; nanoscale cavitation nuclei; passive acoustic mapping; adaptive beamforming</t>
  </si>
  <si>
    <t>INTENSITY FOCUSED ULTRASOUND; CAVITATION ACTIVITY; PORE-SIZE; TRANSPORT; PENETRATION; BREAST</t>
  </si>
  <si>
    <t>The amount and distribution of chemotherapeutic agents delivered to tumours can vary significantly due to tumour heterogeneity, even under focussed ultrasound (FUS) assisted drug delivery regimes. The ability to non-invasively localise cavitation nuclei of a similar size to therapeutic drugs, both within the vasculature and tumour tissue, may provide a useful marker of ultrasound-enhanced drug delivery and extravasation. Solid polymer based nanoscale cavitation nuclei, under FUS excitation, have previously been shown to extravasate into tissue-mimicking phantoms, and to increase drug delivery in murine tumour models in vivo. Here we show in a tissue-mimicking material that these nuclei, once extravasated under FUS excitation, are still acoustically active and can be non-invasively localised using passive acoustic mapping (PAM). By using a high resolution dual linear array setup in conjunction with adaptive beamformers, we demonstrate that the average 'maximum distance' of a PAM pixel to an extravasated particle across experiments is 0.4 +/- 0.2 mm. Although the primary objective of the paper is to show that extravascular cavitation can be used as evidence of successful drug extravasation in a tissue-mimicking phantom, we also recognise the physical and computational limitations of using a high resolution dual array setup with adaptive beamformers. Thus as a secondary objective, we evaluate tradeoffs between adaptive and non-adaptive beamformers, as well as between dual and single array geometries. When compared to a conventional beamformer, adaptive beamformers reduce the maximum distance of PAM pixels to extravasated particles from an average of 2.4 +/- 0.7 mm to 1.8 +/- 0.6 mm in the single array case. The distance is further reduced to 0.4 +/- 0.2 mm using the dual array configuration, thereby demonstrating that increasing the solid angle spanned by the PAM array aperture significantly improves drug delivery localisation. Future work will test the applicability of PAM-based monitoring of ultrasound-enhanced drug delivery in vivo.</t>
  </si>
  <si>
    <t>[Paverd, Catherine; Lyka, Erasmia; Elbes, Delphine; Coussios, Constantin] Univ Oxford, Inst Biomed Engn, Oxford, England</t>
  </si>
  <si>
    <t>University of Oxford</t>
  </si>
  <si>
    <t>Coussios, C (通訊作者)， Univ Oxford, Inst Biomed Engn, Oxford, England.</t>
  </si>
  <si>
    <t>constantin.coussios@eng.ox.ac.uk</t>
  </si>
  <si>
    <t>Paverd, Catherine/0000-0002-7288-877X</t>
  </si>
  <si>
    <t>UK government; Engineering and Physical Sciences Research Council (EPSRC) [EP/K020757/1]; Oxford Centre for Drug Delivery Devices under the Engineering and Physical Research Council (EPSRC) programme [EP/L024012/1]; EPSRC [EP/K020757/1, EP/L024012/1] Funding Source: UKRI; Engineering and Physical Sciences Research Council [EP/K020757/1, EP/L024012/1] Funding Source: researchfish</t>
  </si>
  <si>
    <t>UK government; Engineering and Physical Sciences Research Council (EPSRC)(UK Research &amp; Innovation (UKRI)Engineering &amp; Physical Sciences Research Council (EPSRC)); Oxford Centre for Drug Delivery Devices under the Engineering and Physical Research Council (EPSRC) programme(UK Research &amp; Innovation (UKRI)Engineering &amp; Physical Sciences Research Council (EPSRC)); EPSRC(UK Research &amp; Innovation (UKRI)Engineering &amp; Physical Sciences Research Council (EPSRC)); Engineering and Physical Sciences Research Council(UK Research &amp; Innovation (UKRI)Engineering &amp; Physical Sciences Research Council (EPSRC))</t>
  </si>
  <si>
    <t>The authors would like to thank the members of the BUBBL group for their valuable advice and discussions regarding this work, in particular Dr Michael Gray and Dr Christophoros Mannaris. In addition, the authors thank the Institute of Biomedical Engineering Workshop Technicians, Jim Fisk and David Salisbury, for their support in the design and production of custom parts used in the experiments. Catherine Paverd is a Commonwealth Scholar funded by the UK government. Dr Erasmia Lyka and Dr Delphine Elbes are supported by the Engineering and Physical Sciences Research Council (EPSRC) under grant number EP/K020757/1. This research is further supported by the Oxford Centre for Drug Delivery Devices under the Engineering and Physical Research Council (EPSRC) programme grant EP/L024012/1.</t>
  </si>
  <si>
    <t>10.1088/1361-6560/aafcc1</t>
  </si>
  <si>
    <t>HK5YL</t>
  </si>
  <si>
    <t>WOS:000458045500001</t>
  </si>
  <si>
    <t>Riis, HL; Ebert, MA; Rowshanfarzad, P</t>
  </si>
  <si>
    <t>Riis, Hans L.; Ebert, Martin A.; Rowshanfarzad, Pejman</t>
  </si>
  <si>
    <t>Detection of the focal spot motion relative to the collimator axis of a linear accelerator under gantry rotation</t>
  </si>
  <si>
    <t>focal spot; MV radiation; ball-bearing phantom; EPID; collimator axis; gantry; linear accelerator</t>
  </si>
  <si>
    <t>BEAM; DESIGN; TESTS</t>
  </si>
  <si>
    <t>The potential for delivering high precision radiotherapy using linear accelerators (linacs) has been improved with the development of digital x-ray electronic portal imaging devices (EPID) for acquiring kilovoltage (kV) cone-beam CT and megavoltage (MV) images for patient positioning. EPIDs have also opened the possibilities of developing novel quality assurance and insight into radiotherapy equipment performance. The aim of this work was to measure the offset of the focal spot position (FSP) of a linac under gantry rotation relative to the collimator axis using an EPID. The focal spot was assumed to be a point source of MV x-ray generation. A special phantom was designed for measurement of FSP as a function of gantry angle on clinical linacs. The phantom was designed for attachment to the gantry head and supporting two tungstencarbide ball-bearings at two different distances from the focal spot. The methodology was demonstrated on a series of images acquired of the phantom on three Elekta linacs in clinical use with 6 MV flattening-filter-free (FFF) beams. The gantry and collimator were rotated 360 degrees in steps of 30 degrees. For each position an image of the phantom was acquired using the EPID. Each series consisted of 169 EPID images. The images were analysed using in-house developed software. Analyses of the EPID images acquired with 6 MV FFF beams showed that the focal spot motion amplitudes relative to the collimator axis during gantry rotation in the longitudinal and lateral directions were less than 0.10 mm and 0.50 mm, respectively, for an optimized 6 MV FFF FSP calibrated linac. In a treatment planning system (TPS) the focal spot is assumed to be located on the rotation axis of the collimator at all gantry angles. This work introduces a method for quantifying the actual variation from this assumption in practice.</t>
  </si>
  <si>
    <t>[Riis, Hans L.] Odense Univ Hosp, Radiofysisk Lab, DK-5000 Odense C, Denmark; [Ebert, Martin A.; Rowshanfarzad, Pejman] Univ Western Australia, Dept Phys, Crawley, WA 6009, Australia; [Ebert, Martin A.] Sir Charles Gairdner Hosp, Dept Radiat Oncol, Nedlands, WA 6009, Australia</t>
  </si>
  <si>
    <t>University of Southern Denmark; Odense University Hospital; University of Western Australia; Sir Charles Gairdner Hospital; University of Western Australia</t>
  </si>
  <si>
    <t>Riis, HL (通訊作者)， Odense Univ Hosp, Radiofysisk Lab, DK-5000 Odense C, Denmark.</t>
  </si>
  <si>
    <t>hans.lynggaard.riis@rsyd.dk</t>
  </si>
  <si>
    <t>; Rowshanfarzad, Pejman/N-1504-2019; Ebert, Martin/O-4039-2014</t>
  </si>
  <si>
    <t>Rowshanfarzad, Pejman/0000-0001-8306-7742; Ebert, Martin/0000-0002-6875-0719</t>
  </si>
  <si>
    <t>Merit Award fellowship from the Department of Health, Western Australia [1089301]; Internationaliseringspuljen, Odense University Hospital, Odense, Denmark [12/25897]</t>
  </si>
  <si>
    <t>Merit Award fellowship from the Department of Health, Western Australia; Internationaliseringspuljen, Odense University Hospital, Odense, Denmark</t>
  </si>
  <si>
    <t>Special thanks to Kevin Brown, Elekta Limited, Crawley, UK for providing helpful information on image acquisition and x-ray target dimensions. Also, David J Cryer and Sun Chan from the Department of Medical Technology and Physics, Sir Charles Gairdner Hospital, Perth, Australia are acknowledged for their assistance in the development of the phantom. The authors appreciate the work by Luke A Slama from the Department of Physics, The University of Western Australia on validation of the MATLAB code. This work was partly supported by the Merit Award fellowship (1089301) from the Department of Health, Western Australia and Internationaliseringspuljen (12/25897), Odense University Hospital, Odense, Denmark.</t>
  </si>
  <si>
    <t>03NT02</t>
  </si>
  <si>
    <t>10.1088/1361-6560/aafa04</t>
  </si>
  <si>
    <t>HJ8HV</t>
  </si>
  <si>
    <t>WOS:000457439700001</t>
  </si>
  <si>
    <t>Wang, S; Xing, YX; Zhang, L; Gao, HW; Zhang, H</t>
  </si>
  <si>
    <t>Wang, Sen; Xing, Yuxiang; Zhang, Li; Gao, Hewei; Zhang, Hao</t>
  </si>
  <si>
    <t>A systematic evaluation and optimization of automatic detection of ulcers in wireless capsule endoscopy on a large dataset using deep convolutional neural networks</t>
  </si>
  <si>
    <t>wireless capsule endoscopy; computer-aided diagnosis; convolutional neural network; detection</t>
  </si>
  <si>
    <t>POLYP DETECTION; IMAGES</t>
  </si>
  <si>
    <t>Compared with conventional gastroscopy which is invasive and painful, wireless capsule endoscopy (WCE) can provide noninvasive examination of gastrointestinal (GI) tract. The WCE video can effectively support physicians to reach a diagnostic decision while a huge number of images need to be analyzed (more than 50 000 frames per patient). In this paper, we propose a computer-aided diagnosis method called second glance (secG) detection framework for automatic detection of ulcers based on deep convolutional neural networks that provides both classification confidence and bounding box of lesion area. We evaluated its performance on a large dataset that consists of 1504 patient cases (the largest WCE ulcer dataset to our best knowledge, 1076 cases with ulcers, 428 normal cases). We use 15 781 ulcer frames from 753 ulcer cases and 17 138 normal frames from 300 normal cases for training. Validation dataset consists of 2040 ulcer frames from 108 cases and 2319 frames from 43 normal cases. For test, we use 4917 ulcer frames from 215 ulcer cases and 5007 frames from 85 normal cases. Test results demonstrate the 0.9469 ROC-AUC of the proposed secG detection framework outperforms state-of-the-art detection frameworks including Faster-RCNN (0.9014) and SSD-300 (0.8355), which implies the effectiveness of our method. From the ulcer size analysis, we find the detection of ulcers is highly related to the size. For ulcers with size larger than 1% of the full image size, the sensitivity exceeds 92.00%. For ulcers that are smaller than 1% of the full image size, the sensitivity is around 85.00%. The overall sensitivity, specificity and accuracy are 89.71%, 90.48% and 90.10%, at a threshold value of 0.6706, which implies the potential of the proposed method to suppress oversights and to reduce the burden of physicians.</t>
  </si>
  <si>
    <t>[Wang, Sen; Xing, Yuxiang; Zhang, Li; Gao, Hewei] Tsinghua Univ, Minist Educ, Key Lab Particle &amp; Radiat Imaging, Beijing, Peoples R China; [Wang, Sen; Xing, Yuxiang; Zhang, Li; Gao, Hewei] Tsinghua Univ, Dept Engn Phys, Beijing 100084, Peoples R China; [Zhang, Hao] Ankon Technol Co Ltd, Shanghai, Peoples R China</t>
  </si>
  <si>
    <t>Tsinghua University; Tsinghua University</t>
  </si>
  <si>
    <t>Zhang, L (通訊作者)， Tsinghua Univ, Minist Educ, Key Lab Particle &amp; Radiat Imaging, Beijing, Peoples R China.;Zhang, L (通訊作者)， Tsinghua Univ, Dept Engn Phys, Beijing 100084, Peoples R China.</t>
  </si>
  <si>
    <t>zli@mail.tsinghua.edu.cn</t>
  </si>
  <si>
    <t>Xing, Yuxiang/H-4143-2012; hao, zhang/JWP-4558-2024</t>
  </si>
  <si>
    <t>Wang, Sen/0000-0001-6948-3264; Zhang, Li/0000-0003-3633-9578</t>
  </si>
  <si>
    <t>Ankon Technologies Co Ltd (Wuhan, Shanghai, China); National Key Scientific Instrument and Equipment Development Project [2013YQ160439]; Zhangjiang National Innovation Demonstration Zone Special Development Fund [ZJ2017-ZD-001]</t>
  </si>
  <si>
    <t>Ankon Technologies Co Ltd (Wuhan, Shanghai, China); National Key Scientific Instrument and Equipment Development Project(National Key Research &amp; Development Program of China); Zhangjiang National Innovation Demonstration Zone Special Development Fund</t>
  </si>
  <si>
    <t>The authors would like to thank Ankon Technologies Co, Ltd (Wuhan, Shanghai, China) for providing the WCE data (ankoninc.com.cn). They would also like to thank the participating engineers of Ankon Technologies Co, Ltd, for their thoughtful support and cooperation. This work was supported by a research project from Ankon Technologies Co Ltd (Wuhan, Shanghai, China), the National Key Scientific Instrument and Equipment Development Project under Grant No. 2013YQ160439 and the Zhangjiang National Innovation Demonstration Zone Special Development Fund under Grant No. ZJ2017-ZD-001.</t>
  </si>
  <si>
    <t>10.1088/1361-6560/ab5086</t>
  </si>
  <si>
    <t>WOS:000518765200004</t>
  </si>
  <si>
    <t>Wu, WW; Wang, Q; Liu, FL; Zhu, YN; Yu, HY</t>
  </si>
  <si>
    <t>Wu, Weiwen; Wang, Qian; Liu, Fenglin; Zhu, Yining; Yu, Hengyong</t>
  </si>
  <si>
    <t>Block matching frame based material reconstruction for spectral CT</t>
  </si>
  <si>
    <t>spectral computed tomography; material reconstruction; block matching frame</t>
  </si>
  <si>
    <t>REGULARIZATION PARAMETERS; IMAGE-RECONSTRUCTION; COMPUTED-TOMOGRAPHY; REDUCTION; ALGORITHM; NOISE</t>
  </si>
  <si>
    <t>Spectral computed tomography (CT) has a great potential in material identification and decomposition. To achieve high-quality material composition images and further suppress the x-ray beam hardening artifacts, we first propose a one-step material reconstruction model based on Taylor's first-order expansion. Then, we develop a basic material reconstruction method named material simultaneous algebraic reconstruction technique (MSART). Considering the local similarity of each material image, we incorporate a powerful block matching frame (BMF) into the material reconstruction (MR) model and generate a BMF based MR (BMFMR) method. Because the BMFMR model contains the L-0-norm problem, we adopt a split-Bregman method for optimization. The numerical simulation and physical phantom experiment results validate the correctness of the material reconstruction algorithms and demonstrate that the BMF regularization outperforms the total variation and no-local mean regularizations.</t>
  </si>
  <si>
    <t>[Wu, Weiwen; Liu, Fenglin] Chongqing Univ, Minist Educ, Key Lab Optoelect Technol &amp; Syst, Chongqing 400044, Peoples R China; [Wu, Weiwen; Wang, Qian; Yu, Hengyong] Univ Massachusetts Lowell, Dept Elect &amp; Comp Engn, Lowell, MA 01854 USA; [Liu, Fenglin] Chongqing Univ, Engn Res Ctr Ind Computed Tomog Nondestruct Testi, Minist Educ, Chongqing 400044, Peoples R China; [Zhu, Yining] Capital Normal Univ, Sch Math Sci, Beijing 100048, Peoples R China</t>
  </si>
  <si>
    <t>Chongqing University; University of Massachusetts System; University of Massachusetts Lowell; Chongqing University; Capital Normal University</t>
  </si>
  <si>
    <t>Yu, HY (通訊作者)， Univ Massachusetts Lowell, Dept Elect &amp; Comp Engn, Lowell, MA 01854 USA.</t>
  </si>
  <si>
    <t>hengyong-yu@ieee.org</t>
  </si>
  <si>
    <t>; Yu, Hengyong/AAH-5726-2019; Liu, Fenglin/N-3010-2019; Wu, Weiwen/AAO-9342-2020; Wu, Weiwen/R-9596-2018</t>
  </si>
  <si>
    <t>Liu, Fenglin/0000-0002-8952-311X; Yu, Hengyong/0000-0002-5852-0813; Wu, Weiwen/0000-0002-8295-5104</t>
  </si>
  <si>
    <t>National Natural Science Foundation of China [61471070]; National Instrumentation Program of China [2013YQ030629]; NIH/NIBIB U01 grant [EB017140]; China Scholarship Council [201706050070]</t>
  </si>
  <si>
    <t>National Natural Science Foundation of China(National Natural Science Foundation of China (NSFC)); National Instrumentation Program of China; NIH/NIBIB U01 grant; China Scholarship Council(China Scholarship Council)</t>
  </si>
  <si>
    <t>The authors are grateful to Mr Joshua Lojzim at UMass Lowell for his help on language editing. This work was supported in part by the National Natural Science Foundation of China (No. 61471070), National Instrumentation Program of China (No. 2013YQ030629), NIH/NIBIB U01 grant (EB017140) and China Scholarship Council (No. 201706050070).</t>
  </si>
  <si>
    <t>10.1088/1361-6560/ab51db</t>
  </si>
  <si>
    <t>WOS:000518765200001</t>
  </si>
  <si>
    <t>Sharma, S; Kapadia, A; Fu, WY; Abadi, E; Segars, WP; Samei, E</t>
  </si>
  <si>
    <t>Sharma, Shobhit; Kapadia, Anuj; Fu, Wanyi; Abadi, Ehsan; Segars, W. Paul; Samei, Ehsan</t>
  </si>
  <si>
    <t>A real-time Monte Carlo tool for individualized dose estimations in clinical CT</t>
  </si>
  <si>
    <t>computed tomography; Monte Carlo; radiation dose; real-time; patient-specific; GPU</t>
  </si>
  <si>
    <t>SIMULATIONS; VALIDATION; IMPACT; SCANS</t>
  </si>
  <si>
    <t>The increasing awareness of the adverse effects associated with radiation exposure in computed tomography (CT) has necessesitated the quantification of dose delivered to patients for better risk assessment in the clinic. The current methods for dose quantification used in the clinic are approximations, lacking realistic models for the irradiation conditions utilized in the scan and the anatomy of the patient being imaged, which limits their relevance for a particular patient. The established gold-standard technique for individualized dose quantification uses Monte Carlo (MC) simulations to obtain patient-specific estimates of organ dose in anatomically realistic computational phantoms to provide patient-specific estimates of organ dose. Although accurate, MC simulations are computationally expensive, which limits their utility for time-constrained applications in the clinic. To overcome these shortcomings, a real-time GPU-based MC tool based on FDA's MC-GPU framework was developed for patient and scanner-specific dosimetry in the clinic. The tool was validated against (1) AAPM's TG-195 reference datasets and (2) physical measurements of dose acquired using TLD chips in adult and pediatric anthropomorphic phantoms. To demonstrate its utility towards providing individualized dose estimates, it was integrated with an automatic segmentation method for generating patient-specific models, which were then used to estimate patient- and scanner-specific organ doses for a select population of 50 adult patients using a clinically relevant CT protocol. The organ dose estimates were compared to corresponding dose estimates from a previously validated MC method based on Penelope. The dose estimates from our MC tool agreed within 5% for all organs (except thyroid) tabulated by TG-195 and within 10% for all TLD locations in the adult and pediactric phantoms, across all validation cases. Compared against Penelope, the organ dose estimates agreed within 3% on average for all organs in the patient population study. The average run duration for each patient was estimated at 23.79 s, representing a significant speedup (similar to 700x) over existing non-parallelized MC methods. The accuracy of dose estimates combined with a significant improvement in execution times suggests a feasible solution utilizing the proposed MC tool for real-time individualized dosimetry in the clinic.</t>
  </si>
  <si>
    <t>[Sharma, Shobhit; Kapadia, Anuj; Samei, Ehsan] Duke Univ, Dept Phys, Durham, NC 27705 USA; [Sharma, Shobhit; Kapadia, Anuj; Fu, Wanyi; Abadi, Ehsan; Segars, W. Paul; Samei, Ehsan] Duke Univ, Carl E Ravin Adv Imaging Labs, Durham, NC 27705 USA; [Kapadia, Anuj; Segars, W. Paul; Samei, Ehsan] Duke Univ, Dept Radiol, Durham, NC 27705 USA; [Segars, W. Paul; Samei, Ehsan] Duke Univ, Dept Biomed Engn, Durham, NC 27705 USA; [Fu, Wanyi; Abadi, Ehsan; Samei, Ehsan] Duke Univ, Dept Elect &amp; Comp Engn, Durham, NC 27705 USA</t>
  </si>
  <si>
    <t>Duke University; Duke University; Duke University; Duke University; Duke University</t>
  </si>
  <si>
    <t>Sharma, S (通訊作者)， Duke Univ, Dept Phys, Durham, NC 27705 USA.;Sharma, S (通訊作者)， Duke Univ, Carl E Ravin Adv Imaging Labs, Durham, NC 27705 USA.</t>
  </si>
  <si>
    <t>shobhit.sharma@duke.edu</t>
  </si>
  <si>
    <t>Kapadia, Anuj/V-8762-2019; Abadi, Ehsan/R-4100-2019; Fu, Wanyi/ABH-2315-2020</t>
  </si>
  <si>
    <t>Samei, Ehsan/0000-0001-7451-3309; Sharma, Shobhit/0000-0002-1592-5968;</t>
  </si>
  <si>
    <t>National Institutes of Health [R01EB001838]; NVIDIA Corporation</t>
  </si>
  <si>
    <t>National Institutes of Health(United States Department of Health &amp; Human ServicesNational Institutes of Health (NIH) - USA); NVIDIA Corporation(Nvidia Corporation)</t>
  </si>
  <si>
    <t>The authors are grateful to Cliff Hammer at the University of Wisconsin Medical Radiation Research Center (UWMRRC), whose technical assistance was crucial for acquiring and interpreting the TLD measurements acquired for validation purposes. The authors are also grateful to Terry Yoshizumi and Giao Nguyen of the Radiation Safety Division at Duke University for lending the ATOM anthropomorphic phantoms used in this study, and to Juan Carlos Ramirez-Giraldo of Siemens Healthineers for helping with the scans. The authors also recognize the invaluable contribution of Jocelyn Hoye and Francesco Ria of Carl E Ravin Advanced Imaging Laboratories at Duke University for facilitating the research conducted in this study. The research reported in this document was supported by the National Institutes of Health under award number R01EB001838. We also gratefully acknowledge the support of NVIDIA Corporation with the donation of the GeForce GTX Titan X GPU used for conducting simulations discussed in this study.</t>
  </si>
  <si>
    <t>10.1088/1361-6560/ab467f</t>
  </si>
  <si>
    <t>JK5BZ</t>
  </si>
  <si>
    <t>WOS:000494859900001</t>
  </si>
  <si>
    <t>Petibon, Y; Sun, T; Han, PK; Ma, C; El Fakhri, G; Ouyang, J</t>
  </si>
  <si>
    <t>Petibon, Y.; Sun, T.; Han, P. K.; Ma, C.; El Fakhri, G.; Ouyang, J.</t>
  </si>
  <si>
    <t>MR-based cardiac and respiratory motion correction of PET: application to static and dynamic cardiac 18F-FDG imaging</t>
  </si>
  <si>
    <t>PET/MR; motion correction; cardiac PET; dynamic PET</t>
  </si>
  <si>
    <t>COMPENSATION; ATTENUATION; MISREGISTRATION; REGISTRATION; DISPLACEMENT; STRATEGIES; IMAGES</t>
  </si>
  <si>
    <t>Motion of the myocardium deteriorates the quality and quantitative accuracy of cardiac PET images. We present a method for MR-based cardiac and respiratory motion correction of cardiac PET data and evaluate its impact on estimation of activity and kinetic parameters in human subjects. Three healthy subjects underwent simultaneous dynamic F-18-FDG PET and MRI on a hybrid PET/MR scanner. A cardiorespiratory motion field was determined for each subject using navigator, tagging and golden-angle radial MR acquisitions. Acquired coincidence events were binned into cardiac and respiratory phases using electrocardiogram and list mode-driven signals, respectively. Dynamic PET images were reconstructed with MR-based motion correction (MC) and without motion correction (NMC). Parametric images of F-18-FDG consumption rates (Ki) were estimated using Patlak's method for both MC and NMC images. MC alleviated motion artifacts in PET images, resulting in improved spatial resolution, improved recovery of activity in the myocardium wall and reduced spillover from the myocardium to the left ventricle cavity. Significantly higher myocardium contrastto-noise ratio and lower apparent wall thickness were obtained in MC versus NMC images. Likewise, parametric images of K-i calculated with MC data had improved spatial resolution as compared to those obtained with NMC. Consistent with an increase in reconstructed activity concentration in the frames used during kinetic analyses, MC led to the estimation of higher K-i values almost everywhere in the myocardium, with up to 18% increase (mean across subjects) in the septum as compared to NMC. This study shows that MR-based motion correction of cardiac PET results in improved image quality that can benefit both static and dynamic studies.</t>
  </si>
  <si>
    <t>[Petibon, Y.; Sun, T.; Han, P. K.; Ma, C.; El Fakhri, G.; Ouyang, J.] Massachusetts Gen Hosp, Dept Radiol, Gordon Ctr Med Imaging, Boston, MA 02114 USA; [Petibon, Y.; Sun, T.; Han, P. K.; Ma, C.; El Fakhri, G.; Ouyang, J.] Harvard Med Sch, Boston, MA 02115 USA</t>
  </si>
  <si>
    <t>Ouyang, J (通訊作者)， Massachusetts Gen Hosp, Dept Radiol, Gordon Ctr Med Imaging, Boston, MA 02114 USA.</t>
  </si>
  <si>
    <t>ouyang.jinsong@mgh.harvard.edu</t>
  </si>
  <si>
    <t>Sun, Tao/Q-3440-2017</t>
  </si>
  <si>
    <t>National Institutes of Health [R01-HL118261, P41-EB022544, T32-EB013180]</t>
  </si>
  <si>
    <t>This work was supported in part by grants R01-HL118261, P41-EB022544 and T32-EB013180 from the National Institutes of Health. The authors would like to thank Julia-Ann Scotton, Nicolas Guehl, Shirley Hsu and Grae Arabasz for their help with the data acquisition.</t>
  </si>
  <si>
    <t>10.1088/1361-6560/ab39c2</t>
  </si>
  <si>
    <t>WOS:000505953700003</t>
  </si>
  <si>
    <t>Speight, R; Schmidt, MA; Liney, GP; Johnstone, RI; Eccles, CL; Dubec, M; George, B; Henry, A; McCallum, H</t>
  </si>
  <si>
    <t>Speight, Richard; Schmidt, Maria A.; Liney, Gary P.; Johnstone, Robert, I; Eccles, Cynthia L.; Dubec, Michael; George, Ben; Henry, Ann; McCallum, Hazel</t>
  </si>
  <si>
    <t>IPEM Topical Report: A 2018 IPEM survey of MRI use for external beam radiotherapy treatment planning in the UK</t>
  </si>
  <si>
    <t>audit; Survey; MRI; radiotherapy; UK</t>
  </si>
  <si>
    <t>RADIATION-THERAPY; COMPUTED-TOMOGRAPHY; RESONANCE; DELINEATION; SIMULATION; TOXICITY; PROTOCOL</t>
  </si>
  <si>
    <t>The benefits of integrating MRI into the radiotherapy pathway are well published, however there is little consensus in guidance on how to commission or implement its use. With a view to developing consensus guidelines for the use of MRI in external beam radiotherapy (EBRT) treatment planning in the UK, a survey was undertaken by an Institute of Physics and Engineering in Medicine (IPEM) working-party to assess the current landscape of MRI use in EBRT in the UK. A multi-disciplinary working-party developed a survey to understand current practice using MRI for EBRT treatment planning; investigate how MRI is currently used and managed; and identify knowledge gaps.The survey was distributed electronically to radiotherapy service managers and physics leads in 71 UK radiotherapy (RT) departments (all NHS and private groups). The survey response rate was 87% overall, with 89% of NHS and 75% of private centres responding. All responding centres include EBRT in some RT pathways: 94% using Picture Archiving and Communication System (PACS) images potentially acquired without any input from RT departments, and 69% had some form of MRI access for planning EBRT. Most centres reporting direct access use a radiology scanner within the same hospital in dedicated (26%) or non-dedicated (52%) RT scanning sessions. Only two centres reported having dedicated RT MRI scanners in the UK, lower than reported in other countries. Six percent of radiotherapy patients in England (data not publically available outside of England) have MRI as part of their treatment, which again is lower than reported elsewhere. Although a substantial number of centres acquire MRI scans for treatment planning purposes, most centres acquire less than five patient scans per month for each treatment site. Commissioning and quality assurance of both image registration and MRI scanners was found to be variable across the UK. In addition, staffing models and training given to different staff groups varied considerably across the UK, reflecting the current lack of national guidelines. The primary barriers reported to MRI implementation in EBRT planning included costs (e.g. lack of a national tariff for planning MRI), lack of MRI access and/or capacity within hospitals. Despite these challenges, significant interest remains in increasing MRI-assisted EBRT planning over the next five years.</t>
  </si>
  <si>
    <t>[Speight, Richard] Leeds Leaching Hosp NHS Trust, Leeds Canc Ctr, Leeds, W Yorkshire, England; [Schmidt, Maria A.] Royal Marsden NHS Fdn Trust, London, England; [Schmidt, Maria A.] Inst Canc Res, London, England; [Liney, Gary P.] Ingham Inst Appl Med Res, Sydney, NSW 2170, Australia; [Liney, Gary P.] Liverpool Canc Therapy Ctr, Sydney, NSW 2170, Australia; [Johnstone, Robert, I] Guys &amp; St Thomas NHS Fdn Trust, London, England; [Eccles, Cynthia L.; Dubec, Michael] Christie NHS Fdn Trust, Manchester, Lancs, England; [Eccles, Cynthia L.; Dubec, Michael] Univ Manchester, Manchester, Lancs, England; [George, Ben] Univ Oxford, Dept Oncol, Oxford, England; [Henry, Ann] Leeds Teaching Hosp NHS Trust, Leeds Canc Ctr, Leeds, W Yorkshire, England; [Henry, Ann] Univ Leeds, Leeds, W Yorkshire, England; [McCallum, Hazel] Newcastle Tyne Hosp NHS Fdn Trust, Northern Ctr Canc Care Newcastle, Newcastle Upon Tyne, Tyne &amp; Wear, England</t>
  </si>
  <si>
    <t>Royal Marsden NHS Foundation Trust; Royal Marsden NHS Foundation Trust; University of London; Institute of Cancer Research - UK; Ingham Institute for Applied Medical Research; Guy's &amp; St Thomas' NHS Foundation Trust; Christie NHS Foundation Trust; University of Manchester; University of Oxford; University of Leeds; University of Leeds; Newcastle Upon Tyne Hospitals NHS Foundation Trust</t>
  </si>
  <si>
    <t>Speight, R (通訊作者)， Leeds Leaching Hosp NHS Trust, Leeds Canc Ctr, Leeds, W Yorkshire, England.</t>
  </si>
  <si>
    <t>richard.speight@nhs.net</t>
  </si>
  <si>
    <t>; Dubec, Michael/AAD-9406-2019</t>
  </si>
  <si>
    <t>Henry, Ann/0000-0002-5379-6618; Eccles, Cynthia/0000-0002-5445-5428; Dubec, Michael/0000-0001-7758-3310; McCallum, Hazel/0000-0001-5121-2335; Speight, Richard/0000-0001-8981-1640; Schmidt, Maria/0000-0001-8993-5301</t>
  </si>
  <si>
    <t>Cancer Research UK Centres Network Accelerator Award Grant [A21993]; NIHR Manchester Biomedical Research Centre; CRUK [C147/A18083, C147/A25254]; Versus Arthritis; Cancer Research UK [21993] Funding Source: researchfish</t>
  </si>
  <si>
    <t>Cancer Research UK Centres Network Accelerator Award Grant; NIHR Manchester Biomedical Research Centre(National Institutes of Health Research (NIHR)); CRUK(Cancer Research UK); Versus Arthritis; Cancer Research UK(Versus ArthritisCancer Research UK)</t>
  </si>
  <si>
    <t>Dr Richard Speight and Dr Ben George are supported by a Cancer Research UK Centres Network Accelerator Award Grant (A21993) to the ART-NET consortium. Dr Cynthia Eccles is supported by the NIHR Manchester Biomedical Research Centre. Mr Michael Dubec is supported by CRUK via the funding to Cancer Research UK Manchester Centre: (C147/A18083) and (C147/A25254).</t>
  </si>
  <si>
    <t>10.1088/1361-6560/ab2c7c</t>
  </si>
  <si>
    <t>WOS:000484728400006</t>
  </si>
  <si>
    <t>Schipaanboord, BWK; Breedveld, S; Rossi, L; Keijzer, M; Heijmen, B</t>
  </si>
  <si>
    <t>Schipaanboord, B. W. K.; Breedveld, S.; Rossi, L.; Keijzer, M.; Heijmen, B.</t>
  </si>
  <si>
    <t>Automated prioritised 3D dose-based MLC segment generation for step-and-shoot IMRT</t>
  </si>
  <si>
    <t>step-and-shoot IMRT; treatment plan optimisation; inverse IMRT planning; prioritised MLC segmentation; column generation</t>
  </si>
  <si>
    <t>DIRECT APERTURE OPTIMIZATION; BEAM-ON TIME; MONITOR UNITS; DELIVERY; ALGORITHM; REGULARIZATION</t>
  </si>
  <si>
    <t>Segmentation can degrade a high-quality dose distribution obtained by fluence map optimisation (FMO). A novel algorithm is proposed for generation of MLC segments to deliver an FMO plan with step-and-shoot IMRT while minimising quality loss. All beams are considered simultaneously while generating MLC segments for reproducing the 3D FMO dose distribution. Segment generation is only steered by the 3D FMO dose distribution, i.e. underlying FMO fluence profiles are not considered. The algorithm features prioritised generation of segments, focusing on accurate reproduction of clinical objectives with the highest priorities. The performance of the segmentation algorithm was evaluated for 20 prostate patients, 15 head-and-neck patients, and 12 liver patients. FMO dose distributions were generated by automated multi-criteria treatment planning (Pareto-optimal plans) and subsequently segmented using the proposed method. Various segmentation strategies were investigated regarding prioritisation of objectives and limitation of the number of segments. Segmented plans were dosimetrically similar to FMO plans and for all patients a clinically acceptable segmented plan could be generated. Substantial differences between FMO and segmented fluence profiles were observed. Avoidance of the usual reconstruction of 2D FMO fluence profiles for segment generation, and instead simultaneously generating segments for all beams to directly reproduce the 3D FMO dose distribution is a likely explanation for the obtained results. For the strategies of limiting the number of segments large reductions in number of segments were observed with minimal impact on plan quality.</t>
  </si>
  <si>
    <t>[Schipaanboord, B. W. K.; Breedveld, S.; Rossi, L.; Heijmen, B.] Erasmus MC Canc Inst, Dept Radiat Oncol, Rotterdam, Netherlands; [Keijzer, M.] Delft Univ Technol, Delft Inst Appl Math, Delft, Netherlands</t>
  </si>
  <si>
    <t>Schipaanboord, BWK (通訊作者)， Erasmus MC Canc Inst, Dept Radiat Oncol, Rotterdam, Netherlands.</t>
  </si>
  <si>
    <t>b.schipaanboord@erasmusmc.nl</t>
  </si>
  <si>
    <t>Rossi, Linda/0000-0002-3705-2504; Breedveld, Sebastiaan/0000-0001-8954-4554; Schipaanboord, Bas/0000-0003-1892-735X; Heijmen, Ben/0000-0003-1647-0528</t>
  </si>
  <si>
    <t>Accuray Inc., Sunnyvale, USA</t>
  </si>
  <si>
    <t>The authors want to thank Rebecca Jacobs for her contribution to the segment generation method. We also thank Abdul Wahab Sharfo and Rens van Haveren for their support and for sharing their research data and we thank Warren Kilby (Accuray Inc.) for his helpful comments and insight in the CyberKnife system. This work was in part funded by a research grant from Accuray Inc., Sunnyvale, USA. Erasmus MC Cancer Institute also has a collaboration agreement with Elekta AB, Stockholm, Sweden.</t>
  </si>
  <si>
    <t>10.1088/1361-6560/ab1df9</t>
  </si>
  <si>
    <t>WOS:000482525700004</t>
  </si>
  <si>
    <t>Vijayan, R; De Silva, T; Han, R; Zhang, X; Uneri, A; Doerr, S; Ketcha, M; Perdomo-Pantoja, A; Theodore, N; Siewerdsen, JH</t>
  </si>
  <si>
    <t>Vijayan, R.; De Silva, T.; Han, R.; Zhang, X.; Uneri, A.; Doerr, S.; Ketcha, M.; Perdomo-Pantoja, A.; Theodore, N.; Siewerdsen, J. H.</t>
  </si>
  <si>
    <t>Automatic pedicle screw planning using atlas-based registration of anatomy and reference trajectories</t>
  </si>
  <si>
    <t>surgical planning; image-guided surgery; surgical robotics; atlas-based registration; automatic planning; surgical data science; quality assurance</t>
  </si>
  <si>
    <t>LUMBAR PEDICLE; ACCURACY</t>
  </si>
  <si>
    <t>An algorithm for automatic spinal pedicle screw planning is reported and evaluated in simulation and first clinical studies. A statistical atlas of the lumbar spine (N = 40 members) was constructed for active shape model (ASM) registration of target vertebrae to an unsegmented patient CT. The atlas was augmented to include 'reference' trajectories through the pedicles as defined by a spinal neurosurgeon. Following ASM registration, the trajectories are transformed to the patient CT and accumulated to define a patient-specific screw trajectory, diameter, and length. The algorithm was evaluated in leave-one-out analysis (N = 40 members) and for the first time in a clinical study (N = 5 patients undergoing cone-beam CT (CBCT) guided spine surgery), and in simulated low-dose CBCT images. ASM registration achieved (2.0 +/- 0.5) mm root-mean-square-error (RMSE) in surface registration in 96% of cases, with outliers owing to limitations in CT image quality (high noise/slice thickness). Trajectory centerlines were conformant to the pedicle in 95% of cases. For all non-breaching trajectories, automatically defined screw diameter and length were similarly conformant to the pedicle and vertebral body (98.7%, Grade A/B). The algorithm performed similarly in CBCT clinical studies (93% centerline and screw conformance) and was consistent at the lowest dose levels tested. Average runtime in planning five-level (lumbar) bilateral screws (ten trajectories) was (312.1 +/- 104.0) s. The runtime per level for ASM registration was (41.2 +/- 39.9) s, and the runtime per trajectory was (4.1 +/- 0.8) s, suggesting a runtime of similar to(45.3 +/- 39.9) s with a more fully parallelized implementation. The algorithm demonstrated accurate, automatic definition of pedicle screw trajectories, diameter, and length in CT images of the spine without segmentation. The studies support translation to clinical studies in free-hand or robot-assisted spine surgery, quality assurance, and data analytics in which fast trajectory definition is a benefit to workflow.</t>
  </si>
  <si>
    <t>[Vijayan, R.; De Silva, T.; Han, R.; Zhang, X.; Uneri, A.; Doerr, S.; Ketcha, M.; Siewerdsen, J. H.] Johns Hopkins Univ, Dept Biomed Engn, Baltimore, MD 21218 USA; [Perdomo-Pantoja, A.; Theodore, N.; Siewerdsen, J. H.] Johns Hopkins Univ Hosp, Dept Neurosurg, Baltimore, MD 21218 USA; [Siewerdsen, J. H.] Johns Hopkins Univ, Traylor Bldg,Room 622,720 Rutland Ave, Baltimore, MD 21205 USA</t>
  </si>
  <si>
    <t>Johns Hopkins University; Johns Hopkins University; Johns Hopkins Medicine; Johns Hopkins University</t>
  </si>
  <si>
    <t>Siewerdsen, JH (通訊作者)， Johns Hopkins Univ, Dept Biomed Engn, Baltimore, MD 21218 USA.;Siewerdsen, JH (通訊作者)， Johns Hopkins Univ Hosp, Dept Neurosurg, Baltimore, MD 21218 USA.;Siewerdsen, JH (通訊作者)， Johns Hopkins Univ, Traylor Bldg,Room 622,720 Rutland Ave, Baltimore, MD 21205 USA.</t>
  </si>
  <si>
    <t>Zhang, Xiaoxuan/GPW-9341-2022; Han, Runze/HPE-2056-2023; Perdomo-Pantoja, Alexander/N-9161-2019</t>
  </si>
  <si>
    <t>Vijayan, Rohan/0000-0003-4132-0783; Doerr, Sophia/0000-0003-0278-8439; Uneri, Ali/0000-0003-3419-1805</t>
  </si>
  <si>
    <t>The work was supported by NIH Grant R01-EB-017226. Thanks to Felicia Wang (Biomedical Engineering, Johns Hopkins University) for collection and segmentation of CT images used in this work.</t>
  </si>
  <si>
    <t>10.1088/1361-6560/ab2d66</t>
  </si>
  <si>
    <t>WOS:000482525700011</t>
  </si>
  <si>
    <t>Zaffino, P; Pernelle, G; Mastmeyer, A; Mehrtash, A; Zhang, HT; Kikinis, R; Kapur, T; Spadea, MF</t>
  </si>
  <si>
    <t>Zaffino, Paolo; Pernelle, Guillaume; Mastmeyer, Andre; Mehrtash, Alireza; Zhang, Hongtao; Kikinis, Ron; Kapur, Tina; Spadea, Maria Francesca</t>
  </si>
  <si>
    <t>Fully automatic catheter segmentation in MRI with 3D convolutional neural networks: application to MRI-guided gynecologic brachytherapy</t>
  </si>
  <si>
    <t>brachytherapy; gynecologic cancer; medical image segmentation; image guided surgery; convolutional neural networks; catheter segmentation</t>
  </si>
  <si>
    <t>CERVIX CANCER BRACHYTHERAPY; LOCALLY ADVANCED-CARCINOMA; INTERSTITIAL BRACHYTHERAPY; LOCALIZATION; ULTRASOUND; RECOMMENDATIONS; CONTOUR; TERMS; TOOL</t>
  </si>
  <si>
    <t>External-beam radiotherapy followed by high dose rate (HDR) brachytherapy is the standard-of-care for treating gynecologic cancers. The enhanced soft-tissue contrast provided by magnetic resonance imaging (MRI) makes it a valuable imaging modality for diagnosing and treating these cancers. However, in contrast to computed tomography (CT) imaging, the appearance of the brachytherapy catheters, through which radiation sources are inserted to reach the cancerous tissue later on, is often variable across images. This paper reports, for the first time, a new deep-learning-based method for fully automatic segmentation of multiple closely spaced brachytherapy catheters in intraoperative MRI. Represented in the data are 50 gynecologic cancer patients treated by MRI-guided HDR brachytherapy. For each patient, a single intraoperative MRI was used. 826 catheters in the images were manually segmented by an expert radiation physicist who is also a trained radiation oncologist. The number of catheters in a patient ranged between 10 and 35. A deep 3D convolutional neural network (CNN) model was developed and trained. In order to make the learning process more robust, the network was trained 5 times, each time using a different combination of shown patients. Finally, each test case was processed by the five networks and the final segmentation was generated by voting on the obtained five candidate segmentations. 4-fold validation was executed and all the patients were segmented. An average distance error of 2.0 +/- 3.4 mm was achieved. False positive and false negative catheters were 6.7% and 1.5% respectively. Average Dice score was equal to 0.60 +/- 0.17. The algorithm is available for use in the open source software platform 3D Slicer allowing for wide scale testing and research discussion. In conclusion, to the best of our knowledge, fully automatic segmentation of multiple closely spaced catheters from intraoperative MR images was achieved for the first time in gynecological brachytherapy.</t>
  </si>
  <si>
    <t>[Zaffino, Paolo; Spadea, Maria Francesca] Magna Graecia Univ Catanzaro, Dept Expt &amp; Clin Med, I-88100 Catanzaro, Italy; [Pernelle, Guillaume] Imperial Coll London, Bioengn Dept, London SW7 2AZ, England; [Mastmeyer, Andre] Univ Lubeck, Inst Med Informat, D-23562 Lubeck, Germany; [Mehrtash, Alireza; Kikinis, Ron; Kapur, Tina] Harvard Med Sch, Dept Radiol, Brigham &amp; Womens Hosp, Boston, MA 02115 USA; [Zhang, Hongtao] Hebei Gen Hosp, Oncol Dept, Shijiazhuang 050051, Hebei, Peoples R China; [Kikinis, Ron] Univ Bremen, Dept Comp Sci, Fraunhofer MEVIS, D-28359 Bremen, Germany</t>
  </si>
  <si>
    <t>Magna Graecia University of Catanzaro; Imperial College London; University of Lubeck; Harvard University; Harvard University Medical Affiliates; Brigham &amp; Women's Hospital; Harvard Medical School; University of Bremen</t>
  </si>
  <si>
    <t>Zaffino, P (通訊作者)， Magna Graecia Univ Catanzaro, Dept Expt &amp; Clin Med, I-88100 Catanzaro, Italy.</t>
  </si>
  <si>
    <t>p.zaffino@unicz.it</t>
  </si>
  <si>
    <t>Spadea, Maria Francesca/AHI-0454-2022; Zaffino, Paolo/T-3761-2019; Mastmeyer, Andre/J-4379-2017</t>
  </si>
  <si>
    <t>Zaffino, Paolo/0000-0002-0219-0157; zhang, hongtao/0000-0002-1572-0719;</t>
  </si>
  <si>
    <t>Nvidia GPU grant 2018; DFG: GS-CMLS; NIH [P41EB015898, P41EB015902, U24CA180918]; [MA 6791/1-1]</t>
  </si>
  <si>
    <t>Nvidia GPU grant 2018; DFG: GS-CMLS(German Research Foundation (DFG)); NIH(United States Department of Health &amp; Human ServicesNational Institutes of Health (NIH) - USA);</t>
  </si>
  <si>
    <t>This work was supported by the following grants: Nvidia GPU grant 2018, DFG: GS-CMLS, and MA 6791/1-1 (A Mastmeyer), NIH grants P41EB015898 (T Kapur, R Kikinis), P41EB015902 and U24CA180918 (R Kikinis).</t>
  </si>
  <si>
    <t>10.1088/1361-6560/ab2f47</t>
  </si>
  <si>
    <t>WOS:000481852600008</t>
  </si>
  <si>
    <t>Yabe, T; Komori, M; Akagi, T; Yamashita, T; Yamamoto, S</t>
  </si>
  <si>
    <t>Yabe, Takuya; Komori, Masataka; Akagi, Takashi; Yamashita, Tomohiro; Yamamoto, Seiichi</t>
  </si>
  <si>
    <t>Imaging of fragment particles in water by nuclear spallation during carbon-ion irradiation</t>
  </si>
  <si>
    <t>luminescence; imaging; carbon-ion; widths; fragment particle; nuclear spallation</t>
  </si>
  <si>
    <t>BEAM; PROTON</t>
  </si>
  <si>
    <t>Recently we found that the luminescence imaging of water during carbon-ion irradiation was possible using a cooled charge-coupled device (CCD) camera and the method could be used for range estimation of the beam. In the luminescence image, we found luminescence from the fragment particles produced by the nuclear spallation reaction of carbon ions. The luminescence may be used for the estimation of the distribution of the fragment particles by the nuclear spallation. For this purpose, we irradiated carbon ions of 241.5 MeV u(-1) to a water phantom and measured the luminescence image of water using a CCD camera. Then, we carefully observed the luminescence distribution after the Bragg peak to find the luminescence from the nuclear spallation reaction. In the luminescence image, we could clearly observe the luminescence from the fragment particles produced by the nuclear spallation reaction during irradiation of carbon ions. The beam widths of the luminescence image of the nuclear spallation were compared with those measured by the ionization chamber. The relative difference of the beam width at FWHM between luminescence image and ionization chamber was 23%. With these results, we conclude that the luminescence image of water during carbon-ion irradiation has a potential to be a new and efficient method for the width estimation of the fragment particles by the nuclear spallation reaction.</t>
  </si>
  <si>
    <t>[Yabe, Takuya; Komori, Masataka; Yamamoto, Seiichi] Nagoya Univ, Grad Sch Med, Radiol &amp; Med Lab Sci, Nagoya, Aichi, Japan; [Yabe, Takuya] Nagoya Univ Hosp, Dept Med Technol, Nagoya, Aichi, Japan; [Akagi, Takashi; Yamashita, Tomohiro] Hyogo Ion Beam Med Ctr, Tatsuno, Japan</t>
  </si>
  <si>
    <t>Nagoya University; Nagoya University</t>
  </si>
  <si>
    <t>Yamamoto, S (通訊作者)， Nagoya Univ, Grad Sch Med, Radiol &amp; Med Lab Sci, Nagoya, Aichi, Japan.</t>
  </si>
  <si>
    <t>Komori, Masataka/I-6259-2014; Yabe, Takuya/JDW-3425-2023</t>
  </si>
  <si>
    <t>Komori, Masataka/0000-0002-4545-4917; Yabe, Takuya/0000-0003-3190-5921</t>
  </si>
  <si>
    <t>JSPS KAKENHI [JP25253077, JP16H03908]</t>
  </si>
  <si>
    <t>We thank Saeko Nakai for some of the image processing for the work. The carbon-ion measurements were performed at the Hyogo Ion Beam Medical Center. We thank the clinical teams for allowing us beam times for our experiments as well as its staff members who helped us prepare and carry out the irradiations. This work was supported in part by JSPS KAKENHI Grant Number JP25253077 and JP16H03908.</t>
  </si>
  <si>
    <t>13NT01</t>
  </si>
  <si>
    <t>10.1088/1361-6560/ab2920</t>
  </si>
  <si>
    <t>IG3JA</t>
  </si>
  <si>
    <t>WOS:000473700100001</t>
  </si>
  <si>
    <t>Zhu, HY; Chen, YZ; Sung, W; McNamara, AL; Tran, LT; Burigo, LN; Rosenfeld, AB; Li, JL; Faddegon, B; Schuemann, J; Paganetti, H</t>
  </si>
  <si>
    <t>Zhu, Hongyu; Chen, Yizheng; Sung, Wonmo; McNamara, Aimee L.; Tran, Linh T.; Burigo, Lucas N.; Rosenfeld, Anatoly B.; Li, Junli; Faddegon, Bruce; Schuemann, Jan; Paganetti, Harald</t>
  </si>
  <si>
    <t>The microdosimetric extension in TOPAS: development and comparison with published data</t>
  </si>
  <si>
    <t>Monte Carlo; carbon ion; proton; TOPAS; microdosimetry</t>
  </si>
  <si>
    <t>RELATIVE BIOLOGICAL EFFECTIVENESS; MONTE-CARLO-SIMULATION; DOSE DISTRIBUTIONS; CELL-SURVIVAL; PROPORTIONAL-COUNTERS; PROTON-BEAM; THERAPY; C-12; GEANT4; RBE</t>
  </si>
  <si>
    <t>Microdosimetric energy depositions have been suggested as a key variable for the modeling of the relative biological effectiveness (RBE) in proton and ion radiation therapy. However, microdosimetry has been underutilized in radiation therapy. Recent advances in detector technology allow the design of new mico- and nano-dosimeters. At the same time Monte Carlo (MC) simulations have become more widely used in radiation therapy. In order to address the growing interest in the field, a microdosimetric extension was developed in TOPAS. The extension provides users with the functionality to simulate microdosimetric spectra as well as the contribution of secondary particles to the spectra, calculate microdosimetric parameters, and determine RBE with a biological weighting function approach or with the microdosimetric kinetic (MK) model. Simulations were conducted with the extension and the results were compared with published experimental data and other simulation results for three types of microdosimeters, a spherical tissue equivalent proportional counter (TEPC), a cylindrical TEPC and a solid state microdosimeter. The corresponding microdosimetric spectra obtained with TOPAS from the plateau region to the distal tail of the Bragg curve generally show good agreement with the published data.</t>
  </si>
  <si>
    <t>[Zhu, Hongyu; Chen, Yizheng; Sung, Wonmo; McNamara, Aimee L.; Schuemann, Jan; Paganetti, Harald] Massachusetts Gen Hosp, Dept Radiat Oncol, Boston, MA 02114 USA; [Zhu, Hongyu; Chen, Yizheng; Li, Junli] Tsinghua Univ, Dept Engn Phys, Beijing 100084, Peoples R China; [Zhu, Hongyu; Chen, Yizheng; Li, Junli] Tsinghua Univ, Minist Educ, Key Lab Particle &amp; Radiat Imaging, Beijing 100084, Peoples R China; [Sung, Wonmo; McNamara, Aimee L.; Schuemann, Jan; Paganetti, Harald] Harvard Med Sch, Boston, MA 02114 USA; [Tran, Linh T.; Rosenfeld, Anatoly B.] Univ Wollongong, Ctr Med Radiat Phys, Wollongong, NSW, Australia; [Burigo, Lucas N.] German Canc Res Ctr DKEZ, Neuenheimer Feld 280, D-69120 Heidelberg, Germany; [Faddegon, Bruce] Univ Calif San Francisco, Dept Radiat Oncol, San Francisco, CA 94143 USA</t>
  </si>
  <si>
    <t>Harvard University; Harvard University Medical Affiliates; Massachusetts General Hospital; Tsinghua University; Tsinghua University; Harvard University; Harvard Medical School; University of Wollongong; University of California System; University of California San Francisco</t>
  </si>
  <si>
    <t>Paganetti, H (通訊作者)， Massachusetts Gen Hosp, Dept Radiat Oncol, Boston, MA 02114 USA.;Paganetti, H (通訊作者)， Harvard Med Sch, Boston, MA 02114 USA.</t>
  </si>
  <si>
    <t>HPAGANETTI@mgh.harvard.edu</t>
  </si>
  <si>
    <t>Sung, Wonmo/AAB-1072-2022; Rosenfeld, Anatoly/D-1989-2014; Schuemann, Jan/A-4346-2011; McNamara, Aimee/C-9432-2009; Burigo, Lucas/H-5013-2013; Tran, Linh Nguyen T/JSK-2488-2023</t>
  </si>
  <si>
    <t>Schuemann, Jan/0000-0002-7554-8818; Sung, Wonmo/0000-0002-0172-0646; Tran, Linh/0000-0002-3321-2611; Rosenfeld, Anatoly/0000-0001-5116-6308; Zhu, Hongyu/0000-0003-4136-0910; McNamara, Aimee/0000-0001-8792-0464;</t>
  </si>
  <si>
    <t>China Scholarship Council; National Cancer Institute [R01 CA187003, U24 CA215123]; National Cancer Institute [U24CA215123] Funding Source: NIH RePORTER</t>
  </si>
  <si>
    <t>China Scholarship Council(China Scholarship Council); National Cancer Institute(United States Department of Health &amp; Human ServicesNational Institutes of Health (NIH) - USANIH National Cancer Institute (NCI)); National Cancer Institute(United States Department of Health &amp; Human ServicesNational Institutes of Health (NIH) - USANIH National Cancer Institute (NCI))</t>
  </si>
  <si>
    <t>Hongyu Zhu was sponsored by China Scholarship Council for one-year study at the Massachusetts General Hospital. This work was supported by the National Cancer Institute under R01 CA187003 (TOPAS-nBio, a Monte Carlo tool for radiation biology research) and U24 CA215123 (The TOPAS Tool for Particle Simulation, a Monte Carlo Simulation Tool for Physics, Biology and Clinical Research).</t>
  </si>
  <si>
    <t>10.1088/1361-6560/ab23a3</t>
  </si>
  <si>
    <t>WOS:000475378800004</t>
  </si>
  <si>
    <t>McAuley, GA; Teran, AV; McGee, PQ; Nguyen, TT; Slater, JM; Slater, JD; Wroe, AJ</t>
  </si>
  <si>
    <t>McAuley, Grant A.; Teran, Anthony V.; McGee, Patrick Q.; Nguyen, Theodore T.; Slater, James M.; Slater, Jerry D.; Wroe, Andrew J.</t>
  </si>
  <si>
    <t>Experimental validation of magnetically focused proton beams for radiosurgery</t>
  </si>
  <si>
    <t>proton radiosurgery; proton therapy; magnetic focusing; permanent magnets; samarium cobalt; Halbach cylinder; small fields Supplementary material for this article is available online</t>
  </si>
  <si>
    <t>FILM DOSIMETRY; MAGNETS</t>
  </si>
  <si>
    <t>We performed experiments using a triplet of quadrupole permanent magnets to focus protons and compared their dose distributions with unfocused collimated beams using energies and field sizes typically employed in proton radiosurgery. Experiments were performed in a clinical treatment room wherein small-diameter proton beams were focused by a magnet triplet placed immediately upstream of a water tank. The magnets consisted of segments of Sm2Co17 rare-earth permanent magnetic material adhered into Halbach cylinders with nominal field gradients of 100, 150, 200, and 250 T m(-1). Unmodulated beams with initial diameters of 3 mm-20 mm were delivered using a single scattering system with nominal energies of 127 and 157 MeV (respective ranges of similar to 10 cm and 15 cm in water), commonly used for proton radiosurgery at our institution. For comparison, small-diameter unfocused collimated beams were similarly delivered. Transverse and depth dose distributions were measured using radiochromic film and a diode detector, respectively, and compared between the focused and unfocused beams (UNF). The focused beams produced low-eccentricity beam spots (defined by the 80% dose contour) at Bragg depth, with full width at 80% maximum dose values ranging from 3.8 to 7.6 mm. When initial focused beam diameters were larger than matching unfocused diameters (19 of 29 cases), the focused beams peak-to-entrance dose ratios were 13% to 73% larger than UNF. In addition, in 17 of these cases the efficiency of dose delivery to the target was 1.3x to 3.3x larger. Both peak-to-entrance dose ratios and efficiency tended to increase with initial beam diameter, while efficiency also tended to increase with magnet gradient. These experimental results are consistent with our previous Monte Carlo (MC) studies and suggest that a triplet of quadrupole Halbach cylinders could be clinically useful for irradiating small-field radiosurgical targets with fewer beams, lower entrance dose, and shorter treatment times.</t>
  </si>
  <si>
    <t>[McAuley, Grant A.; Teran, Anthony V.; Slater, James M.; Slater, Jerry D.; Wroe, Andrew J.] Loma Linda Univ, Dept Radiat Med, Loma Linda, CA 92350 USA; [McGee, Patrick Q.; Nguyen, Theodore T.] Loma Linda Univ, Sch Med, Loma Linda, CA USA</t>
  </si>
  <si>
    <t>Loma Linda University; Loma Linda University</t>
  </si>
  <si>
    <t>McAuley, GA (通訊作者)， Loma Linda Univ, Dept Radiat Med, Loma Linda, CA 92350 USA.</t>
  </si>
  <si>
    <t>gmcauley@llu.edu</t>
  </si>
  <si>
    <t>; McAuley, Grant/I-2497-2013</t>
  </si>
  <si>
    <t>Teran, Anthony/0000-0002-0137-9695; McAuley, Grant/0000-0002-4083-5825</t>
  </si>
  <si>
    <t>Department of Defense [DOD W81XWH-BAA-10-1]; Del Webb Foundation</t>
  </si>
  <si>
    <t>Department of Defense(United States Department of Defense); Del Webb Foundation</t>
  </si>
  <si>
    <t>We gratefully acknowledge that this project was sponsored with funding from the Department of Defense (DOD W81XWH-BAA-10-1) and the Del Webb Foundation.</t>
  </si>
  <si>
    <t>10.1088/1361-6560/ab0db1</t>
  </si>
  <si>
    <t>WOS:000470205600008</t>
  </si>
  <si>
    <t>Zhang, Y; Huth, I; Weber, DC; Lomax, AJ</t>
  </si>
  <si>
    <t>Zhang, Ye; Huth, Isabel; Weber, Damien C.; Lomax, Antony J.</t>
  </si>
  <si>
    <t>Dosimetric uncertainties as a result of temporal resolution in 4D dose calculations for PBS proton therapy</t>
  </si>
  <si>
    <t>scanned proton therapy; 4D dose calculation; dosimetric analysis; temporal resolution</t>
  </si>
  <si>
    <t>MOTION MITIGATION; BEAM; INTERPLAY; TUMOR; LUNG; RADIOTHERAPY; ROBUSTNESS</t>
  </si>
  <si>
    <t>This work investigates the dosimetric impact on 4D dose distribution estimation for pencil beam scanned (PBS) proton therapy as function of the temporal resolution used for the time resolved dose calculation. For three liver patients (CTV volume: 403/122/264 cc), 10-phase 4DCT-MRI datasets with similar to 15 mm tumour motion were simulated for seven different motion periods (2-8 s). 4D dose distributions were calculated and compared by considering both coarser and finer temporal resolutions (200-800 ms and 20 ms). Single scanned 4D plans for seven fraction doses (0.7/ 2 / 4 /6/8/10/12 Gy) were investigated, whose dose delivery timelines were simulated by assuming two types of PBS scanning modes: (1) layer-wise raster scanning with varying dose rate per layer and (2) fixed dose rate, discrete scanning. For both delivery scenarios, dosimetric assessments were performed by comparing corresponding dose distributions derived from the two 4D dose calculation (4DDC) results. Differences were quantified as the difference in D5-D95 of the CTV and by comparing total volume of the CTV receiving point-to-point absolute dose difference more than 5%. Our results show that varying temporal resolution in 4DDC has a direct influence on the final accumulated dose distribution. For all scenarios, patients, fraction doses and motion periods studied, pronounced dose differences can be observed between the two 4DDC results. However, the magnitude of differences varies depending on the selected PBS scanning model and prescribed dose per field. For fixed dose rate delivery, the average duration of the delivery of each spot increases for hypo-fractionated treatments, enhancing the benefit of using a finer temporal resolution for 4DDC. In particular, for fraction doses &gt;4 Gy and motion periods less than 4 s, warping the dose between discrete 4DCT phases can over predict the interplay effect (D5-D95 in CTV) by 3%-10% compared to the use of a finer temporal resolution, resulting in more than 20% of CTV voxels having absolute dose differences of over 5% between the two 4DDC approaches. These findings emphasize the importance for PBS 4DDC using finer temporal resolutions than provided by conventional 4D dose accumulation techniques. In particular, the observed differences in dosimetric effects using the fine temporal resolution provided by dose warping cannot be neglected for hypo-fractionation and short breathing periods, especially when using constant dose rates for dose delivery.</t>
  </si>
  <si>
    <t>[Zhang, Ye; Weber, Damien C.; Lomax, Antony J.] Paul Scherrer Inst, Ctr Proton Therapy, Villigen, Switzerland; [Huth, Isabel] Varian Med Syst Particle Therapy GmbH, Troisdorf, Germany; [Weber, Damien C.] Univ Hosp Zurich, Radiat Oncol Dept, Zurich, Switzerland; [Lomax, Antony J.] Swiss Fed Inst Technol, Dept Phys, Zurich, Switzerland</t>
  </si>
  <si>
    <t>Swiss Federal Institutes of Technology Domain; Paul Scherrer Institute; University of Zurich; University Zurich Hospital; Swiss Federal Institutes of Technology Domain; ETH Zurich</t>
  </si>
  <si>
    <t>Zhang, Y (通訊作者)， Paul Scherrer Inst, Ctr Proton Therapy, Villigen, Switzerland.</t>
  </si>
  <si>
    <t>ye.zhang@psi.ch</t>
  </si>
  <si>
    <t>Zhang, Ye/0000-0003-1608-4467</t>
  </si>
  <si>
    <t>Varian Medical Systems-Particle therapy GmbH, Germany</t>
  </si>
  <si>
    <t>This project was supported by the research grant from Varian Medical Systems-Particle therapy GmbH, Germany.</t>
  </si>
  <si>
    <t>10.1088/1361-6560/ab1d6f</t>
  </si>
  <si>
    <t>ID4GV</t>
  </si>
  <si>
    <t>WOS:000471635900001</t>
  </si>
  <si>
    <t>Bernal, M; Sen, I; Urban, MW</t>
  </si>
  <si>
    <t>Bernal, Miguel; Sen, Indrani; Urban, Matthew W.</t>
  </si>
  <si>
    <t>Evaluation of materials used for vascular anastomoses using shear wave elastography</t>
  </si>
  <si>
    <t>shear wave elastography; vascular graft; poly (ethylene terephthalate); Dacron; expanded polytetrafluoroethylene (ePTFE); polyvinyl alcohol cryogel; group velocity</t>
  </si>
  <si>
    <t>CARDIOVASCULAR-DISEASE; ARTERIAL; DIAMETER; MODULUS; ELASTICITY; THICKNESS; HYDROGELS; PRESSURE; PATENCY; IMPACT</t>
  </si>
  <si>
    <t>Cardiovascular disease is the leading cause of mortality in the United States. Peripheral artery disease (PAD) affects a substantial portion of the elderly population (&gt; 70 years). PAD can be symptomatic or asymptomatic, and treatment is directed towards improving functional vessel patency and limb salvage. Revascularization surgical treatments are needed in some cases, and it is not always possible to use autologous veins for vascular grafting. In this case, synthetic materials may be used. Synthetic materials such as expanded polytetrafluoroethylene (ePTFE) and poly (ethylene terephthalate) (Dacron) have been used. These materials are much stiffer compared to normal arterial vessels so developing alternative materials is an active area of research. One such potential material is a polyvinyl alcohol cryogel reinforced arterial model (PRAM). In this study we used shear wave elastography (SWE) techniques to compare the mechanical behavior of excised aortas and anastomoses formed between the aortas and the Dacron, ePTFE, and PRAM materials. Different initial longitudinal strains (0%-40%) and transmural pressures (20-180 mmHg) were used to test a wide range of parameters that are within physiological ranges. We found that the PRAM materials had similar mechanical behavior in terms of group velocity measured in the vessel wall with respect to the excised aortas compared to the Dacron and ePTFE that had higher values of group velocity. The ratios of the group velocity for the PRAM material with respect to the aortas ranged from 0.83 to 1.13 where the Dacron and ePTFE had ranges of 1.12-2.22 and 1.91-3.10 for the same stretch and pressure ranges. The PRAM materials provide an alternative vascular material with better mechanical matching with excised aortas.</t>
  </si>
  <si>
    <t>[Bernal, Miguel] Univ Pontificia Bolivariana, Grp Dinam Cardiovasc, Medellin, Colombia; [Sen, Indrani] Mayo Clin, Div Vasc Surg, Dept Surg, Rochester, MN 55905 USA; [Urban, Matthew W.] Mayo Clin, Dept Radiol, Rochester, MN 55905 USA</t>
  </si>
  <si>
    <t>Universidad Pontificia Bolivariana; Mayo Clinic; Mayo Clinic</t>
  </si>
  <si>
    <t>Urban, MW (通訊作者)， Mayo Clin, Dept Radiol, Rochester, MN 55905 USA.</t>
  </si>
  <si>
    <t>urban.matthew@mayo.edu</t>
  </si>
  <si>
    <t>Urban, Matthew/A-8413-2009</t>
  </si>
  <si>
    <t>Comision Fulbright Colombia, 'Fulbright Visiting Research Scholarship'; Administrative Department of Science, Technology and Innovation of the Colombian Government (Colciencias); Research and Development Center (CIDI) of the Universidad Pontificia Bolivarina through the program 'Es tiempo de Volver' [548B-01/16-04]</t>
  </si>
  <si>
    <t>Comision Fulbright Colombia, 'Fulbright Visiting Research Scholarship'; Administrative Department of Science, Technology and Innovation of the Colombian Government (Colciencias)(Departamento Administrativo de Ciencia, Tecnologia e Innovacion Colciencias); Research and Development Center (CIDI) of the Universidad Pontificia Bolivarina through the program 'Es tiempo de Volver'</t>
  </si>
  <si>
    <t>The authors thank Jennifer L Poston for administrative support. Support for this study was provided in part by Comision Fulbright Colombia, 'Fulbright Visiting Research Scholarship', by the Administrative Department of Science, Technology and Innovation of the Colombian Government (Colciencias) and the Research and Development Center (CIDI) of the Universidad Pontificia Bolivarina through the program 'Es tiempo de Volver' (Grant number 548B-01/16-04). The authors have no conflicts of interest to declare.</t>
  </si>
  <si>
    <t>10.1088/1361-6560/ab055c</t>
  </si>
  <si>
    <t>WOS:000462050200001</t>
  </si>
  <si>
    <t>Zhang, R; Sharp, GC; Jee, KW; Cascio, E; Harms, J; Flanz, JB; Lu, HM</t>
  </si>
  <si>
    <t>Zhang, Rongxiao; Sharp, Gregory C.; Jee, Kyung-Wook; Cascio, Ethan; Harms, Joseph; Flanz, Jacob B.; Lu, Hsiao-Ming</t>
  </si>
  <si>
    <t>Iterative optimization of relative stopping power by single detector based multi-projection proton radiography</t>
  </si>
  <si>
    <t>proton radiography; proton CT; relative stopping power; single imager; iterative optimization; range uncertainty; proton therapy</t>
  </si>
  <si>
    <t>RANGE UNCERTAINTIES; MONTE-CARLO; SYSTEM; THERAPY; TOMOGRAPHY; RADIOTHERAPY; PERFORMANCE; CALIBRATION</t>
  </si>
  <si>
    <t>In proton therapy, range uncertainties induced by the conversion from x-ray CT (xCT) Hounsfield units (HU) to relative stopping power (RSP) compromise the precision of dose delivery. To reduce range uncertainties induced by HU-converted RSPs, this study investigates optimizing the RSP of individual voxels in xCT iteratively based on multi-projection proton radiography (pRG) acquired using a single amorphous silicon flat panel imager. Time-resolved dose rate functions (DRF) were measured by the imager placed downstream of a test phantom consisting of tissue substitute materials. Water equivalent path lengths (WEPL) in the pRG were derived. By rotating the phantom, multiple pRG projections were acquired at angles from 0 to 358 degrees with an increment of 2 degrees. X-ray CT of the phantom was acquired and co-registered with the pRG acquisition coordinates. RSPs of individual xCT voxels were optimized iteratively by minimizing the difference between the measured WEPLs and the calculated WEPLs by ray tracing with HU-converted RSPs. Pixels in pRGs that exhibited severe proton range mixing were rejected for the optimization. Tikhonov regularization was applied under the assumption that HU-converted RSPs are inaccurate, but the inaccuracy is within a few percent. While similar to 50% of WEPL pixels were rejected due to severe range mixing in pRG, RSPs of &gt;90% CT voxels could still be optimized if multiple pRG projections, e.g. &gt;= 12, around the phantom are utilized. For tissue substitute materials in a cylindrical phantom, percentage errors of RSPs were reduced from a range of -8% to +4% to be within +/- 2%. Further optimization, achieved by implementing a material-specific regularization parameter, reduced percent errors to be within +/- 0.5%. This study demonstrates the concept of optimizing RSPs of individual CT voxels with multi-projection pRGs acquired by a single flat panel imager, which could be further explored and implemented in proton therapy to reduce range uncertainties.</t>
  </si>
  <si>
    <t>[Zhang, Rongxiao; Harms, Joseph] Emory Sch Med, Dept Radiat Oncol, Atlanta, GA 30322 USA; [Sharp, Gregory C.; Jee, Kyung-Wook; Cascio, Ethan; Flanz, Jacob B.; Lu, Hsiao-Ming] Harvard Med Sch, Dept Radiat Oncol, Massachusetts Gen Hosp, Boston, MA 02115 USA</t>
  </si>
  <si>
    <t>Emory University; Harvard University; Harvard Medical School; Harvard University Medical Affiliates; Massachusetts General Hospital</t>
  </si>
  <si>
    <t>Zhang, R (通訊作者)， Emory Sch Med, Dept Radiat Oncol, Atlanta, GA 30322 USA.</t>
  </si>
  <si>
    <t>rzhan30@emory.edu</t>
  </si>
  <si>
    <t>Sharp, Gregory/0000-0001-8575-9611</t>
  </si>
  <si>
    <t>10.1088/1361-6560/aaf976</t>
  </si>
  <si>
    <t>WOS:000461636100003</t>
  </si>
  <si>
    <t>Gross-Weege, N; Nolte, T; Schulz, V</t>
  </si>
  <si>
    <t>Gross-Weege, Nicolas; Nolte, Teresa; Schulz, Volkmar</t>
  </si>
  <si>
    <t>MR image corrections for PET-induced gradient distortions</t>
  </si>
  <si>
    <t>simultaneous PET/MRI; eddy currents; GIRF; gradient impulse response function; gradient distortions</t>
  </si>
  <si>
    <t>MAGNETIC-FIELD; PET/MRI INSERT; COMPATIBILITY ASSESSMENT; SYSTEM CHARACTERIZATION; RECONSTRUCTION; PERFORMANCE; MODEL</t>
  </si>
  <si>
    <t>The combination of positron emission tomography (PET) and magnetic resonance imaging (MRI) by using PET inserts in existing MRI scanners is an attractive approach. When designing the PET insert, mutual influences of both imaging modalities need to be minimized. The gradient magnetic fields induce eddy currents in all conductive components of the PET insert. Eddy currents produce superimposing magnetic fields distorting the gradient magnetic field. However, the gradient magnetic fields determine how the MRI data is acquired in the k-space. A distorted gradient shape produces a distorted k-space trajectory which then results in a distorted image. The dynamic performance of the gradient system can be characterized by measuring its gradient impulse response function (GIRF). Knowledge of the GIRF enables to correct the k-space trajectory and thereby enables to reduce image distortions. We characterized the influence of a preclinical PET insert, i.e. the Hyperion IID, on the gradient performance of a 3 T MRI scanner. The GIRFs up to the second order spherical harmonics were determined with and without the PET insert by measuring frequency-swept gradient pulses with an NMR probe. We calculated a corrected k-space trajectory of a single-shot spiral sequence using the measured GIRFs. The low-pass characteristic of the gradient system only slightly increased in the presence of the PET insert. We showed a minor influence of the PET insert on the GIRFs, demonstrating the high gradient transparency of the PET insert. The single-shot spiral image measured in the presence of the PET insert and reconstructed with the uncorrected k-space trajectory was blurred and distorted. We strongly reduced the blurring and distortion by using the corrected k-space trajectory predicted with the measured GIRFs up to the first order spherical harmonics. Slight blurring remained in the corrected image caused by either second order spherical harmonics or distortions of the static magnetic field.</t>
  </si>
  <si>
    <t>[Gross-Weege, Nicolas; Nolte, Teresa; Schulz, Volkmar] Rhein Westfal TH Aachen, Inst Expt Mol Imaging, Dept Phys Mol Imaging Syst, Aachen, Germany; [Nolte, Teresa] Philips Res Europe, Multiphys &amp; Opt, Eindhoven, Netherlands; [Schulz, Volkmar] Rhein Westfal TH Aachen, Dept Phys Mol Imaging Syst, Pauwelsstr 19, D-52074 Aachen, Germany</t>
  </si>
  <si>
    <t>RWTH Aachen University; Philips; Philips Research; RWTH Aachen University</t>
  </si>
  <si>
    <t>Gross-Weege, N (通訊作者)， Rhein Westfal TH Aachen, Inst Expt Mol Imaging, Dept Phys Mol Imaging Syst, Aachen, Germany.</t>
  </si>
  <si>
    <t>nicolas.gross-weege@pmi.rwth-aachen.de; schulz@pmi.rwth-aachen.de</t>
  </si>
  <si>
    <t>Lemainque, Teresa/ABA-3070-2020; Schulz, Volkmar/AFS-7612-2022</t>
  </si>
  <si>
    <t>Schulz, Volkmar/0000-0003-1341-9356; Gross-Weege, Nicolas/0000-0003-3507-6980</t>
  </si>
  <si>
    <t>European Union [667211]</t>
  </si>
  <si>
    <t>European Union(European Union (EU))</t>
  </si>
  <si>
    <t>This project has received funding from the European Union's Horizon 2020 research and innovation programme under grant agreement No 667211.</t>
  </si>
  <si>
    <t>02NT03</t>
  </si>
  <si>
    <t>10.1088/1361-6560/aaf97a</t>
  </si>
  <si>
    <t>HI1AZ</t>
  </si>
  <si>
    <t>WOS:000456177400001</t>
  </si>
  <si>
    <t>Chen, J; Wang, KQ; Jian, JB; Zhang, WX</t>
  </si>
  <si>
    <t>Chen, Jie; Wang, Keqiang; Jian, Jianbo; Zhang, Wenxue</t>
  </si>
  <si>
    <t>A mathematical model for predicting the changes of non-small cell lung cancer based on tumor mass during radiotherapy</t>
  </si>
  <si>
    <t>non-small cell lung cancer; radiotherapy; tumor mass; mathematical model; reliability</t>
  </si>
  <si>
    <t>CERVICAL-CANCER; HYPOXIA; REGRESSION; VOLUME; SCATTER; HEAD; CT</t>
  </si>
  <si>
    <t>This study aims to build a feasible mathematical model to analyze the mass evolution of NSCLC during standard fractionated radiotherapy. Seventy-three cases of NSCLC who were received radiotherapy with prescription dose of 2 Gy??&amp; xfffd;??30 fx were selected retrospectively and divided into adenocarcinoma (ADC) group and squamous cell carcinoma (SCC) group according to the pathological type. A total of six sets of CT/CBCT images were collected. The tumor masses were measured according to each set of images. We build a mathematical model (Linear Quadratic_Repopulation&amp;Reoxygenation&amp; Dissolution model, LQ_RRD model), which was used to fit the first five sets of measured mass into a smooth curve. By adjusting the model parameters (?, ? and &amp; xfffd;), the optimal fitting results can be obtained. In order to verify the accuracy of model prediction, we measured the mass of the review images (MV, measured values), and found out the estimate point of the corresponding time (EV, estimated value) on the fitting curve. The difference and correlation between MV and EV were compared. It was found that the model could substantially simulate the tumor mass changes during radiotherapy, and it had a good fit to the clinical data (%RMSE-Median??=??5.52, %RMSE-Range??=??[3.19, 10.73]). Comparing the differences of model parameters between ADC and SCC group, there was no significant difference in ? (t??=??1.622, p???=??0.109), but the difference was significant in ? and &amp; xfffd; (z??=???7.270, p???=??0.000 and t??=???10.205, p???=??0.000). Moreover, linear correlation analysis showed that there was a linear correlation between MV and EV no matter mass or volume (r??=??0.960, p???=??0.000 versus r??=??0.926, p???=??0.000). Nevertheless, the deviation between MV and EV of volume was larger than that of mass (z??=???1.897, p???=??0.058 versus z??=???3.387, p???=??0.001), and the deviation was more pronounced in larger tumors. We suggest that this mathematical model is more suitable to predict the tumor mass than volume for NSCLC during radiotherapy.</t>
  </si>
  <si>
    <t>[Chen, Jie; Wang, Keqiang; Jian, Jianbo; Zhang, Wenxue] Tianjin Med Univ, Dept Radiat Oncol, Gen Hosp, 154 Anshan Rd, Tianjin 300052, Peoples R China</t>
  </si>
  <si>
    <t>Tianjin Medical University</t>
  </si>
  <si>
    <t>Zhang, WX (通訊作者)， Tianjin Med Univ, Dept Radiat Oncol, Gen Hosp, 154 Anshan Rd, Tianjin 300052, Peoples R China.</t>
  </si>
  <si>
    <t>fortunator5658@126.com</t>
  </si>
  <si>
    <t>Chen, Jie/0000-0002-6444-6218</t>
  </si>
  <si>
    <t>10.1088/1361-6560/ab47c0</t>
  </si>
  <si>
    <t>JR0XM</t>
  </si>
  <si>
    <t>WOS:000499358900001</t>
  </si>
  <si>
    <t>Chi, YJ; Shen, CY; Li, B; Zhang, Y; Yang, M; Folkert, M; Jia, X</t>
  </si>
  <si>
    <t>Chi, Yujie; Shen, Chenyang; Li, Bin; Zhang, You; Yang, Ming; Folkert, Michael; Jia, Xun</t>
  </si>
  <si>
    <t>A method to reconstruct intra-fractional liver motion in rotational radiotherapy using linear fiducial markers</t>
  </si>
  <si>
    <t>liver cancer; tumor motion tracking; radiation therapy; linear fiducial marker; volumetric modulated arc therapy (VMAT); six degree of freedom motion</t>
  </si>
  <si>
    <t>STEREOTACTIC RADIATION-THERAPY; PHASE-I TRIAL; INTRAFRACTION MOTION; 3D-2D REGISTRATION; TUMOR MOTION; PROSTATE; LOCALIZATION; MANAGEMENT; ACCURACY; LUNG</t>
  </si>
  <si>
    <t>Complex intra-fractional motion and deformation of the liver significantly impacts the accuracy of delivered dose in radiotherapy. It limits margin reduction, dose escalation and normal tissue sparing. A critical component of motion management is to accurately reconstruct tumor motion. In this study, we developed a six degrees of freedom projection marker matching method (6-DoF PM3) to reconstruct translational and rotational liver tumor motion in a rotational treatment delivery, such as volumetric modulated arc therapy (VMAT). Specifically, we modeled the use of two gold markers implanted in a linear form. The four endpoints of the two gold linear markers were used as tracking surrogates. During delivery, kV x-ray projection images were acquired. A method was developed to automatically identify the 2D marker-endpoints on the projection images. 3D marker positions were determined by solving an optimization problem with the objective function penalizing the distance from the reconstructed 3D position of each fiducial marker endpoint to the corresponding straight line defined by the kV x-ray projection of the endpoints. We performed a series of tests to evaluate different components of the method. For 2D marker endpoints identification, 99.9% of the marker endpoints were identified with an error (1 pixel) along both u and v directions. For 3D reconstruction of motion in simulation studies, error of rotational angle was without considering the 2D marker identification error. The rotational angle error was relatively sensitive to the accuracy of 2D marker identification. When the 2D error raised from 0.22?mm to 0.776?mm, the error of 3D rotational angle increased from 0.5 to 2.5. In the experimental end-to-end tests, the mean root-mean square error of the 3D reconstructed marker positions was 0.75?mm and the mean error of rotational angle was within 1.7. Our method can accurately determine intra-fractional liver tumor motion in rotational radiotherapy using kV projections of only two linear fiducial markers.</t>
  </si>
  <si>
    <t>[Chi, Yujie] Univ Texas Arlington, Dept Phys, POB 19059, Arlington, TX 76019 USA; [Shen, Chenyang; Li, Bin; Zhang, You; Yang, Ming; Folkert, Michael; Jia, Xun] Univ Texas Southwestern Med Ctr Dallas, Dept Radiat Oncol, Dallas, TX 75390 USA; [Shen, Chenyang; Li, Bin; Jia, Xun] Univ Texas Southwestern Med Ctr Dallas, Dept Radiat Oncol, Innovat Technol Radiotherapy Computat &amp; Hardware, Dallas, TX 75390 USA; [Li, Bin] Southern Med Univ, Dept Biomed Engn, Guangzhou 510515, Guangdong, Peoples R China</t>
  </si>
  <si>
    <t>University of Texas System; University of Texas Arlington; University of Texas System; University of Texas Southwestern Medical Center; University of Texas System; University of Texas Southwestern Medical Center; Southern Medical University - China</t>
  </si>
  <si>
    <t>Chi, YJ (通訊作者)， Univ Texas Arlington, Dept Phys, POB 19059, Arlington, TX 76019 USA.</t>
  </si>
  <si>
    <t>yujie.chi@uta.edu; xun.jia@utsouthwestern.edu</t>
  </si>
  <si>
    <t>Shen, Chenyang/I-2144-2019; Li, Bin/LUY-7795-2024</t>
  </si>
  <si>
    <t>Yang, Ming/0000-0001-9122-0401; Shen, Chenyang/0000-0001-6490-6555</t>
  </si>
  <si>
    <t>NIH [R01CA227289]</t>
  </si>
  <si>
    <t>This work is partially supported by an NIH grant R01CA227289. The authors highly appreciate Dr Hiroshi Doi from the Maywa Hospital, Japan to provide us the 2D x-ray projection image of the marker in a patient case (figure 2(d)). We are also grateful to Dr Johnny Mattebo from Gold Anchor (TM) for suggestive discussions.</t>
  </si>
  <si>
    <t>10.1088/1361-6560/ab4c0d</t>
  </si>
  <si>
    <t>JT2GL</t>
  </si>
  <si>
    <t>WOS:000500814100001</t>
  </si>
  <si>
    <t>Bedford, JL; Hanson, IM</t>
  </si>
  <si>
    <t>Bedford, James L.; Hanson, Ian M.</t>
  </si>
  <si>
    <t>A method to verify sections of arc during intrafraction portal dosimetry for prostate VMAT</t>
  </si>
  <si>
    <t>EPID; portal dosimetry; segment-resolved; real-time dosimetry; radiotherapy</t>
  </si>
  <si>
    <t>DOSE VERIFICATION; ERROR-DETECTION; MODE</t>
  </si>
  <si>
    <t>This study investigates the use of a running sum of images during segment-resolved intrafraction portal dosimetry for volumetric modulated arc therapy (VMAT), so as to alert the operator to an error before it becomes irremediable. At the time of treatment planning, predicted portal images were created for each segment of the VMAT arc, and at the time of delivery, intrafraction monitoring software polled the portal imager to read new images as they became available. The predicted and measured images were compared and displayed on a segment basis. In particular, a running sum of images from ten segments (a 'section') was investigated, with mean absolute difference between predicted and measured images being quantified. Images for 13 prostate patients were used to identify appropriate tolerance values for this statistic. Errors in monitor units of 2%-10%, field size of 2-10 mm, field position of 2-10 mm and path length of 10-50 mm were deliberately introduced into the treatment plans and delivered to a water-equivalent phantom and the sensitivity of the method to these errors was investigated. Gross errors were also considered for one case. The patient images show considerable variability from segment to segment, but when using a section of the arc the variability is reduced, so that the maximum value of mean absolute difference between predicted and measured images is reduced to below 12%, after excluding the first 10% of segments. This tolerance level is also found to be applicable for delivery of the plans to a water-equivalent phantom. Using this as a tolerance level for the error plans, a 10% increase in monitor units is detected, 4 mm increase or shift in multileaf collimator settings can be detected, and an air gap of dimensions 40 mm x 50 mm is detected. Gross errors can also be detected instantly after the first 10% of segments. The running difference between predicted and measured images over ten segments is able to identify errors at specific regions of the arc, as well as in the overall treatment.</t>
  </si>
  <si>
    <t>[Bedford, James L.; Hanson, Ian M.] Inst Canc Res, Joint Dept Phys, London SM2 5PT, England; [Bedford, James L.; Hanson, Ian M.] Royal Marsden NHS Fdn Trust, London SM2 5PT, England</t>
  </si>
  <si>
    <t>University of London; Institute of Cancer Research - UK; Royal Marsden NHS Foundation Trust; Royal Marsden NHS Foundation Trust</t>
  </si>
  <si>
    <t>Bedford, JL (通訊作者)， Inst Canc Res, Joint Dept Phys, London SM2 5PT, England.</t>
  </si>
  <si>
    <t>James.Bedford@icr.ac.uk</t>
  </si>
  <si>
    <t>National Institute for Health Research (NIHR) Biomedical Research Centre at the Royal Marsden NHS Foundation Trust; Institute of Cancer Research; Cancer Research UK; Versus Arthritis [21993] Funding Source: researchfish</t>
  </si>
  <si>
    <t>National Institute for Health Research (NIHR) Biomedical Research Centre at the Royal Marsden NHS Foundation Trust(Royal Society of New ZealandMarsden Fund (NZ)); Institute of Cancer Research; Cancer Research UK; Versus Arthritis(Cancer Research UKVersus Arthritis)</t>
  </si>
  <si>
    <t>The authors acknowledge funding from the National Institute for Health Research (NIHR) Biomedical Research Centre at the Royal Marsden NHS Foundation Trust and the Institute of Cancer Research. The views expressed are those of the authors and not necessarily those of the NHS, the NIHR or the Department of Health.</t>
  </si>
  <si>
    <t>10.1088/1361-6560/ab47c8</t>
  </si>
  <si>
    <t>WOS:000500247900009</t>
  </si>
  <si>
    <t>Francis, KJ; Manohar, S</t>
  </si>
  <si>
    <t>Francis, Kalloor Joseph; Manohar, Srirang</t>
  </si>
  <si>
    <t>Photoacoustic imaging in percutaneous radiofrequency ablation: device guidance and ablation visualization</t>
  </si>
  <si>
    <t>radiofrequency ablation; surgical tool tracking; liver treatment; ex vivo; real-time imaging; photoacoustic imaging; ultrasound imaging</t>
  </si>
  <si>
    <t>LIVER-TUMORS; HEPATOCELLULAR-CARCINOMA; LOCAL RECURRENCE; OPTICAL-PROPERTIES; THERMAL ABLATION; SONOGRAPHY; TISSUE; CT</t>
  </si>
  <si>
    <t>Percutaneous radiofrequency ablation (RFA) is gaining importance as a locoregional treatment for tumors in several organs including the liver, lung, kidney and bone. In RFA, the tumor is eradicated with the direct application of heat using alternating current through a needle electrode positioned under imaging guidance. Various imaging methods are used in the RFA ablation procedure but these have drawbacks. In this work, we introduce photoacoustic (PA) imaging as a new method with potential to visualize the targeting of RFA needle into a region of interest and to report on the extent of ablation achieved. We demonstrate the proof-of-concept in using PA imaging together with ultrasound imaging on ex vivo biological samples in the laboratory simulating relevant clinical scenarios in RFA. These include guidance of the RFA needle to target tissue, mapping of simulated blood vessels during needle insertion and differentiation between ablated and surrounding tissue. The results of this first investigation into the use of PA imaging to assist RFA procedures are encouraging. We discuss the challenges encountered, the scope for future work and envisaged clinical application.</t>
  </si>
  <si>
    <t>[Manohar, Srirang] Univ Twente, Tech Med Ctr, Fac Sci &amp; Technol, Biomed Photon Imaging Grp, POB 217, NL-7500 AE Enschede, Netherlands; Univ Twente, Tech Med Ctr, Fac Sci &amp; Technol, Multimodal Med Imaging Grp, POB 217, NL-7500 AE Enschede, Netherlands</t>
  </si>
  <si>
    <t>University of Twente; University of Twente</t>
  </si>
  <si>
    <t>Manohar, S (通訊作者)， Univ Twente, Tech Med Ctr, Fac Sci &amp; Technol, Biomed Photon Imaging Grp, POB 217, NL-7500 AE Enschede, Netherlands.</t>
  </si>
  <si>
    <t>s.manohar@utwente.nl</t>
  </si>
  <si>
    <t>Manohar, Srirang/D-1189-2013; Francis, K/AAB-4594-2019</t>
  </si>
  <si>
    <t>Francis, K J/0000-0001-9766-7140; Manohar, Srirang/0000-0002-2986-6671</t>
  </si>
  <si>
    <t>Netherlands Organisation for Scientific Research (NWO)/the Netherlands Organisation for Health Research and Development (ZonMw); Department of Biotechnology (Government of India) under the program Medical Devices for Affordable Health (MDAH) [116310008]; Faculty of Science and Technology (TNW) via the SEO (Stimulering Europees Onderzoek) funds; Netherlands Organisation for Scientific Research (NWO) via the SEO (Stimulering Europees Onderzoek) funds; MIRA</t>
  </si>
  <si>
    <t>Netherlands Organisation for Scientific Research (NWO)/the Netherlands Organisation for Health Research and Development (ZonMw); Department of Biotechnology (Government of India) under the program Medical Devices for Affordable Health (MDAH); Faculty of Science and Technology (TNW) via the SEO (Stimulering Europees Onderzoek) funds; Netherlands Organisation for Scientific Research (NWO) via the SEO (Stimulering Europees Onderzoek) funds(Netherlands Organization for Scientific Research (NWO)); MIRA(Region Auvergne-Rhone-Alpes)</t>
  </si>
  <si>
    <t>This work is funded by a joint grant from the Netherlands Organisation for Scientific Research (NWO)/the Netherlands Organisation for Health Research and Development (ZonMw) and the Department of Biotechnology (Government of India) under the program Medical Devices for Affordable Health (MDAH) as Project Imaging Needles (Grant Number 116310008). Authors acknowledge the Faculty of Science and Technology (TNW) and the Netherlands Organisation for Scientific Research (NWO) for further support via the SEO (Stimulering Europees Onderzoek) funds. Authors acknowledge contributions of Vinay Parameshwarappa and Luuk Dappers in the initial studies, and the MIRA Strategic Call 2016 for a seed funding that could start this work.</t>
  </si>
  <si>
    <t>10.1088/1361-6560/ab36a1</t>
  </si>
  <si>
    <t>IX5JH</t>
  </si>
  <si>
    <t>WOS:000485720000001</t>
  </si>
  <si>
    <t>Parker, KJ</t>
  </si>
  <si>
    <t>Parker, K. J.</t>
  </si>
  <si>
    <t>Shapes and distributions of soft tissue scatterers</t>
  </si>
  <si>
    <t>scattering; backscatter; ultrasound; tissue; medical ultrasound; fractal vasculature; tissue characterization</t>
  </si>
  <si>
    <t>EMPIRICAL ULTRASONIC PROPERTIES; HUMAN-LIVER; RANDOM-MEDIA; BACKSCATTER COEFFICIENTS; ACOUSTIC PROPERTIES; ANGLE SCATTERING; MODEL; VIVO; ATTENUATION; MICROSTRUCTURE</t>
  </si>
  <si>
    <t>What causes scattering of ultrasound from normal soft tissues such as the liver, thyroid, and prostate? Commonly, the answer is formulated around the properties of spherical scatterers, related to cellular shapes and sizes. However, an alternative view is that the closely packed cells forming the tissue parenchyma create the reference media, and the long cylindrical-shaped fluid vessels serve as the scattering sites. Under a weak scattering or Born approximation for the extracellular fluid in the vessels, and assuming an isotropic distribution of cylindrical channels across a wide range of diameters, consistent with a fractal branching pattern, some simple predictions can be made about the nature of backscatter as a function of frequency in soft tissues. Specifically, a number of plausible shapes would predict that backscatter increases as a power law of frequency, where the power law is determined by the function governing the number density of the vessels versus diameter. These results are compared with some historical models developed over the last 100 years in scattering theory and point to the need for higher spatial resolution and higher bandwidths to obtain more precise measures of the key parameters in normal tissues, and to better identify the dominant structures responsible for backscatter in everyday clinical imaging.</t>
  </si>
  <si>
    <t>[Parker, K. J.] Univ Rochester, Dept Elect &amp; Comp Engn, Comp Studies Bldg 724,Box 270231, Rochester, NY 14627 USA</t>
  </si>
  <si>
    <t>University of Rochester</t>
  </si>
  <si>
    <t>Parker, KJ (通訊作者)， Univ Rochester, Dept Elect &amp; Comp Engn, Comp Studies Bldg 724,Box 270231, Rochester, NY 14627 USA.</t>
  </si>
  <si>
    <t>Hajim School of Engineering and Applied Sciences at the University of Rochester; National Institutes of Health Grant [R21EB025290]</t>
  </si>
  <si>
    <t>Hajim School of Engineering and Applied Sciences at the University of Rochester; National Institutes of Health Grant(United States Department of Health &amp; Human ServicesNational Institutes of Health (NIH) - USA)</t>
  </si>
  <si>
    <t>This work was supported by the Hajim School of Engineering and Applied Sciences at the University of Rochester and National Institutes of Health Grant No. R21EB025290. The author is deeply appreciative of comments and perspectives on earlier versions of this manuscript from Prof N Baddour and Dr J Astheimer, and is grateful for the insights gained from the pioneering work of Prof R Waag, the late Prof R Chivers, the late Prof F Lizzi, and their colleagues.</t>
  </si>
  <si>
    <t>10.1088/1361-6560/ab2485</t>
  </si>
  <si>
    <t>WOS:000484728400007</t>
  </si>
  <si>
    <t>Gou, SP; Liu, W; Jiao, CZ; Liu, HF; Gu, Y; Zhang, XP; Lee, J; Jiao, LC</t>
  </si>
  <si>
    <t>Gou, Shuiping; Liu, Wei; Jiao, Changzhe; Liu, Haofeng; Gu, Yu; Zhang, Xiaopeng; Lee, Jin; Jiao, Licheng</t>
  </si>
  <si>
    <t>Gradient regularized convolutional neural networks for low-dose CT image enhancement</t>
  </si>
  <si>
    <t>deep learning; gradient regularization; image enhancement; low-dose CT; convolutional neural network</t>
  </si>
  <si>
    <t>COMPUTED-TOMOGRAPHY; NOISE-REDUCTION; RECONSTRUCTION</t>
  </si>
  <si>
    <t>The potential risks of x-ray to patients have transferred the public's attention from normal dose CT (NDCT) to low-dose CT (LDCT). However, simply lowering the radiation dose of the CT system will significantly degrade the quality of CT images such as noise and artifacts, which compromises the diagnostic performance. Hence, various methods have been proposed to solve this problem over the past decades. Although these methods have achieved impressive results, they also suffer from a drawback of smoothing image details after denoising, which makes it difficult for clinical diagnosis and treatment. To address this issue, this paper introduces a novel gradient regularization method for LDCT enhancement. Rather than common methods which only consider the pixel-wise gray value loss in the reconstruction procedure, we also take the image gradient loss into consideration to preserve image details. By combining the gradient regularization method and the convolutional neural network (CNN) framework, a gradient regularized convolutional neural network (GRCNN) is proposed to enhance LDCT images which has achieved promising performance in our experiments both visually and quantitatively.</t>
  </si>
  <si>
    <t>[Gou, Shuiping; Liu, Wei; Jiao, Changzhe; Liu, Haofeng; Gu, Yu; Zhang, Xiaopeng; Jiao, Licheng] Xidian Univ, Sch Artificial Intelligence, Minist Educ, Key Lab Intelligent Percept &amp; Image Understanding, Xian, Shaanxi, Peoples R China; [Lee, Jin] Xi An Jiao Tong Univ, Affiliated Hosp 2, Dept Neurosurg, Xian, Shaanxi, Peoples R China</t>
  </si>
  <si>
    <t>Xidian University; Xi'an Jiaotong University</t>
  </si>
  <si>
    <t>Jiao, CZ (通訊作者)， Xidian Univ, Sch Artificial Intelligence, Minist Educ, Key Lab Intelligent Percept &amp; Image Understanding, Xian, Shaanxi, Peoples R China.</t>
  </si>
  <si>
    <t>cjiao@mail.missouri.edu</t>
  </si>
  <si>
    <t>Liu, Haofeng/NIS-6327-2025; Jiao, Licheng/JOZ-0842-2023; Zhang, Xiaopeng/I-2624-2019</t>
  </si>
  <si>
    <t>Liu, Wei/0000-0003-3655-0058; Jiao, Licheng/0000-0003-3354-9617</t>
  </si>
  <si>
    <t>National Natural Science Foundation of China [61806157]; National Natural Science Foundation of Shaanxi Province [2019ZDLGY03-02-02]; Chinese Postdoctoral Science Foundation [2018M640963]; Technological Application Research Plan Program for Public Welfare in Zhejiang Province of China [2015C31167]; Scientific and Technological Plan Program in Hangzhou City of China [20160533B71]; Science and Technology Planning Project in Guangdong Province of China [2014A020212228]</t>
  </si>
  <si>
    <t>National Natural Science Foundation of China(National Natural Science Foundation of China (NSFC)); National Natural Science Foundation of Shaanxi Province; Chinese Postdoctoral Science Foundation(China Postdoctoral Science Foundation); Technological Application Research Plan Program for Public Welfare in Zhejiang Province of China; Scientific and Technological Plan Program in Hangzhou City of China; Science and Technology Planning Project in Guangdong Province of China</t>
  </si>
  <si>
    <t>This work was supported in part by the National Natural Science Foundation of China (NO. 61806157), the National Natural Science Foundation of Shaanxi Province under grant (No. 2019ZDLGY03-02-02), the Chinese Postdoctoral Science Foundation (No. 2018M640963), the Technological Application Research Plan Program for Public Welfare in Zhejiang Province of China (No. 2015C31167), the Scientific and Technological Plan Program in Hangzhou City of China (No. 20160533B71) and the Science and Technology Planning Project in Guangdong Province of China (No. 2014A020212228).</t>
  </si>
  <si>
    <t>10.1088/1361-6560/ab325e</t>
  </si>
  <si>
    <t>WOS:000482525700008</t>
  </si>
  <si>
    <t>Vaniqui, A; Walters, BR; Fonseca, GP; Verhaegen, F</t>
  </si>
  <si>
    <t>Vaniqui, Ana; Walters, Blake R.; Fonseca, Gabriel P.; Verhaegen, Frank</t>
  </si>
  <si>
    <t>Dose to water versus dose to medium from cavity theory applied to small animal irradiation with kilovolt x-rays</t>
  </si>
  <si>
    <t>preclinical; cavity theory; Monte Carlo; small animal irradiation; CT phantom; dose to water; intermediate cavity theory</t>
  </si>
  <si>
    <t>CARLO-BASED PHOTON; BRACHYTHERAPY; DOSIMETRY; TISSUE; SPECIFICATION; RATIOS; MODEL; WALL</t>
  </si>
  <si>
    <t>Dose reporting is a matter of concern in the preclinical field as the different dose descriptors dose-to-water-in-medium (D-wm) and dose-to-medium-in-medium (D-mm) coexist. For kV photons differences between both quantities are expected to be amplified due to photon energy absorption coefficients differences for different media, and could represent a limiting factor for accurate translation of pre-clinical research into clinical trials. The main goal of this study was to analyse the relationship between D-mm and D-wm for kV irradiation of small animals, using different flavours of the intermediate cavity theory (ICT). Irradiations of mathematical phantoms and a mouse CT scan, both with different voxel sizes and materials, were investigated. A modified version of the Monte Carlo code DOSXYZnrc was used to derive D-mm and convert to D-wm using ICT. Local photon spectra were generated in different regions of the mouse. Depending on energy and cavity size, which we equate to the voxel size, D-mm ranged from 0.68 to 4.37 times D-wm. Higher kV energy combined with very small cavity sizes yielded decreased D-mm in comparison to D-wm; this behaviour was reversed for larger cavities combined with lower kV energies. Hence, the impact of the cavity dimensions on estimated D-wm is significant on pre-clinical kV beams. Dmm and D-wm in the ex vivo male mouse were found to differ by -29% to 286%. Caution is advised when using the ICT due to a lack of consensus on weighting factor (d-parameter) deriving methods; for the same irradiation conditions, different d-values affected D-wm up to 20%. Pre-clinically, such divergence between dose descriptors could enable biological damage. The abiding debate over which quantity to favour is foreseen to linger while it is unclear which quantity correlates better with the biological effects of ionizing irradiation: preclinical radiotherapy might represent an ideal platform for measurement-based studies to settle this fundamental question. Finally, dose distribution comparisons require caution and should use the same reporting quantity.</t>
  </si>
  <si>
    <t>[Vaniqui, Ana; Fonseca, Gabriel P.; Verhaegen, Frank] Maastricht Univ, Med Ctr, Dept Radiat Oncol MAASTRO, GROW Sch Oncol &amp; Dev Biol, Maastricht, Netherlands; [Walters, Blake R.] Natl Res Council Canada, Ionizing Radiat Stand, Ottawa, ON K1A OR6, Canada</t>
  </si>
  <si>
    <t>Maastricht University; National Research Council Canada</t>
  </si>
  <si>
    <t>Verhaegen, F (通訊作者)， Maastricht Univ, Med Ctr, Dept Radiat Oncol MAASTRO, GROW Sch Oncol &amp; Dev Biol, Maastricht, Netherlands.</t>
  </si>
  <si>
    <t>frank.verhaegen@maastro.nl</t>
  </si>
  <si>
    <t>; Vaniqui, Ana/H-1645-2018; Fonseca, Gabriel/P-4447-2016</t>
  </si>
  <si>
    <t>verhaegen, frank/0000-0001-8470-386X; Vaniqui, Ana/0000-0003-0530-1294;</t>
  </si>
  <si>
    <t>CAPES; Science without Borders program from Brazil [BEX12030/13-9]</t>
  </si>
  <si>
    <t>CAPES(Coordenacao de Aperfeicoamento de Pessoal de Nivel Superior (CAPES)); Science without Borders program from Brazil</t>
  </si>
  <si>
    <t>The authors would like to thank Isabel P Almeida and Brent van der Heyden for many useful discussions. AV acknowledges financial support from CAPES Scholarship and Science without Borders program from Brazil (BEX12030/13-9). FV is a founder of SmART Scientific Solutions BV (Maastricht, Netherlands), which commercially develops small animal treatment planning software. BW has provided consultancy services to SmART Scientific Solutions BV.</t>
  </si>
  <si>
    <t>10.1088/1361-6560/ab2db1</t>
  </si>
  <si>
    <t>WOS:000481852600001</t>
  </si>
  <si>
    <t>Griffin, KT; Mille, MM; Pelletier, C; Gopalakrishnan, M; Jung, JW; Lee, C; Kalapurakal, J; Pyakuryal, A; Lee, C</t>
  </si>
  <si>
    <t>Griffin, Keith T.; Mille, Matthew M.; Pelletier, Christopher; Gopalakrishnan, Mahesh; Jung, Jae Won; Lee, Choonik; Kalapurakal, John; Pyakuryal, Anil; Lee, Choonsik</t>
  </si>
  <si>
    <t>Conversion of computational human phantoms into DICOM-RT for normal tissue dose assessment in radiotherapy patients</t>
  </si>
  <si>
    <t>automatic contouring; treatment planning system; computational phantom; DICOM-RT</t>
  </si>
  <si>
    <t>RECONSTRUCTION; EXPOSURES; FAMILY; BREAST; CT</t>
  </si>
  <si>
    <t>Radiotherapy (RT) treatment planning systems (TPS) are designed for the fast calculation of dose to the tumor bed and nearby organs at risk using x-ray computed tomography (CT) images. However, CT images for a patient are typically available for only a small portion of the body, and in some cases, such as for retrospective epidemiological studies, no images may be available at all. When dose to organs that lie out-of-scan must be estimated, a convenient alternative for the unknown patient anatomy is to use a matching whole-body computational phantom as a surrogate. The purpose of the current work is to connect such computational phantoms to commercial RT TPS for retrospective organ dose estimation. A custom software with graphical user interface (GUI), called the DICOM-RT Generator, was developed in MATLAB to convert voxel computational phantoms into the digital imaging and communications in medicine radiotherapy (DICOM-RT) format, compatible with commercial TPS. DICOM CT image sets for the phantoms are created via a density-to-Hounsfield unit (HU) conversion curve. Accompanying structure sets containing the organ contours are automatically generated by tracing binary masks of user-specified organs on each phantom CT slice. The software was tested on a library of body size-dependent phantoms, the International Commission on Radiological Protection reference phantoms, and a canine voxel phantom, taking only a few minutes per conversion. The resulting DICOM-RT files were tested on several commercial TPS. As an example application, a library of converted phantoms was used to estimate organ doses for members of the National Wilms Tumor Study (NWTS) cohort. The converted phantom library, in DICOM format, and a standalone MATLAB-compiled executable of the DICOM-RT Generator are available for others to use for research purposes (http://ncidose.cancer.gov).</t>
  </si>
  <si>
    <t>[Griffin, Keith T.; Mille, Matthew M.; Lee, Choonsik] NCI, Div Canc Epidemiol &amp; Genet, NIH, Rockville, MD 20850 USA; [Pelletier, Christopher; Jung, Jae Won] East Carolina Univ, Dept Phys, Greenville, NC 27858 USA; [Gopalakrishnan, Mahesh; Kalapurakal, John] Northwestern Mem Hosp, Dept Radiat Oncol, Chicago, IL 60611 USA; [Lee, Choonik] Univ Michigan, Dept Radiat Oncol, Ann Arbor, MI 48109 USA; [Pyakuryal, Anil] Univ Dist Columbia, Div Sci &amp; Math, Washington, DC 20008 USA; [Lee, Choonsik] NCI, NIH, 9609 Med Ctr Dr,Room 7E448, Rockville, MD 20850 USA</t>
  </si>
  <si>
    <t>National Institutes of Health (NIH) - USA; NIH National Cancer Institute (NCI); NIH National Cancer Institute- Division of Cancer Epidemiology &amp; Genetics; University of North Carolina; East Carolina University; Northwestern Memorial Hospital; University of Michigan System; University of Michigan; University of the District of Columbia; National Institutes of Health (NIH) - USA; NIH National Cancer Institute (NCI)</t>
  </si>
  <si>
    <t>Lee, C (通訊作者)， NCI, Div Canc Epidemiol &amp; Genet, NIH, Rockville, MD 20850 USA.;Lee, C (通訊作者)， NCI, NIH, 9609 Med Ctr Dr,Room 7E448, Rockville, MD 20850 USA.</t>
  </si>
  <si>
    <t>leechoonsik@mail.nih.gov</t>
  </si>
  <si>
    <t>Griffin, Keith/LRS-7770-2024; Jung, Jae-Won/C-3444-2009; Lee, Choonik/HLX-3234-2023</t>
  </si>
  <si>
    <t>Griffin, Keith/0000-0002-9628-3791; Mille, Matthew/0000-0003-2529-1409; Lee, Choonik/0000-0002-5769-5945;</t>
  </si>
  <si>
    <t>National Cancer Institute [ZIACP010131] Funding Source: NIH RePORTER</t>
  </si>
  <si>
    <t>National Cancer Institute(United States Department of Health &amp; Human ServicesNational Institutes of Health (NIH) - USANIH National Cancer Institute (NCI))</t>
  </si>
  <si>
    <t>13NT02</t>
  </si>
  <si>
    <t>10.1088/1361-6560/ab2670</t>
  </si>
  <si>
    <t>IH3MP</t>
  </si>
  <si>
    <t>WOS:000474397200001</t>
  </si>
  <si>
    <t>Liu, X; Tang, XL; Shu, YX; Zhao, LL; Liu, Y; Zhou, TY</t>
  </si>
  <si>
    <t>Liu, Xin; Tang, Xueli; Shu, Yuexia; Zhao, Lili; Liu, Ying; Zhou, Tianyang</t>
  </si>
  <si>
    <t>Single-view cone-beam x-ray luminescence optical tomography based on Group_YALL1 method</t>
  </si>
  <si>
    <t>image reconstruction techniques; x-ray luminescence optical tomography; optical tomography; group sparse reconstruction method</t>
  </si>
  <si>
    <t>COMPUTED-TOMOGRAPHY; RECONSTRUCTION; LIGHT</t>
  </si>
  <si>
    <t>Single-view cone beam x-ray luminescence optical tomography (CB-XLOT) has the merit of short data acquisition time, which is important for resolving fast biological processes in vivo. However, challenges remain in the reconstruction of single-view CB-XLOT. In our previous work, by using the sparsity-based reconstruction method, we have demonstrated the feasibility of singleview CB-XLOT. But, when the imaging conditions become complicated (e.g. multiple adjacent nanophosphors (NPs) contained in imaged object), it is difficult to resolve each NP by the previous method. To solve the problem, we hereby present a sparsity reconstruction method based on group information, termed Group_YALL1. The imaging performance of single-view CB-XLOT can be further improved by utilizing the group sparsity characteristic of NPs as a priori knowledge of reconstruction constraint. To assess the capability of the method, we used a customized CB-LOT/XCT system to perform the numerical simulation and physical phantom experiments. The experimental results demonstrate that compared with the former sparse reconstruction method (e.g. YALL1), the proposed Group_YALL1 method can accurately resolve the NPs embedded in the object, even if they are close to each other. The acquired location error is less than 1 mm. Hence, this method has the potential to greatly reduce the data acquisition time while preserving a high imaging quality.</t>
  </si>
  <si>
    <t>[Liu, Xin; Tang, Xueli; Shu, Yuexia; Zhao, Lili; Liu, Ying; Zhou, Tianyang] Shanghai Univ, Sch Commun &amp; Informat Engn, Shanghai 200444, Peoples R China</t>
  </si>
  <si>
    <t>Shanghai University</t>
  </si>
  <si>
    <t>Liu, X (通訊作者)， Shanghai Univ, Sch Commun &amp; Informat Engn, Shanghai 200444, Peoples R China.</t>
  </si>
  <si>
    <t>xinliu.c@gmail.com</t>
  </si>
  <si>
    <t>ZHAO, LILI/AFH-7814-2022</t>
  </si>
  <si>
    <t>Zhao, Lili/0000-0002-6366-8206</t>
  </si>
  <si>
    <t>National Natural Science Foundation of China [61571281, 61871263, 81371604]</t>
  </si>
  <si>
    <t>This work was supported by the National Natural Science Foundation of China under Grant No. 61571281, No. 61871263, No. 81371604.</t>
  </si>
  <si>
    <t>10.1088/1361-6560/ab1819</t>
  </si>
  <si>
    <t>HX5SX</t>
  </si>
  <si>
    <t>WOS:000467464500004</t>
  </si>
  <si>
    <t>Mirandola, A; Magro, G; Maestri, D; Mairani, A; Mastella, E; Molinelli, S; Russo, S; Avai, A; Ciocca, M</t>
  </si>
  <si>
    <t>Mirandola, A.; Magro, G.; Maestri, D.; Mairani, A.; Mastella, E.; Molinelli, S.; Russo, S.; Avai, A.; Ciocca, M.</t>
  </si>
  <si>
    <t>Determination of ion recombination and polarity effect correction factors for a plane-parallel ionization Bragg peak chamber under proton and carbon ion pencil beams</t>
  </si>
  <si>
    <t>reference dosimetry; ion recombination correction factors; scanned light-ion beams; integrated depth dose</t>
  </si>
  <si>
    <t>MONTE-CARLO SIMULATIONS; ITALIAN NATIONAL CENTER; SCANNED PROTON; THERAPY; SYSTEM</t>
  </si>
  <si>
    <t>Within the dosimetric characterization of particle beams, laterally-integrated depth-dosedistributions (IDDs) are measured and provided to the treatment planning system (TPS) for beam modeling or used as a benchmark for Monte Carlo (MC) simulations. The purpose of this work is the evaluation, in terms of ion recombination and polarity effect, of the dosimetric correction to be applied to proton and carbon ion curves as a function of linear energy transfer (LET). LET was calculated with a MC code for selected IDDs. Several regions of Bragg peak (BP) curve were investigated. The charge was measured with the plane-parallel BP-ionization chamber mounted in the Peakfinder as a field detector, by delivering a fixed number of particles at the maximum flux. The dose rate dependence was evaluated for different flux levels. The chamber was connected to an electrometer and exposed to un-scanned pencil beams. For each measurement the chamber was supplied with {+/- 400, +200, +100} V. Recombination and polarity correction factors were then calculated as a function of depth and LET in water. Three energies representative of the clinical range were investigated for both particle types. The corrected IDDs (IDD(k)s) were then compared against MC. Recombination correction factors were LET and energy dependent, ranging from 1.000 to 1.040 (+/- 0.5%) for carbon ions, while nearly negligible for protons. Moreover, no corrections need to be applied due to polarity effect being &lt;0.5% along the whole IDDs for both particle types. IDD(k)s showed a better agreement than uncorrected curves when compared to MC, with a reduction of the mean absolute variation from 1.2% to 0.9%. The aforementioned correction factors were estimated and applied along the IDDs, showing an improved agreement against MC. Results confirmed that corrections are not negligible for carbon ions, particularly around the BP region.</t>
  </si>
  <si>
    <t>[Mirandola, A.; Magro, G.; Maestri, D.; Mairani, A.; Mastella, E.; Molinelli, S.; Russo, S.; Avai, A.; Ciocca, M.] CNAO Fdn, Ctr Nazl Adroterapia Oncol, I-27100 Pavia, Italy; [Mairani, A.] Heidelberg Ion Beam Therapy Ctr HIT, DE-69120 Heidelberg, Germany</t>
  </si>
  <si>
    <t>Centro Nazionale di Adroterapia Oncologica (CNAO); Ruprecht Karls University Heidelberg</t>
  </si>
  <si>
    <t>Mirandola, A (通訊作者)， CNAO Fdn, Ctr Nazl Adroterapia Oncol, I-27100 Pavia, Italy.</t>
  </si>
  <si>
    <t>alfredo.mirandola@cnao.it</t>
  </si>
  <si>
    <t>maestri, davide/KIE-8641-2024; Magro, Giuseppe/KVB-3768-2024; Mirandola, Alfredo/AAG-6730-2019; Mastella, Edoardo/ITV-2670-2023; molinelli, silvia/NQE-4854-2025</t>
  </si>
  <si>
    <t>Mirandola, Alfredo/0000-0003-2427-2329; Mastella, Edoardo/0000-0002-1913-3976</t>
  </si>
  <si>
    <t>10.1088/1361-6560/ab0db4</t>
  </si>
  <si>
    <t>WOS:000466266500001</t>
  </si>
  <si>
    <t>Park, JM; Son, J; An, HJ; Kim, JH; Wu, HG; Kim, JI</t>
  </si>
  <si>
    <t>Park, Jong Min; Son, Jeaman; An, Hyun Joon; Kim, Jin Ho; Wu, Hong-Gyun; Kim, Jung-in</t>
  </si>
  <si>
    <t>Bio-compatible patient-specific elastic bolus for clinical implementation</t>
  </si>
  <si>
    <t>Dragon Skin; biological compatibility; dosimetric evaluation; human phantom; radiation therapy; patient-specific elastic bolus</t>
  </si>
  <si>
    <t>CHEST-WALL; POSTMASTECTOMY; PHOTON; THERAPY</t>
  </si>
  <si>
    <t>We investigated two types of materials with very low Shore hardness, silicon rubber (Dragon Skin) and urethane liquid rubber (Clear Flex 30), for use in 3D printing patient-specific boluses. Boluses were manufactured with these materials using a mold casting method. NinjaFlex was also used to manufacture the bolus using a direct printing method. These patient-specific boluses were designed for 3D-printed elaborate human phantoms and their biological, physical, and dosimetric properties were comprehensively assessed. The results of cytotoxicity, skin irritation, and skin sensitization tests showed that Dragon Skin was the most biologically stable material. Furthermore, Dragon Skin exhibited excellent physical properties in terms of flexibility (Shore hardness 10A), durability (tensile strength of 475 psi and elongation at break of 1000 (%)), and preparation (5 h curing time). Accordingly, Dragon Skin was finally selected for the bio-compatible patient-specific elastic (BPE) bolus. The dosimetric characteristics were thoroughly investigated with depth dose curves and surface dose. Dragon Skin showed the lowest differences between the calculated dose under virtual bolus and the measured dose at the surface of the phantom head and the lowest amount of unwanted air gap between the bolus and phantom. Overall, Dragon Skin is a suitable material for patient-specific elastic bolus, and it could be implemented effectively in the clinic.</t>
  </si>
  <si>
    <t>[Park, Jong Min; Son, Jeaman; An, Hyun Joon; Kim, Jin Ho; Wu, Hong-Gyun; Kim, Jung-in] Seoul Natl Univ Hosp, Dept Radiat Oncol, Seoul 03080, South Korea; [Park, Jong Min; Kim, Jin Ho; Wu, Hong-Gyun; Kim, Jung-in] Seoul Natl Univ, Med Res Ctr, Inst Radiat Med, Seoul 03080, South Korea; [Park, Jong Min; Son, Jeaman; An, Hyun Joon; Kim, Jin Ho; Wu, Hong-Gyun; Kim, Jung-in] Seoul Natl Univ Hosp, Biomed Res Inst, Seoul 03080, South Korea; [Park, Jong Min] Adv Inst Convergence Technol, Ctr Convergence Res Robot, Suwon 16229, South Korea; [Wu, Hong-Gyun] Seoul Natl Univ, Coll Med, Dept Radiat Oncol, Seoul 03080, South Korea</t>
  </si>
  <si>
    <t>Seoul National University (SNU); Seoul National University Hospital; Seoul National University (SNU); Seoul National University (SNU); Seoul National University Hospital; Seoul National University (SNU)</t>
  </si>
  <si>
    <t>Kim, JI (通訊作者)， Seoul Natl Univ Hosp, Dept Radiat Oncol, Seoul 03080, South Korea.;Kim, JI (通訊作者)， Seoul Natl Univ, Med Res Ctr, Inst Radiat Med, Seoul 03080, South Korea.;Kim, JI (通訊作者)， Seoul Natl Univ Hosp, Biomed Res Inst, Seoul 03080, South Korea.</t>
  </si>
  <si>
    <t>madangin@gmail.com</t>
  </si>
  <si>
    <t>Wu, Hong/J-5547-2012; Kim, Jae/C-5549-2012; Park, Jong Min/HTR-0323-2023</t>
  </si>
  <si>
    <t>Park, Jong Min/0000-0003-3617-3870;</t>
  </si>
  <si>
    <t>National R&amp;D Program for Cancer Control, Ministry of Health &amp; Welfare, Republic of Korea [1631200]</t>
  </si>
  <si>
    <t>National R&amp;D Program for Cancer Control, Ministry of Health &amp; Welfare, Republic of Korea(Ministry of Health &amp; Welfare (MOHW), Republic of Korea)</t>
  </si>
  <si>
    <t>This study was supported by a grant from the National R&amp;D Program for Cancer Control, Ministry of Health &amp; Welfare, Republic of Korea (No. 1631200).</t>
  </si>
  <si>
    <t>10.1088/1361-6560/ab1c93</t>
  </si>
  <si>
    <t>WOS:000467702500001</t>
  </si>
  <si>
    <t>Deng, LZ; Ahmed, MF; Jayarathna, S; Feng, P; Wei, B; Cho, SH</t>
  </si>
  <si>
    <t>Deng, Luzhen; Ahmed, Md F.; Jayarathna, Sandun; Feng, Peng; Wei, Biao; Cho, Sang Hyun</t>
  </si>
  <si>
    <t>A detector's eye view (DEV)-based OSEM algorithm for benchtop x-ray fluorescence computed tomography (XFCT) image reconstruction</t>
  </si>
  <si>
    <t>x-ray fluorescence computed tomography; OSEM; gold nanoparticles</t>
  </si>
  <si>
    <t>NANOPARTICLE-LOADED OBJECTS</t>
  </si>
  <si>
    <t>In this study, we developed a detector's eye view (DEV)-based ordered subsets expectation maximization (OSEM) algorithm for more accurate reconstruction of benchtop x-ray fluorescence computed tomography (XFCT) images. The proposed approach was tested using two sets of benchtop XFCT imaging data derived from a newly performed gold nanoparticle (GNP)-containing phantom imaging study and a previously published postmortem benchtop XFCT imaging study of a tumor-bearing mouse injected with GNPs. DEV-based OSEM resulted in higher spatial resolution (up to similar to 20% decrease in the full width at half maximum values of the regions of interest), compared with filtered back-projection (FBP) and traditional OSEM. It also resulted in up to an order of magnitude smaller background noise in the reconstructed images than FBP, while producing consistently less background noise than traditional OSEM.</t>
  </si>
  <si>
    <t>[Deng, Luzhen; Ahmed, Md F.; Jayarathna, Sandun; Cho, Sang Hyun] Univ Texas MD Anderson Canc Ctr, Dept Radiat Phys, Houston, TX 77030 USA; [Deng, Luzhen; Feng, Peng; Wei, Biao] Chongqing Univ, Minist Educ, Key Lab Optoelect Technol &amp; Syst, Chongqing 400044, Peoples R China; [Cho, Sang Hyun] Univ Texas MD Anderson Canc Ctr, Dept Imaging Phys, Houston, TX 77030 USA</t>
  </si>
  <si>
    <t>University of Texas System; UTMD Anderson Cancer Center; Chongqing University; University of Texas System; UTMD Anderson Cancer Center</t>
  </si>
  <si>
    <t>Cho, SH (通訊作者)， Univ Texas MD Anderson Canc Ctr, Dept Radiat Phys, Houston, TX 77030 USA.;Cho, SH (通訊作者)， Univ Texas MD Anderson Canc Ctr, Dept Imaging Phys, Houston, TX 77030 USA.</t>
  </si>
  <si>
    <t>scho@mdanderson.org</t>
  </si>
  <si>
    <t>Cho, Sang Hyun/MSZ-7933-2025; feng, peng/JAX-4757-2023</t>
  </si>
  <si>
    <t>US National Institutes of Health [R01EB020658]; China Scholarship Council; Fundamental Research Funds for the Central Universities [106112016CDJXZ238826, 2018CDGFGD0008]; Grant for Science and Technology Innovation in Chongqing [cstc2017shmsA00004]</t>
  </si>
  <si>
    <t>US National Institutes of Health(United States Department of Health &amp; Human ServicesNational Institutes of Health (NIH) - USA); China Scholarship Council(China Scholarship Council); Fundamental Research Funds for the Central Universities(Fundamental Research Funds for the Central Universities); Grant for Science and Technology Innovation in Chongqing</t>
  </si>
  <si>
    <t>This investigation was supported by the US National Institutes of Health under award number R01EB020658. The content is solely the responsibility of the authors and does not necessarily represent the official views of the US National Institutes of Health. LD was supported by the China Scholarship Council. PF and BW were supported by the Fundamental Research Funds for the Central Universities (106112016CDJXZ238826 and 2018CDGFGD0008) and Grant for Science and Technology Innovation in Chongqing (cstc2017shmsA00004). The authors acknowledge Selcuk Yasar, PhD, a former member of the corresponding author (SHC)'s lab at The University of Texas MD Anderson Cancer Center (MDACC), for his contribution to the currently described spiral phantom experiment. The authors also acknowledge Ms Tamara K Locke at Department of Scientific Publication, MDACC, for her editorial help with the manuscript.</t>
  </si>
  <si>
    <t>08NT02</t>
  </si>
  <si>
    <t>10.1088/1361-6560/ab0e9d</t>
  </si>
  <si>
    <t>WOS:000518922300002</t>
  </si>
  <si>
    <t>Finnegan, R; Dowling, J; Koh, ES; Tang, S; Otton, J; Delaney, G; Batumalai, V; Luo, C; Atluri, P; Satchithanandha, A; Thwaites, D; Holloway, L</t>
  </si>
  <si>
    <t>Finnegan, Robert; Dowling, Jason; Koh, Eng-Siew; Tang, Simon; Otton, James; Delaney, Geoff; Batumalai, Vikneswary; Luo, Carol; Atluri, Pramukh; Satchithanandha, Athiththa; Thwaites, David; Holloway, Lois</t>
  </si>
  <si>
    <t>Feasibility of multi-atlas cardiac segmentation from thoracic planning CT in a probabilistic framework</t>
  </si>
  <si>
    <t>atlas-based segmentation; heart contouring; whole heart segmentation; medical image processing; computed tomography; image registration</t>
  </si>
  <si>
    <t>WHOLE HEART SEGMENTATION; BREAST-CANCER; AUTOMATIC SEGMENTATION; IMAGE SEGMENTATION; PROPAGATION FRAMEWORK; LABEL FUSION; REGISTRATION; RADIOTHERAPY; VALIDATION; ALGORITHM</t>
  </si>
  <si>
    <t>Toxicity to cardiac and coronary structures is an important late morbidity for patients undergoing left-sided breast radiotherapy. Many current studies have relied on estimates of cardiac doses assuming standardised anatomy, with a calculated increase in relative risk of 7.4% per Gy (mean heart dose). To provide individualised estimates for dose, delineation of various cardiac structures on patient images is required. Automatic multi-atlas based segmentation can provide a consistent, robust solution, however there are challenges to this method. We are aiming to develop and validate a cardiac atlas and segmentation framework, with a focus on the limitations and uncertainties in the process. We present a probabilistic approach to segmentation, which provides a simple method to incorporate inter-observer variation, as well as a useful tool for evaluating the accuracy and sources of error in segmentation. A dataset consisting of 20 planning computed tomography (CT) images of Australian breast cancer patients with delineations of 17 structures (including whole heart, four chambers, coronary arteries and valves) was manually contoured by three independent observers, following a protocol based on a published reference atlas, with verification by a cardiologist. To develop and validate the segmentation framework a leave-one-out cross-validation strategy was implemented. Performance of the automatic segmentations was evaluated relative to inter-observer variability in manu ally derived contours; measures of volume and surface accuracy (Dice similarity coefficient (DSC) and mean absolute surface distance (MASD), respectively) were used to compare automatic segmentation to the consensus segmentation from manual contours. For the whole heart, the resulting segmentation achieved a DSC of 0.944 +/- 0.024, with a MASD of 1.726 +/- 1.363 mm. Quantitative results, together with the analysis of probabilistic labelling, indicate the feasibility of accurate and consistent segmentation of larger structures, whereas this is not the case for many smaller structures, where a major limitation in segmentation accuracy is the inter observer variability in manual contouring.</t>
  </si>
  <si>
    <t>[Finnegan, Robert; Dowling, Jason; Thwaites, David; Holloway, Lois] Univ Sydney, Inst Med Phys, Sch Phys, Sydney, NSW, Australia; [Finnegan, Robert; Koh, Eng-Siew; Tang, Simon; Delaney, Geoff; Batumalai, Vikneswary; Holloway, Lois] Ingham Inst Appl Med Res, Liverpool, NSW, Australia; [Dowling, Jason] Australian E Hlth &amp; Res Ctr, CSIRO Hlth &amp; Biosecur, Herston, Qld, Australia; [Dowling, Jason; Holloway, Lois] Univ Newcastle, Sch Math &amp; Phys Sci, Newcastle, NSW, Australia; [Dowling, Jason; Koh, Eng-Siew; Otton, James; Delaney, Geoff; Batumalai, Vikneswary; Luo, Carol; Satchithanandha, Athiththa; Holloway, Lois] Univ New South Wales, South Western Sydney Clin Sch, Sydney, NSW, Australia; [Koh, Eng-Siew; Tang, Simon; Delaney, Geoff; Batumalai, Vikneswary; Holloway, Lois] Liverpool &amp; Macarthur Canc Therapy Ctr, Dept Radiat Oncol, Liverpool, NSW, England; [Atluri, Pramukh] Univ Vermont, Berlington, VT USA; [Holloway, Lois] Univ Wollongong, Ctr Med Radiat Phys, Wollongong, NSW, Australia</t>
  </si>
  <si>
    <t>University of Sydney; Ingham Institute for Applied Medical Research; Commonwealth Scientific &amp; Industrial Research Organisation (CSIRO); University of Newcastle; University of New South Wales Sydney; University of Vermont; University of Wollongong</t>
  </si>
  <si>
    <t>Finnegan, R (通訊作者)， Univ Sydney, Inst Med Phys, Sch Phys, Sydney, NSW, Australia.;Finnegan, R (通訊作者)， Ingham Inst Appl Med Res, Liverpool, NSW, Australia.</t>
  </si>
  <si>
    <t>robert.finnegan@sydney.edu.au</t>
  </si>
  <si>
    <t>; Batumalai, Vikneswary/ABY-6953-2022; Otton, James/ABH-1606-2022; Dowling, Jason/A-1420-2008</t>
  </si>
  <si>
    <t>Batumalai, Vikneswary/0000-0003-2021-2599; Holloway, Lois/0000-0003-4337-2165; Otton, James/0000-0001-5587-4790; Finnegan, Robert/0000-0003-4728-8462; Delaney, Geoff/0000-0002-1829-396X; Dowling, Jason/0000-0001-9349-2275</t>
  </si>
  <si>
    <t>NHMRC [1102198]; National Health and Medical Research Council of Australia [1102198] Funding Source: NHMRC</t>
  </si>
  <si>
    <t>NHMRC(National Health &amp; Medical Research Council (NHMRC) of Australia); National Health and Medical Research Council of Australia(National Health &amp; Medical Research Council (NHMRC) of Australia)</t>
  </si>
  <si>
    <t>The authors acknowledge funding provided under NHMRC Project Grant 1102198.</t>
  </si>
  <si>
    <t>10.1088/1361-6560/ab0ea6</t>
  </si>
  <si>
    <t>WOS:000518923400006</t>
  </si>
  <si>
    <t>Ota, R; Nakajima, K; Ogawa, I; Tamagawa, Y; Shimoi, H; Suyama, M; Hasegawa, T</t>
  </si>
  <si>
    <t>Ota, R.; Nakajima, K.; Ogawa, I; Tamagawa, Y.; Shimoi, H.; Suyama, M.; Hasegawa, T.</t>
  </si>
  <si>
    <t>Coincidence time resolution of 30 ps FWHM using a pair of Cherenkov-radiator-integrated MCP-PMTs</t>
  </si>
  <si>
    <t>Cherenkov radiator; micro channel plate photomultiplier tube (MCP-PMT); coincidence time resolution (CTR)</t>
  </si>
  <si>
    <t>TIMING RESOLUTION; SCINTILLATORS; PET; RISE</t>
  </si>
  <si>
    <t>Radiation detectors dedicated to time-of-flight positron emission tomography (PET) have been developed, and coincidence time resolution (CTR) of sub-100 ps full width at half maximum (FWHM) has been achieved by carefully optimizing scintillators and photodetectors. Achieving a CTR of 30 ps FWHM by using a pair of annihilation gamma-rays would allow us to directly localize the annihilation point within an accuracy of 4.5 mm. Such direct localization can potentially eliminate the requirement of image reconstruction processes in clinical PET systems, which would have a huge impact on clinical protocols and molecular imaging. To obtain such a high CTR, researchers have investigated the use of prompt emissions such as Cherenkov radiation and hot-intra band luminescence. Although it is still challenging to achieve a CTR of 30 ps FWHM even with a Cherenkov-based detector, the experimentally measured CTR is approaching the goal. In this work, we developed a Cherenkov-radiator-integrated micro-channel plate photomultiplier tube (CRI-MCP-PMT), where there are no optical boundaries between the radiator and photocathode, and its timing performance was investigated. By removing the optical boundaries, reflections are eliminated and transmission to the photocathode is improved, resulting in high timing capability. As a result, a CTR of 30.1 +/- 2.4 ps FWHM, which is equivalent to a position resolution of 4.5 +/- 0.3 mm along a line of response (LOR), was obtained by using a pair of CRI-MCP-PMTs.</t>
  </si>
  <si>
    <t>[Ota, R.] Hamamatsu Photon KK, Cent Res Lab, Hamamatsu, Shizuoka, Japan; [Ota, R.; Nakajima, K.; Ogawa, I; Tamagawa, Y.] Univ Fukui, Fac Engn, Fukui, Japan; [Shimoi, H.; Suyama, M.] Hamamatsu Photon KK, Electron Tube Div, Hamamatsu, Shizuoka, Japan; [Hasegawa, T.] Kitasato Univ, Sch Allied Hlth Sci, Kitasato, Japan; [Ota, R.] 5000 Hirakuchi,Hamakita Ku, Hamamatsu, Shizuoka 4348601, Japan</t>
  </si>
  <si>
    <t>Hamamatsu Photonics; University of Fukui; Hamamatsu Photonics; Kitasato University</t>
  </si>
  <si>
    <t>Ota, R (通訊作者)， Hamamatsu Photon KK, Cent Res Lab, Hamamatsu, Shizuoka, Japan.;Ota, R (通訊作者)， Univ Fukui, Fac Engn, Fukui, Japan.;Ota, R (通訊作者)， 5000 Hirakuchi,Hamakita Ku, Hamamatsu, Shizuoka 4348601, Japan.</t>
  </si>
  <si>
    <t>ryosuke.ota@crl.hpk.co.jp</t>
  </si>
  <si>
    <t>; Ota, Ryosuke/AAG-9003-2021</t>
  </si>
  <si>
    <t>Ota, Ryosuke/0000-0001-6345-1982;</t>
  </si>
  <si>
    <t>07LT01</t>
  </si>
  <si>
    <t>10.1088/1361-6560/ab0fce</t>
  </si>
  <si>
    <t>HR1JL</t>
  </si>
  <si>
    <t>WOS:000462887900001</t>
  </si>
  <si>
    <t>Khellaf, F; Krah, N; Rinaldi, I; Létang, JM; Rit, S</t>
  </si>
  <si>
    <t>Khellaf, Feriel; Krah, Nils; Rinaldi, Ilaria; Letang, Jean Michel; Rit, Simon</t>
  </si>
  <si>
    <t>Effects of transverse heterogeneities on the most likely path of protons</t>
  </si>
  <si>
    <t>most likely path; proton computed tomography; multiple Coulomb scattering; heterogeneity</t>
  </si>
  <si>
    <t>COMPUTED-TOMOGRAPHY; RANGE UNCERTAINTIES; CT; RECONSTRUCTION; THERAPY</t>
  </si>
  <si>
    <t>The use of a most likely path (MLP) formalism for protons to account for the effects of multiple Coulomb scattering has improved the spatial resolution in proton computed tomography (pCT). However, this formalism assumes a homogeneous medium and a continuous scattering of protons. In this paper, we quantify the path prediction error induced by transverse heterogeneities to assess whether correcting for such errors might improve the spatial resolution of pCT. To this end, we have tracked protons trajectories using Monte Carlo simulations in several phantoms with different heterogeneities. Our results show that transverse heterogeneities induce non Gaussian spatial distributions leading to errors in the prediction of the MLP, reaching 0.4 mm in a 20 cm wide simulated heterogeneity and 0.13 mm in a realistic phantom. It was also shown that when the spatial distributions have more than one peak, a most likely path, if any, has yet to be defined. Transverse heterogeneities also affect energy profiles, which could explain some of the artifacts described in other works and could make the energy cuts usually performed to exclude nuclear events less efficient.</t>
  </si>
  <si>
    <t>[Khellaf, Feriel; Krah, Nils; Letang, Jean Michel; Rit, Simon] Univ Claude Bernard Lyon 1, Univ Lyon, INSA Lyon, UJM St Etienne,CNRS,Inserm,CREATIS UMR 5220,U1206, F-69008 Lyon, France; [Rinaldi, Ilaria] Univ Claude Bernard Lyon 1, Univ Lyon, Inst Phys Nucl Lyon, CNRS IN2P3,UMR 5822, F-69622 Villeurbanne, France</t>
  </si>
  <si>
    <t>Universite Claude Bernard Lyon 1; Institut National des Sciences Appliquees de Lyon - INSA Lyon; Centre National de la Recherche Scientifique (CNRS); CNRS - Institute for Engineering &amp; Systems Sciences (INSIS); Institut National de la Sante et de la Recherche Medicale (Inserm); Centre National de la Recherche Scientifique (CNRS); CNRS - National Institute of Nuclear and Particle Physics (IN2P3); Universite Claude Bernard Lyon 1</t>
  </si>
  <si>
    <t>Khellaf, F (通訊作者)， Univ Claude Bernard Lyon 1, Univ Lyon, INSA Lyon, UJM St Etienne,CNRS,Inserm,CREATIS UMR 5220,U1206, F-69008 Lyon, France.</t>
  </si>
  <si>
    <t>feriel.khellaf@creatis.insa.-lyon.fr</t>
  </si>
  <si>
    <t>Rinaldi, Ilaria/F-8703-2018; Rit, Simon/H-9410-2014; Létang, Jean/H-4170-2014; Letang, Jean Michel/H-4170-2014</t>
  </si>
  <si>
    <t>Rinaldi, Ilaria/0000-0002-2857-0852; Rit, Simon/0000-0003-2530-1013; Letang, Jean Michel/0000-0003-2583-782X; Krah, Nils/0000-0002-1376-6633; Khellaf, Feriel/0000-0002-4266-0539</t>
  </si>
  <si>
    <t>Fondation pour la Recherche Medicale (FRM) [DIC20161236452]; European Union's Horizon 2020 research and innovation programme under the Marie Sklodowska-Curie grant [753370]; Marie Curie Actions (MSCA) [753370] Funding Source: Marie Curie Actions (MSCA)</t>
  </si>
  <si>
    <t>Fondation pour la Recherche Medicale (FRM)(Fondation pour la Recherche Medicale); European Union's Horizon 2020 research and innovation programme under the Marie Sklodowska-Curie grant(Marie Curie Actions); Marie Curie Actions (MSCA)(Marie Curie Actions)</t>
  </si>
  <si>
    <t>The work of Feriel Khellaf was partially supported by the project DIC20161236452 of the Fondation pour la Recherche Medicale (FRM). The work of Nils Krah was supported by funding from the European Union's Horizon 2020 research and innovation programme under the Marie Sklodowska-Curie grant agreement No 753370. This work was performed within the framework of the SIRIC LYriCAN INCa_INSERM_DGOS_12563 and the LABEX PRIMES (ANR-11-LABX-0063) of Universite de Lyon, within the program 'Investissements d'Avenir' (ANR-11-IDEX-0007) operated by the French National Research Agency (ANR).</t>
  </si>
  <si>
    <t>10.1088/1361-6560/ab02a8</t>
  </si>
  <si>
    <t>WOS:000460822700003</t>
  </si>
  <si>
    <t>Dehairs, M; Bosmans, H; Marshall, NW</t>
  </si>
  <si>
    <t>Dehairs, M.; Bosmans, H.; Marshall, N. W.</t>
  </si>
  <si>
    <t>Implementation of a spatio-temporal figure of merit for new automatic dose rate control regimes in dynamic x-ray imaging</t>
  </si>
  <si>
    <t>fluoroscopy; automatic dose rate control (ADRC); spatial frequency dependent SDNR(u); material specific optimization</t>
  </si>
  <si>
    <t>DIGITAL MAMMOGRAPHY; EXPOSURE CONTROL; DETECTABILITY; OPTIMIZATION</t>
  </si>
  <si>
    <t>This work describes a new approach to automatic dose rate control (ADRC) for dynamic x-ray imaging, utilizing a spatial frequency weighted signal difference to noise ratio (SDNR(u)). Three aspects of ADRC programming using SDNR(u), which contains information on the target material, velocity and size, were examined. First, whether SDNR(u) can be held constant at the requested level over some patient thickness range for five materials relevant to interventional imaging (iron, gadolinium, platinum, bismuth, and tantalum). Second, the efficiency of the new ADRC was compared to the current settings using a figure of merit (FOM), defined as SDNR(u)(2)/reference air kerma rate for iron and platinum, over a range of simulated patient thicknesses. Third, the ability of the new ADRC to optimize exposure parameters for iron, iodine, gadolinium, tantalum, platinum and bismuth was examined. A phantom of 20 mm PMMA and 2 mm Al sheets was used to simulate patient equivalent thicknesses between 25 mm to 375 mm. The relevant metal foil targets were placed at the phantom centre and imaged on a Siemens Artis Q cardio-angiography system. SDNR(u) and reference air kerma were measured, along with the FOM for the relevant conditions. The optimal exposure factor study was made for patient equivalent thicknesses of 100 mm, 200 mm and 300 mm. The new ADRC regulation held SDNR(u) constant versus phantom thickness within 5%, for the five materials studied. FOM increase compared to the current regulation used on the Artis Q ranged between 18% and 296% (averaged over all thicknesses), and depended on acquisition mode and material. Material optimization via the new ADRC increased FOM by 68%, 165%, 164% and 32% for gadolinium, tantalum, platinum and bismuth respectively, corresponding to potential dose savings of 40%, 62%, 62% and 24% for the same target SDNR(u). An SDNR(u) driven approach to the ADRC logic of dynamic imaging systems is a viable alternative to current programming, with a resulting improvement in imaging efficiency and corresponding dose reduction.</t>
  </si>
  <si>
    <t>[Dehairs, M.; Bosmans, H.; Marshall, N. W.] Katholieke Univ Leuven, Med Phys &amp; Qual Assessment, Med Imaging Res Ctr, B-3000 Leuven, Belgium; [Bosmans, H.] Univ Hosp Gasthuisberg, Dept Radiol, Herestr 49, B-3000 Leuven, Belgium</t>
  </si>
  <si>
    <t>KU Leuven; KU Leuven; University Hospital Leuven</t>
  </si>
  <si>
    <t>Dehairs, M (通訊作者)， Katholieke Univ Leuven, Med Phys &amp; Qual Assessment, Med Imaging Res Ctr, B-3000 Leuven, Belgium.</t>
  </si>
  <si>
    <t>michiel.dehairs@uzleuven.be</t>
  </si>
  <si>
    <t>Marshall, Nicholas/I-9945-2019</t>
  </si>
  <si>
    <t>MARSHALL, Nicholas/0000-0001-5549-5133; Bosmans, Hilde/0000-0002-9694-510X</t>
  </si>
  <si>
    <t>Siemens Healthineers; KU Leuven Research and Development</t>
  </si>
  <si>
    <t>This work was partially funded in the frame of a master agreement in the field of medical imaging between Siemens Healthineers and KU Leuven Research and Development.</t>
  </si>
  <si>
    <t>10.1088/1361-6560/aafd5c</t>
  </si>
  <si>
    <t>WOS:000457845700001</t>
  </si>
  <si>
    <t>Guerin, B; Iacono, MI; Davids, M; Dougherty, D; Angelone, LM; Wald, LL</t>
  </si>
  <si>
    <t>Guerin, Bastien; Iacono, Maria Ida; Davids, Mathias; Dougherty, Darin; Angelone, Leonardo M.; Wald, Lawrence L.</t>
  </si>
  <si>
    <t>The 'virtual DBS population': five realistic computational models of deep brain stimulation patients for electromagnetic MR safety studies</t>
  </si>
  <si>
    <t>MRI; deep brain stimulation; body models; safety</t>
  </si>
  <si>
    <t>ABSORPTION RATE; GLOBAL SAR; EXCITATION; SIMULATION; ARRAYS; POWER</t>
  </si>
  <si>
    <t>We design, develop, and disseminate a 'virtual population' of five realistic computational models of deep brain stimulation (DBS) patients for electromagnetic (EM) analysis. We found five DBS patients in our institution' research patient database who received high quality post-DBS surgery computer tomography (CT) examinations of the head and neck. Three patients have a single implanted pulse generator (IPG) and the two others have two IPGs (one for each lead). Moreover, one patient has two abandoned leads on each side of the head. For each patient, we combined the head and neck volumes into a 'virtual CT', from which we extracted the full-length DBS path including the IPG, extension cables, and leads. We corrected topology errors in this path, such as self-intersections, using a previously published optimization procedure. We segmented the virtual CT volume into bones, internal air, and soft tissue classes and created two-manifold, watertight surface meshes of these distributions. In addition, we added a segmented model of the brain (grey matter, white matter, eyes and cerebrospinal fluid) to one of the model (nickname Freddie) that was derived from a T1-weighted MR image obtained prior to the DBS implantation. We simulated the EM fields and specific absorption rate (SAR) induced at 3 Tesla by a quadrature birdcage body coil in each of the five patient models using a co-simulation strategy. We found that inter-subject peak SAR variability across models was independent of the target averaging mass and equal to similar to 45%. In our simulations of the full brain segmentation and six simplified versions of the Freddie model, the error associated with incorrect dielectric property assignment around the DBS electrodes was greater than the error associated with modeling the whole model as a single tissue class. Our DBS patient models are freely available on our lab website (Webpage of the Martinos Center Phantom Resource 2018 https://phantoms.martinos.org/Main_Page).</t>
  </si>
  <si>
    <t>[Guerin, Bastien; Davids, Mathias; Wald, Lawrence L.] Massachusetts Gen Hosp, Radiol, Charlestown, MA 02129 USA; [Guerin, Bastien; Dougherty, Darin; Wald, Lawrence L.] Harvard Med Sch, Boston, MA 02115 USA; [Iacono, Maria Ida; Angelone, Leonardo M.] US FDA, Div Biomed Phys, Off Sci &amp; Engn Labs, Ctr Devices &amp; Radiol Hlth, Silver Spring, MD USA; [Davids, Mathias] Heidelberg Univ, Comp Assisted Clin Med, Heidelberg, Germany; [Dougherty, Darin] Massachusetts Gen Hosp, Psychiat, Charlestown, MA USA</t>
  </si>
  <si>
    <t>Harvard University; Harvard University Medical Affiliates; Massachusetts General Hospital; Harvard University; Harvard Medical School; US Food &amp; Drug Administration (FDA); Ruprecht Karls University Heidelberg; Harvard University; Harvard University Medical Affiliates; Massachusetts General Hospital</t>
  </si>
  <si>
    <t>Guerin, B (通訊作者)， Massachusetts Gen Hosp, Radiol, Charlestown, MA 02129 USA.;Guerin, B (通訊作者)， Harvard Med Sch, Boston, MA 02115 USA.</t>
  </si>
  <si>
    <t>guerin@nmr.mgh.harvard.edu</t>
  </si>
  <si>
    <t>Davids, Mathias/AAP-5615-2020; Dougherty, Darin/G-9896-2012; Wald, Lawrence/D-4151-2009</t>
  </si>
  <si>
    <t>NIH [R01EB006847]; Department of Health and Human Services</t>
  </si>
  <si>
    <t>NIH(United States Department of Health &amp; Human ServicesNational Institutes of Health (NIH) - USA); Department of Health and Human Services</t>
  </si>
  <si>
    <t>NIH grants K99/R00 EB019482 and NIH grant R01EB006847. The mention of commercial products, their sources, or their use in connection with material reported herein is not to be construed as either an actual or implied endorsement of such products by the Department of Health and Human Services.</t>
  </si>
  <si>
    <t>10.1088/1361-6560/aafce8</t>
  </si>
  <si>
    <t>HK2ED</t>
  </si>
  <si>
    <t>WOS:000457721000001</t>
  </si>
  <si>
    <t>Tilley, S; Zbijewski, W; Stayman, JW</t>
  </si>
  <si>
    <t>Tilley, Steven, II; Zbijewski, Wojciech; Stayman, J. Webster</t>
  </si>
  <si>
    <t>Model-based material decomposition with a penalized nonlinear least-squares CT reconstruction algorithm</t>
  </si>
  <si>
    <t>contrast; iodine; gadolinium; split filter; kV-switching; multi-energy; spectral</t>
  </si>
  <si>
    <t>DUAL-ENERGY CT; COMPUTED-TOMOGRAPHY; IMAGE-RECONSTRUCTION; ORDERED SUBSETS; JOINT; QUALITY</t>
  </si>
  <si>
    <t>Spectral information in CT may be used for material decomposition to produce accurate reconstructions of material density and to separate materials with similar overall attenuation. Traditional methods separate the reconstruction and decomposition steps, often resulting in undesirable trade-offs (e.g. sampling constraints, a simplified spectral model). In this work, we present a model-based material decomposition algorithm which performs the reconstruction and decomposition simultaneously using a multienergy forward model. In a kV-switching simulation study, the presented method is capable of reconstructing iodine at 0.5 mg ml(-1) with a contrast-to-noise ratio greater than two, as compared to 3.0 mg ml(-1) for image domain decomposition. The presented method also enables novel acquisition methods, which was demonstrated in this work with a combined kV-switching/split-filter acquisition explored in simulation and physical test bench studies. This novel design used four spectral channels to decompose three materials: water, iodine, and gadolinium. In simulation, the presented method accurately reconstructed concentration value estimates with RMSE values of 4.86 mg ml(-1) for water, 0.108 mg ml(-1) for iodine and 0.170 mg ml(-1) for gadolinium. In test-bench data, the RMSE values were 134 mg ml(-1), 5.26 mg ml(-1) and 1.85 mg ml(-1), respectively. These studies demonstrate the ability of model-based material decomposition to produce accurate concentration estimates in challenging spatial/spectral sampling acquisitions.</t>
  </si>
  <si>
    <t>[Tilley, Steven, II; Zbijewski, Wojciech; Stayman, J. Webster] Johns Hopkins Univ, Dept Biomed Engn, Baltimore, MD 21205 USA</t>
  </si>
  <si>
    <t>Johns Hopkins University</t>
  </si>
  <si>
    <t>Stayman, JW (通訊作者)， Johns Hopkins Univ, Dept Biomed Engn, Baltimore, MD 21205 USA.</t>
  </si>
  <si>
    <t>web.stayman@jhu.edu</t>
  </si>
  <si>
    <t>Stayman, Joseph/0000-0003-4358-378X</t>
  </si>
  <si>
    <t>NIH [F31 EB023783, R01 EB018896, R01 EB025470, R21 EB026849]</t>
  </si>
  <si>
    <t>This work was funded in part by NIH grants F31 EB023783, R01 EB018896, R01 EB025470 and R21 EB026849. The authors would like to thank Yoshi Otake and Ali Uneri for GPU software tools used in this work. This research project was conducted using computational resources at the Maryland Advanced Research Computing Center (MARCC).</t>
  </si>
  <si>
    <t>10.1088/1361-6560/aaf973</t>
  </si>
  <si>
    <t>WOS:000456840500004</t>
  </si>
  <si>
    <t>Bellizzi, GG; Drizdal, T; van Rhoon, GC; Crocco, L; Isernia, T; Paulides, MM</t>
  </si>
  <si>
    <t>Bellizzi, G. G.; Drizdal, T.; van Rhoon, G. C.; Crocco, L.; Isernia, T.; Paulides, M. M.</t>
  </si>
  <si>
    <t>The potential of constrained SAR focusing for hyperthermia treatment planning: analysis for the head &amp; neck region</t>
  </si>
  <si>
    <t>treatment planning; constrained optimization; convex programming; SAR</t>
  </si>
  <si>
    <t>LOCAL HYPERTHERMIA; OPTIMIZATION; APPLICATOR; THERAPY; CANCER; UNCERTAINTY; SIMULATION; FREQUENCY; REDESIGN; ANTENNA</t>
  </si>
  <si>
    <t>Clinical trials have shown that hyperthermia is a potent adjuvant to conventional cancer treatments, but the temperatures currently achieved in the clinic are still suboptimal. Hyperthermia treatment planning simulations have potential to improve the heating profile of phased-array applicators. An important open challenge is the development of an effective optimization procedure that enables uniform heating of the target region while keeping temperature below a threshold in healthy tissues. In this work, we analyzed the effectiveness and efficiency of a recently proposed optimization approach, i.e. focusing via constrained power optimization (FOCO), using 3D simulations of twelve clinical patient specific models. FOCO performance was compared against a clinically used particle swarm based optimization approach. Evaluation metrics were target coverage at the 25% iso-SAR level, target hotspot quotient, median target temperature (T50) and computational requirements. Our results show that, on average, constrained power focusing performs slightly better than the clinical benchmark (Delta T50 = +0.05 degrees C), but outperforms this clinical benchmark for large target volumes (&gt;40 cm(3), Delta T50 = +0.39 degrees C). In addition, the results are achieved in a shorter time ( - 44%) and are repeatable because the approach is formulated as a convex optimization problem.</t>
  </si>
  <si>
    <t>[Bellizzi, G. G.; Isernia, T.] Univ Mediterranea Reggio Calabria, DIIES, Reggio Di Calabria, Italy; [Bellizzi, G. G.; Drizdal, T.; van Rhoon, G. C.; Paulides, M. M.] Erasmus MC, Radiat Oncol Dept, Hyperthermia Unit, Rotterdam, Netherlands; [Bellizzi, G. G.; Crocco, L.; Isernia, T.] Natl Res Council Italy, Inst Electromagnet Sensing Environm, IREA, CNR, Naples, Italy; [Drizdal, T.] Czech Tech Univ, Fac Biomed Engn, Prague, Czech Republic; [Paulides, M. M.] Eindhoven Univ Technol, Fac Elect Engn, Eindhoven, Netherlands</t>
  </si>
  <si>
    <t>Universita Mediterranea di Reggio Calabria; Erasmus University Rotterdam; Erasmus MC; Consiglio Nazionale delle Ricerche (CNR); Istituto Per Il Rilevamento Elettromagnetico Dell'Ambiente (IREA-CNR); Czech Technical University Prague; Eindhoven University of Technology</t>
  </si>
  <si>
    <t>Bellizzi, GG (通訊作者)， Univ Mediterranea Reggio Calabria, DIIES, Reggio Di Calabria, Italy.;Bellizzi, GG (通訊作者)， Erasmus MC, Radiat Oncol Dept, Hyperthermia Unit, Rotterdam, Netherlands.;Bellizzi, GG (通訊作者)， Natl Res Council Italy, Inst Electromagnet Sensing Environm, IREA, CNR, Naples, Italy.</t>
  </si>
  <si>
    <t>g.bellizzi@erasmusmc.nl</t>
  </si>
  <si>
    <t>Paulides, Margarethus/AAJ-8306-2020; van Rhoon, Gerard/AAK-8286-2020; Crocco, Lorenzo/AFO-8456-2022; Drizdal, Tomas/ABG-5869-2020; Paulides, Margarethus/F-7250-2010</t>
  </si>
  <si>
    <t>Crocco, Lorenzo/0000-0003-2498-3219; Bellizzi, Gennaro G./0000-0003-2866-2973; Drizdal, Tomas/0000-0001-9061-8231; Paulides, Margarethus/0000-0002-5891-2139; van Rhoon, Gerard/0000-0002-7365-5783</t>
  </si>
  <si>
    <t>Italian Ministry of Research under PRIN 'Field and Temperature Shaping for Microwave Hyperthermia' (FAT SAMMY) - COST Action MiMed [TD1301]; Sim4Life (Zurich MedTech AG, Switzerland)</t>
  </si>
  <si>
    <t>Italian Ministry of Research under PRIN 'Field and Temperature Shaping for Microwave Hyperthermia' (FAT SAMMY) - COST Action MiMed; Sim4Life (Zurich MedTech AG, Switzerland)</t>
  </si>
  <si>
    <t>This work has been supported by the Italian Ministry of Research under PRIN 'Field and Temperature Shaping for Microwave Hyperthermia' (FAT SAMMY), granted by COST Action MiMed TD1301 and supported by Sim4Life (Zurich MedTech AG, Switzerland).</t>
  </si>
  <si>
    <t>10.1088/1361-6560/aaf0c4</t>
  </si>
  <si>
    <t>WOS:000454239200006</t>
  </si>
  <si>
    <t>Fowler, EEE; Smallwood, A; Miltich, C; Drukteinis, J; Sellers, TA; Hein, J</t>
  </si>
  <si>
    <t>Fowler, Erin E. E.; Smallwood, Autumn; Miltich, Cassandra; Drukteinis, Jennifer; Sellers, Thomas A.; Hein, John</t>
  </si>
  <si>
    <t>Generalized breast density metrics</t>
  </si>
  <si>
    <t>calibration; mammography; breast density; breast cancer risk; Fourier analysis</t>
  </si>
  <si>
    <t>FIELD DIGITAL MAMMOGRAPHY; CANCER RISK; QUALITY-CONTROL</t>
  </si>
  <si>
    <t>Mammograms represent data that can inform future risk of breast cancer. Data from two case-control study populations were analyzed. Population 1 included women (N = 180 age matched case-control pairs) with mammograms acquired with one indirect x-ray conversion mammography unit. Population 2 included women (N = 319 age matched case-control pairs) with mammograms acquired from 6 direct x-ray conversion units. The Fourier domain was decomposed into n concentric rings (radial spatial frequency bands). The power in each ring was summarized giving a set of measures. We investigated images in raw, for presentation (processed) and calibrated representations and made comparison with the percentage of breast density (BD) determined with the operator assisted Cumulus method. Breast cancer associations were evaluated with conditional logistic regression, adjusted for body mass index and ethnicity. Odds ratios (ORs), per standard deviation increase derived from the respective breast density distributions and 95% confidence intervals (CIs) were estimated. A measure from a lower radial frequency ring, corresponding 0.083-0.166 cycles mm(-1) and BD had significant associations with risk in both populations. In Population 1, the Fourier measure produced significant associations in each representation: OR = 1.76 (1.33,2.32) for raw; OR = 1.43 (1.09, 1.87) for processed; and OR = 1.68 (1.26,2.25) for calibrated. BD also provided significant associations in Population 1: OR = 1.72 (1.27,2.33). In Population 2, the Fourier measure produced significant associations for each representation as well: OR = 1.47 (1.19,1.80) for raw; OR = 1.38 (1.15,1.67) for processed; and OR = 1.42 (1.15,1.75) for calibrated. BD provided significant associations in Population 2: OR = 1.43 (1.17, 1.76). Other coincident spectral regions were also predictive of case-control status. In sum, generalized breast density measures were significantly associated with breast cancer in both FFDM technologies.</t>
  </si>
  <si>
    <t>[Fowler, Erin E. E.; Miltich, Cassandra; Sellers, Thomas A.; Hein, John] H Lee Moffitt Canc Ctr &amp; Res Inst, Canc Epidemiol Dept, 12902 Bruce B Downs Blvd, Tampa, FL 33612 USA; [Smallwood, Autumn] H Lee Moffitt Canc Ctr &amp; Res Inst, Corp Compliance Dept, 12902 Bruce B Downs Blvd, Tampa, FL 33612 USA</t>
  </si>
  <si>
    <t>H Lee Moffitt Cancer Center &amp; Research Institute; H Lee Moffitt Cancer Center &amp; Research Institute</t>
  </si>
  <si>
    <t>Hein, J (通訊作者)， H Lee Moffitt Canc Ctr &amp; Res Inst, Canc Epidemiol Dept, 12902 Bruce B Downs Blvd, Tampa, FL 33612 USA.</t>
  </si>
  <si>
    <t>erin.flowler@moffitt.org; autumn.smallwood@moffitt.org; Cassandra.miltich@moffit.org; Jennifer.Drukteinis@gmail.com; thomas.sellers@moffitt.org</t>
  </si>
  <si>
    <t>Hathaway, Cassandra/0000-0002-2919-0499</t>
  </si>
  <si>
    <t>National Institutes of Health [R01CA114491, R01CA166269, U01CA200464]</t>
  </si>
  <si>
    <t>This work was supported by the National Institutes of Health grants R01CA114491, R01CA166269 and U01CA200464.</t>
  </si>
  <si>
    <t>10.1088/1361-6560/aaf307</t>
  </si>
  <si>
    <t>hybrid, Green Accepted</t>
  </si>
  <si>
    <t>WOS:000454078500004</t>
  </si>
  <si>
    <t>Zvietcovich, F; Baddour, N; Rolland, JP; Parker, KJ</t>
  </si>
  <si>
    <t>Zvietcovich, Fernando; Baddour, Natalie; Rolland, Jannick P.; Parker, Kevin J.</t>
  </si>
  <si>
    <t>Shear wave propagation in viscoelastic media: validation of an approximate forward model</t>
  </si>
  <si>
    <t>shear wave propagation; axisymmetric Gaussian force; attenuation; dispersion; viscoelastic models; tissues; elastography</t>
  </si>
  <si>
    <t>ELASTOGRAPHY; TISSUE</t>
  </si>
  <si>
    <t>Many approaches to elastography incorporate shear waves; in some systems these are produced by acoustic radiation force (ARF) push pulses. Understanding the shape and decay of propagating shear waves in lossy tissues is key to obtaining accurate estimates of tissue properties, and so analytical models have been proposed. In this paper, we reconsider a previous analytical model with the goal of obtaining a computationally straightforward and efficient equation for the propagation of shear waves from a focal push pulse. Next, this model is compared with an experimental optical coherence tomography (OCT) system and with finite element models, in two viscoelastic materials that mimic tissue. We find that the three different cases-analytical model, finite element model, and experimental results-demonstrate reasonable agreement within the subtle differences present in their respective conditions. These results support the use of an efficient form of the Hankel transform for both lossless (elastic) and lossy (viscoelastic) media, and for both short (impulsive) and longer (extended) push pulses that can model a range of experimental conditions.</t>
  </si>
  <si>
    <t>[Zvietcovich, Fernando; Parker, Kevin J.] Univ Rochester, Dept Elect &amp; Comp Engn, Hopeman Bldg 203,POB 270126, Rochester, NY 14627 USA; [Baddour, Natalie] Univ Ottawa, Dept Mech Engn, Ottawa, ON, Canada; [Rolland, Jannick P.] Univ Rochester, Inst Opt, Rochester, NY 14627 USA</t>
  </si>
  <si>
    <t>University of Rochester; University of Ottawa; University of Rochester</t>
  </si>
  <si>
    <t>Parker, KJ (通訊作者)， Univ Rochester, Dept Elect &amp; Comp Engn, Hopeman Bldg 203,POB 270126, Rochester, NY 14627 USA.</t>
  </si>
  <si>
    <t>Zvietcovich, Fernando/IAM-2717-2023; Baddour, Natalie/A-4018-2008</t>
  </si>
  <si>
    <t>Baddour, Natalie/0000-0002-7025-7501</t>
  </si>
  <si>
    <t>II-VI Foundation; National Institute of Health (NIH) [R21EB025290]; Hajim School of Engineering and Applied Sciences at the University of Rochester; Fondo para la Innovacion, la Ciencia y la Tecnologia (Peruvian Government) [FINCyT 097-FINCyT-BDE-2014]; Natural Sciences and Engineering Research Council of Canada [RGPIN-2016-04190]</t>
  </si>
  <si>
    <t>II-VI Foundation; National Institute of Health (NIH)(United States Department of Health &amp; Human ServicesNational Institutes of Health (NIH) - USA); Hajim School of Engineering and Applied Sciences at the University of Rochester; Fondo para la Innovacion, la Ciencia y la Tecnologia (Peruvian Government); Natural Sciences and Engineering Research Council of Canada(Natural Sciences and Engineering Research Council of Canada (NSERC)CGIAR)</t>
  </si>
  <si>
    <t>The instrumentation engineering development of this research benefited from support of the II-VI Foundation. This work was supported by the National Institute of Health (NIH) grant number R21EB025290 and the Hajim School of Engineering and Applied Sciences at the University of Rochester. Fernando Zvietcovich is supported by Fondo para la Innovacion, la Ciencia y la Tecnologia FINCyT 097-FINCyT-BDE-2014 (Peruvian Government). Prof. Baddour was supported by the Natural Sciences and Engineering Research Council of Canada (RGPIN-2016-04190).</t>
  </si>
  <si>
    <t>10.1088/1361-6560/aaf59a</t>
  </si>
  <si>
    <t>WOS:000455823300005</t>
  </si>
  <si>
    <t>Arduino, A; Bottauscio, O; Brühl, R; Chiampi, M; Zilberti, L</t>
  </si>
  <si>
    <t>Arduino, Alessandro; Bottauscio, Oriano; Bruehl, Ruediger; Chiampi, Mario; Zilberti, Luca</t>
  </si>
  <si>
    <t>In silico evaluation of the thermal stress induced by MRI switched gradient fields in patients with metallic hip implant</t>
  </si>
  <si>
    <t>dosimetry; magnetic resonance imaging (MRI); MR safety; gradient coils; medical implants; prostheses; numerical simulation</t>
  </si>
  <si>
    <t>TEMPERATURE ELEVATION; BODY; PROSTHESES; COILS</t>
  </si>
  <si>
    <t>This work focuses on the in silico evaluation of the energy deposed by MRI switched gradient fields in bulk metallic implants and the consequent temperature increase in the surrounding tissues. An original computational strategy, based on the subdivision of the gradient coil switching sequences into sub-signals and on the time-harmonic electromagnetic field solution, allows to realistically simulate the evolution of the phenomena produced by the gradient coils fed according to any MRI sequence. Then, Pennes' bioheat equation is solved through a Douglas-Gunn time split scheme to compute the time-dependent temperature increase. The procedure is validated by comparison with laboratory results, using a component of a realistic hip implant embedded within a phantom, obtaining an agreement on the temperature increase better than 5%, lower than the overall measurement uncertainty. The heating generated inside the body of a patient with a unilateral hip implant when undergoing an Echo-Planar Imaging (EPI) MRI sequence is evaluated and the role of the parameters affecting the thermal results (body position, coil performing the frequency encoding, effects of thermoregulation) is discussed. The results show that the gradient coils can generate local increases of temperature up to some kelvin when acting without radiofrequency excitation. Hence, their contribution in general should not be disregarded when evaluating patients' safety.</t>
  </si>
  <si>
    <t>[Arduino, Alessandro; Bottauscio, Oriano; Chiampi, Mario; Zilberti, Luca] Ist Nazl Ric Metrol, Turin, Italy; [Bruehl, Ruediger] PTB, Braunschweig, Germany; [Bruehl, Ruediger] PTB, Berlin, Germany</t>
  </si>
  <si>
    <t>Istituto Nazionale di Ricerca Metrologica (INRIM); Physikalisch-Technische Bundesanstalt (PTB); Physikalisch-Technische Bundesanstalt (PTB)</t>
  </si>
  <si>
    <t>Bottauscio, O (通訊作者)， Ist Nazl Ric Metrol, Turin, Italy.</t>
  </si>
  <si>
    <t>o.bottauscio@inrim.it</t>
  </si>
  <si>
    <t>; Bottauscio, Oriano/AAX-1018-2021; Zilberti, Luca/L-1339-2019; Arduino, Alessandro/J-1833-2019; Bottauscio, Oriano/J-6023-2015</t>
  </si>
  <si>
    <t>Arduino, Alessandro/0000-0002-4829-5130; Zilberti, Luca/0000-0002-2382-4710; CHIAMPI, Mario/0000-0003-0049-3792; Bottauscio, Oriano/0000-0002-5437-4396</t>
  </si>
  <si>
    <t>MIMAS Project [17IND01]; EMPIR Programme; European Union's Horizon 2020 Research and Innovation Programme</t>
  </si>
  <si>
    <t>MIMAS Project; EMPIR Programme; European Union's Horizon 2020 Research and Innovation Programme(Horizon 2020)</t>
  </si>
  <si>
    <t>The results here presented have been developed in the framework of the 17IND01 MIMAS Project. This project has received funding from the EMPIR Programme, co-financed by the Participating States and from the European Union's Horizon 2020 Research and Innovation Programme.</t>
  </si>
  <si>
    <t>10.1088/1361-6560/ab5428</t>
  </si>
  <si>
    <t>WOS:000513009900006</t>
  </si>
  <si>
    <t>Keizer, DMD; Kerkmeijer, LGW; Maspero, M; Andreychenko, A; van Zyp, JRNV; van den Berg, CAT; Raaymakers, BW; Lagendijk, JJW; de Boer, JCJ</t>
  </si>
  <si>
    <t>Keizer, D. M. de Muinck; Kerkmeijer, L. G. W.; Maspero, M.; Andreychenko, A.; van Zyp, J. R. N. van der Voort; van den Berg, C. A. T.; Raaymakers, B. W.; Lagendijk, J. J. W.; de Boer, J. C. J.</t>
  </si>
  <si>
    <t>Soft-tissue prostate intrafraction motion tracking in 3D cine-MR for MR-guided radiotherapy</t>
  </si>
  <si>
    <t>prostate cancer; intrafraction motion; hypofractionation; soft-tissue registration; tracking; cine-MR</t>
  </si>
  <si>
    <t>BEAM RADIATION-THERAPY; FIDUCIAL MARKERS; RESONANCE; LOCALIZATION; POSITION; VERIFICATION; PRECISION; TOXICITY; SYSTEM</t>
  </si>
  <si>
    <t>To develop a method to automatically determine intrafraction motion of the prostate based on soft tissue contrast on 3D cine-magnetic resonance (MR) images with high spatial and temporal resolution. Twenty-nine patients who underwent prostate stereotactic body radiotherapy (SBRT), with four implanted cylindrical gold fiducial markers (FMs), had cine-MR imaging sessions after each of five weekly fractions. Each cine-MR session consisted of 55 sequentially obtained 3D data sets ('dynamics') and was acquired over an 11 s period, covering a total of 10 min. The prostate was delineated on the first dynamic of every dataset and this delineation was used as the starting position for the soft tissue tracking (SST). Each subsequent dynamic was rigidly aligned to the first dynamic, based on the contrast of the prostate. The obtained translation and rotation describes the intrafraction motion of the prostate. The algorithm was applied to 6270 dynamics over 114 scans of 29 patients and the results were validated by comparing to previously obtained fiducial marker tracking data of the same dataset. Our proposed tracking method was also retro-perspectively applied to cine-MR images acquired during MR-guided radiotherapy of our first prostate patient treated on the MR-Linac. The difference in the 3D translation results between the soft tissue and marker tracking was below 1 mm for 98.2% of the time. The mean translation at 10 min were X: 0.0 +/- 0.8 mm, Y: 1.0 +/- 1.8 mm and Z: -1.0 +/- 1.8 mm. The mean rotation results at 10 min were X: -0.3 +/- 2.1 degrees, Y: 0.1 +/- 0.6 degrees and Z: 0.0 +/- 0.7 degrees. A fast, robust and accurate SST algorithm was developed which obviates the need for FMs during MR-guided prostate radiotherapy. To our knowledge, this is the first data using full 3D cine-MR images for real-time soft tissue prostate tracking, which is validated against previously obtained marker tracking data.</t>
  </si>
  <si>
    <t>[Keizer, D. M. de Muinck; Kerkmeijer, L. G. W.; Maspero, M.; Andreychenko, A.; van Zyp, J. R. N. van der Voort; van den Berg, C. A. T.; Raaymakers, B. W.; Lagendijk, J. J. W.; de Boer, J. C. J.] Univ Med Ctr Utrecht, Dept Radiotherapy, NL-3508 GA Utrecht, Netherlands; [Andreychenko, A.] Moscow Dept Healthcare, Res &amp; Pract Clin Ctr Diagnost &amp; Telemed Technol, Srednyaya Kalitnikovskaya St 28, Moscow, Russia</t>
  </si>
  <si>
    <t>Keizer, DMD (通訊作者)， Univ Med Ctr Utrecht, Dept Radiotherapy, NL-3508 GA Utrecht, Netherlands.</t>
  </si>
  <si>
    <t>D.M.deMuinckKeizer@umcutrecht.nl; L.Kerkmeijer@umcutrecht.nl; M.Maspero@umcutrecht.nl; andreychenko.a@gmail.com; J.R.N.vanderVoortvanZyp@umcutrecht.nl; C.A.T.vandenBerg@umcutrecht.nl; B.W.Raaymakers@umcutrecht.nl; J.J.W.Lagendijk@umcutrecht.nl; J.C.J.deBoer-6@umcutrecht.nl</t>
  </si>
  <si>
    <t>Kerkmeijer, Linda/AAB-8948-2020; Andreychenko, Anna/E-4930-2017; Maspero, Matteo/C-1102-2016; de Muinck Keizer, D./AAN-1715-2020</t>
  </si>
  <si>
    <t>Andreychenko, Anna/0000-0001-6359-0763; Maspero, Matteo/0000-0003-0347-3375;</t>
  </si>
  <si>
    <t>Dutch Cancer Society (KWF) [10088]</t>
  </si>
  <si>
    <t>Dutch Cancer Society (KWF)(KWF Kankerbestrijding)</t>
  </si>
  <si>
    <t>This work was partially funded by the Dutch Cancer Society (KWF, project 10088).</t>
  </si>
  <si>
    <t>10.1088/1361-6560/ab5539</t>
  </si>
  <si>
    <t>WOS:000518764900002</t>
  </si>
  <si>
    <t>Yang, Q; Kuang, ZH; Sang, ZR; Yang, YF; Du, JW</t>
  </si>
  <si>
    <t>Yang, Qian; Kuang, Zhonghua; Sang, Ziru; Yang, Yongfeng; Du, Junwei</t>
  </si>
  <si>
    <t>Performance comparison of two signal multiplexing readouts for SiPM-based pet detector</t>
  </si>
  <si>
    <t>PET; SiPM; detector; signal multiplexing</t>
  </si>
  <si>
    <t>DEPTH; PET/MRI; LSO</t>
  </si>
  <si>
    <t>PET scanners using SiPMs as photodetectors could have tens of thousands of SiPMs. To simplify the readout electronics, analog signal multiplexing readouts are always preferred to be used as early as possible. In this paper, two simple analog signal multiplexing readouts, a capacitive charge-division readout, and a resistive charge-division readout were evaluated and compared using dual-ended readout detectors based on 10 x 10 arrays of SensL MicroFJ-30035 SiPMs coupled to both ends of a 20 x 20 LYSO array with a pitch size of 1.5 mm and a length of 20 mm. The performance of the detectors were evaluated at different bias voltages (from 27.0 V to 30.5 V with an interval of 0.5 V) and a temperature of 22.8 degrees C. The flood histograms show that all the crystals in the LYSO array were clearly identified, whilst better flood histogram was obtained using the resistive charge-division readout. At a bias voltage of 29.5V, the flood histogram quality, energy resolution, DOI resolution, and timing resolution of the detector obtained using the capacitive charge-division readout were 3.28 +/- 0.85, 18.9% +/- 6.2%, 1.93 +/- 0.20 mm, 1.25 +/- 0.11 ns respectively, and those obtained using the resistive charge-division readout were 3.57 +/- 0.81, 16.9% +/- 6.5%, 1.96 +/- 0.23 mm and 1.23 +/- 0.07 ns, respectively. Overall, the detector with the resistive charge-division readout provided better performance.</t>
  </si>
  <si>
    <t>[Yang, Qian; Kuang, Zhonghua; Sang, Ziru; Yang, Yongfeng; Du, Junwei] Chinese Acad Sci, Shenzhen Inst Adv Technol, Lauterbur Res Ctr Biomed Imaging, Shenzhen 518055, Peoples R China</t>
  </si>
  <si>
    <t>Du, JW (通訊作者)， Chinese Acad Sci, Shenzhen Inst Adv Technol, Lauterbur Res Ctr Biomed Imaging, Shenzhen 518055, Peoples R China.</t>
  </si>
  <si>
    <t>jw.du@siat.ac.cn</t>
  </si>
  <si>
    <t>; Yang, Yongfeng/I-7680-2016; Kuang, Zhonghua/ABX-1725-2022; Du, Junwei/J-9226-2015</t>
  </si>
  <si>
    <t>Peacock Innovation Team of Shenzhen [KQTD2016053117113327]; Scientific Instrument Innovation Team of Chinese Academy of Sciences [GJJSTD20180002]</t>
  </si>
  <si>
    <t>Peacock Innovation Team of Shenzhen; Scientific Instrument Innovation Team of Chinese Academy of Sciences</t>
  </si>
  <si>
    <t>This work is supported by the Peacock Innovation Team of Shenzhen (KQTD2016053117113327) and the Scientific Instrument Innovation Team of Chinese Academy of Sciences (GJJSTD20180002).</t>
  </si>
  <si>
    <t>23NT02</t>
  </si>
  <si>
    <t>10.1088/1361-6560/ab5738</t>
  </si>
  <si>
    <t>KT1IK</t>
  </si>
  <si>
    <t>WOS:000518764700001</t>
  </si>
  <si>
    <t>Gentilal, N; Salvador, R; Miranda, PC</t>
  </si>
  <si>
    <t>Gentilal, Nichal; Salvador, Ricardo; Miranda, Pedro Cavaleiro</t>
  </si>
  <si>
    <t>Temperature control in TTFields therapy of GBM: impact on the duty cycle and tissue temperature</t>
  </si>
  <si>
    <t>glioblastoma; Joule heating; realistic head model; thermal impact; tumor treating fields</t>
  </si>
  <si>
    <t>BRAIN TEMPERATURE; ELECTRIC-FIELD; HUMAN HEAD; CHEMOTHERAPY; DISTRIBUTIONS; GLIOBLASTOMA; THRESHOLDS; ARREST; DAMAGE; TRIAL</t>
  </si>
  <si>
    <t>In TTFields therapy, Optune(&amp; xfffd;) is used to deliver the electric field to the tumor via 4 transducer arrays. This device monitors the temperature of the transducers and reduces the current whenever a transducer reaches 41 &amp; xfffd;C. Our aim is to quantify Optune?s duty cycle and to predict the steady-state temperature distribution in the head during GBM treatment. We used a realistic head model and the finite element method to solve Pennes equation and to simulate how Optune operates considering that current reduces to zero when the thermal limit is reached. The thermal impact was evaluated considering the maximum temperature reached by each tissue and using the CEM 43 &amp; xfffd;C metric. We observed that Optune switches the current on and off intermittently. In our model, one transducer reached the temperature limit quicker than the others and consequently it was the one that controlled current injection. This led to different duty cycles for the anterior?posterior and left?right array pairs. The thermal analysis indicated that the highest temperature in the model, 41.7 &amp; xfffd;C, was reached on the scalp under a transducer. However, TTFields may lead to significant changes only at the brain level such as BBB permeability increase, cerebral blood flow variation and changes in the concentration of some neurotransmitters. The duty cycle may be increased, e.g. by controlling the current at the transducer level. These predictions should be validated by comparison with experimental data and reconciled with the lack of evidence of thermal impact in clinical trials.</t>
  </si>
  <si>
    <t>[Gentilal, Nichal; Miranda, Pedro Cavaleiro] Univ Lisbon, Fac Ciencias, Inst Biophys &amp; Biomed Engn, P-1749016 Lisbon, Portugal; [Salvador, Ricardo] Neuroelectrics, Avinguda Tibidabo,47 Bis, Barcelona 08035, Spain</t>
  </si>
  <si>
    <t>Universidade de Lisboa</t>
  </si>
  <si>
    <t>Gentilal, N (通訊作者)， Univ Lisbon, Fac Ciencias, Inst Biophys &amp; Biomed Engn, P-1749016 Lisbon, Portugal.</t>
  </si>
  <si>
    <t>ngentilal@fc.ul.pt</t>
  </si>
  <si>
    <t>; Miranda, Pedro/A-5643-2013; Salvador, Ricardo/K-2301-2015</t>
  </si>
  <si>
    <t>Gentilal, Nichal/0000-0002-0423-9073; Miranda, Pedro/0000-0002-6793-8111; Salvador, Ricardo/0000-0003-1235-6533</t>
  </si>
  <si>
    <t>Fundao para a Cincia e Tecnologia (FCT), Portugal [UID/BIO/00645/2013]; Fundação para a Ciência e a Tecnologia [UID/BIO/00645/2013] Funding Source: FCT</t>
  </si>
  <si>
    <t>Fundao para a Cincia e Tecnologia (FCT), Portugal(Fundacao para a Ciencia e a Tecnologia (FCT)); Fundação para a Ciência e a Tecnologia</t>
  </si>
  <si>
    <t>Institute of Biophysics and Biomedical Engineering is supported by Fundao para a Cincia e Tecnologia (FCT), Portugal, under Grant n UID/BIO/00645/2013.</t>
  </si>
  <si>
    <t>10.1088/1361-6560/ab5323</t>
  </si>
  <si>
    <t>JR0VQ</t>
  </si>
  <si>
    <t>WOS:000499354000001</t>
  </si>
  <si>
    <t>Parker, KJ; Szabo, T; Holm, S</t>
  </si>
  <si>
    <t>Parker, K. J.; Szabo, T.; Holm, S.</t>
  </si>
  <si>
    <t>Towards a consensus on rheological models for elastography in soft tissues</t>
  </si>
  <si>
    <t>viscoelastic models; tissue; elastography; biomechanics; rheology; magnetic resonance elastography; optical coherence elastography</t>
  </si>
  <si>
    <t>SHEAR-WAVE PROPAGATION; VISCOELASTIC PROPERTIES; TRANSIENT ELASTOGRAPHY; MR ELASTOGRAPHY; LIVER-TISSUE; TIME-DOMAIN; ATTENUATION; MEDIA; RELAXATION; DISPERSION</t>
  </si>
  <si>
    <t>A rising wave of technologies and instruments are enabling more labs and clinics to make a variety of measurements related to tissue viscoelastic properties. These instruments include elastography imaging scanners, rheological shear viscometers, and a variety of calibrated stress-strain analyzers. From these many sources of disparate data, a common step in analyzing results is to fit the measurements of tissue response to some viscoelastic model. In the best scenario, this places the measurements within a theoretical framework and enables meaningful comparisons of the parameters against other types of tissues. However, there is a large set of established rheological models, even within the class of linear, causal, viscoelastic solid models, so which of these should be chosen? Is it simply a matter of best fit to a minimum mean squared error of the model to several data points? We argue that the long history of biomechanics, including the concept of the extended relaxation spectrum, along with data collected from viscoelastic soft tissues over an extended range of times and frequencies, and the theoretical framework of multiple relaxation models which model the multi-scale nature of physical tissues, all lead to the conclusion that fractional derivative models represent the most succinct and meaningful models of soft tissue viscoelastic behavior. These arguments are presented with the goal of clarifying some distinctions between, and consequences of, some of the most commonly used models, and with the longer term goal of reaching a consensus among different sub-fields in acoustics, biomechanics, and elastography that have common interests in comparing tissue measurements.</t>
  </si>
  <si>
    <t>[Parker, K. J.] Univ Rochester, Dept Elect &amp; Comp Engn, 724 Comp Studies Bldg,Box 270231, Rochester, NY 14627 USA; [Szabo, T.] Boston Univ, Dept Biomed Engn, 44 Cummington Mall,Room 403, Boston, MA 02215 USA; [Holm, S.] Univ Oslo, Dept Informat, Postboks 1080, N-0316 Oslo, Norway</t>
  </si>
  <si>
    <t>University of Rochester; Boston University; University of Oslo</t>
  </si>
  <si>
    <t>Parker, KJ (通訊作者)， Univ Rochester, Dept Elect &amp; Comp Engn, 724 Comp Studies Bldg,Box 270231, Rochester, NY 14627 USA.</t>
  </si>
  <si>
    <t>Holm, Sverre/ABA-8652-2020</t>
  </si>
  <si>
    <t>NIH [R21EB025290]; department of Biomedical Engineering at Boston University; European Union's Horizon 2020 Research and Innovation program [668039]; H2020 Societal Challenges Programme [668039] Funding Source: H2020 Societal Challenges Programme</t>
  </si>
  <si>
    <t>NIH(United States Department of Health &amp; Human ServicesNational Institutes of Health (NIH) - USA); department of Biomedical Engineering at Boston University; European Union's Horizon 2020 Research and Innovation program(Horizon 2020); H2020 Societal Challenges Programme(Horizon 2020European Union (EU)H2020 Societal Challenges Programme)</t>
  </si>
  <si>
    <t>Kevin Parker was supported by NIH grant R21EB025290. Thomas Szabo appreciates the support of the department of Biomedical Engineering at Boston University. Sverre Holm was supported by the European Union's Horizon 2020 Research and Innovation program, Grant/Award Number: 668039. This paper reflects only the authors' view. The European Commission is not responsible for any use that may be made of the information it contains.</t>
  </si>
  <si>
    <t>10.1088/1361-6560/ab453d</t>
  </si>
  <si>
    <t>JJ9RY</t>
  </si>
  <si>
    <t>WOS:000494490300001</t>
  </si>
  <si>
    <t>Tino, R; Leary, M; Yeo, A; Brandt, M; Kron, T</t>
  </si>
  <si>
    <t>Tino, R.; Leary, M.; Yeo, A.; Brandt, M.; Kron, T.</t>
  </si>
  <si>
    <t>Gyroid structures for 3D-printed heterogeneous radiotherapy phantoms</t>
  </si>
  <si>
    <t>Gyroids; triply periodic minimal surfaces; lung tissue; personalised medicine; cellular structures; patient-specific imaging phantoms</t>
  </si>
  <si>
    <t>The extreme customisation and rapid prototyping capabilities of the 3D printing process allows the manufacture of low-cost and patient-specific radiotherapy phantoms for quality assurance purposes. However, the associated printing techniques and materials are experimentally limited and are yet to be quantified in terms of manufacturability. In addition to this, there lacks research in utilising naturally inspired structures, known as triply periodic minimal surfaces (TPMS), as a structural manufacturing basis for these phantoms, enabling material heterogeneity, which is a significant factor in attaining patient-specificity. We propose the use of Gyroid structures for radiotherapy phantom applications to investigate Gyroid-phantom manufacturability, the mathematical definition of Gyroids and their effects on hounsfield units (HU). The printed Gyroid phantoms were assessed for manufacturability using optical microscopy and micro-computed tomography (CT), and material hounsfield-equivalence using standard medical CT. A mean HU range of???900 to???390 were achieved from the fabricated Gyroid phantoms with varying standard deviation. Compared to traditional printing infills such as grid and slit structures, the Gyroid phantoms were observed to produce isotropic HU and SD at varied scanning orientations, which optimizes CT attenuations in modulating the hounsfield-equivalence of printed structures. This study not only demonstrates the feasibility of manipulating the structural parameters of Gyroids in simulating tissue imaging attenuations but also opens significant research opportunities in fabricating patient-specific phantoms with added pathological features for end-to-end radiotherapy testing.</t>
  </si>
  <si>
    <t>[Tino, R.; Leary, M.; Brandt, M.] RMIT Univ, RMIT Ctr Addit Manufacture, Innovat Mfg Res Grp Med Mfg, Melbourne, Vic, Australia; [Tino, R.; Leary, M.; Brandt, M.; Kron, T.] Queensland Univ Technol, ARC Ind Transformat Training Ctr Addit Biomfg, Brisbane, Qld, Australia; [Tino, R.; Yeo, A.; Kron, T.] Univ Melbourne, Peter MacCallum Canc Inst, Phys Sci Dept, Melbourne, Vic, Australia</t>
  </si>
  <si>
    <t>Royal Melbourne Institute of Technology (RMIT); Queensland University of Technology (QUT); Peter Maccallum Cancer Center; University of Melbourne</t>
  </si>
  <si>
    <t>Tino, R; Leary, M (通訊作者)， RMIT Univ, RMIT Ctr Addit Manufacture, Innovat Mfg Res Grp Med Mfg, Melbourne, Vic, Australia.;Tino, R; Leary, M; Kron, T (通訊作者)， Queensland Univ Technol, ARC Ind Transformat Training Ctr Addit Biomfg, Brisbane, Qld, Australia.;Tino, R; Kron, T (通訊作者)， Univ Melbourne, Peter MacCallum Canc Inst, Phys Sci Dept, Melbourne, Vic, Australia.</t>
  </si>
  <si>
    <t>s3487718@student.rmit.edu.au; martin.leary@rmit.edu.au; Tomas.Kron@petermac.org</t>
  </si>
  <si>
    <t>; Tino, Rance/Z-2651-2019; Kron, Tomas/A-7217-2010</t>
  </si>
  <si>
    <t>Leary, Martin/0000-0002-2135-1681; Tino, Rance/0000-0003-4563-5491; Kron, Tomas/0000-0002-5189-4046; Brandt, Milan/0000-0002-2437-3413; Yeo, Adam/0000-0002-9725-0668</t>
  </si>
  <si>
    <t>Australian Research Council Industrial Transformation Training Centre in Additive Biomanufacturing [IC160100026]; Gross Foundation</t>
  </si>
  <si>
    <t>Australian Research Council Industrial Transformation Training Centre in Additive Biomanufacturing(Australian Research Council); Gross Foundation</t>
  </si>
  <si>
    <t>This research was conducted by the Australian Research Council Industrial Transformation Training Centre in Additive Biomanufacturing (IC160100026). Special acknowledgements to the Gross Foundation for additional research funding. The authors acknowledge use of facilities within the RMIT Advanced Manufacturing Precinct and RMIT Microscopy and Microanalysis Facility (RMMF).</t>
  </si>
  <si>
    <t>21NT05</t>
  </si>
  <si>
    <t>10.1088/1361-6560/ab48ab</t>
  </si>
  <si>
    <t>WOS:000494858700001</t>
  </si>
  <si>
    <t>Worrall, M; Shaw, D; Baker, C; Charnock, P; Fazakerley, J; Honey, I; Iball, G; Koutalonis, M; Price, M; Renaud, C; Rose, A; Wood, T</t>
  </si>
  <si>
    <t>Worrall, Mark; Shaw, Dan; Baker, Chris; Charnock, Paul; Fazakerley, Jason; Honey, Ian; Iball, Gareth; Koutalonis, Manthos; Price, Mandy; Renaud, Caroline; Rose, Amy; Wood, Tim</t>
  </si>
  <si>
    <t>IPEM Topical Report: an evidence and risk assessment based analysis of the efficacy of quality assurance tests on fluoroscopy units-part I; dosimetry and safety</t>
  </si>
  <si>
    <t>quality assurance; fluoroscopy; fluorography</t>
  </si>
  <si>
    <t>This work aims to assess the efficacy of x-ray quality assurance tests undertaken on fluoroscopy units in the UK. Information was gathered on the results of dosimetry and safety tests recommended by the reports of the Institute of Physics and Engineering in Medicine, and those additionally undertaken by medical physics departments. The assessment of efficacy considers the frequency with which a test result breaches the remedial level or other relevant threshold where applicable. The third quartile of those results exceeding the remedial level or threshold is used to estimate the severity of such a breach in terms of potential impact on patient dose and image quality. A risk assessment approach is then used to recommend to what degree, if any, the test should be included in an on-going test regimen. Data was analysed from 468 testing sessions to 336 unique fluoroscopy units throughout the UK. Across all tests, the rate with which the remedial level was exceeded varied from 0%-29.5%, with severity ranging from little or none to major degradation to image quality or significant increase on population dose. Where possible, the data has also been used to produce representative ranges for the results of dosimetric tests. These could be useful as an up to date comparator for those sites considering the purchase of or commissioning new equipment. Overall the results indicate a wide range for the efficacy of those tests undertaken at present; this can be used to review local test protocols and to inform future changes to national guidance in the UK. The results also highlight some tests where measurement technique varies significantly throughout the UK, making any valid comparison difficult. This may indicate a need for further guidance on how best to undertake these tests.</t>
  </si>
  <si>
    <t>[Worrall, Mark] NHS Tayside, Dundee, Scotland; [Shaw, Dan] Christie NHS Fdn Trust, Manchester, Lancs, England; [Baker, Chris] Royal Free London NHS Fdn Trust, London, England; [Charnock, Paul; Fazakerley, Jason] Integrated Radiol Serv, Liverpool, Merseyside, England; [Honey, Ian] Guys &amp; St Thomas NHS Fdn Trust, London, England; [Iball, Gareth] Leeds Raching Hosp NHS Trust, Leeds, W Yorkshire, England; [Koutalonis, Manthos] Colchester Hosp Univ NHS Fdn Trust, Colchester, Essex, England; [Price, Mandy; Rose, Amy] Barts Hlth NHS Trust, London, England; [Renaud, Caroline] Imperial Coll Healthcare NHS Trust, London, England; [Wood, Tim] Hull &amp; East Yorkshire Hosp NHS Trust, Kingston Upon Hull, N Humberside, England</t>
  </si>
  <si>
    <t>Christie NHS Foundation Trust; University of London; University College London; Royal Free London NHS Foundation Trust; Guy's &amp; St Thomas' NHS Foundation Trust; Barts Health NHS Trust; Imperial College London</t>
  </si>
  <si>
    <t>Worrall, M (通訊作者)， NHS Tayside, Dundee, Scotland.</t>
  </si>
  <si>
    <t>markworrall@nhs.net</t>
  </si>
  <si>
    <t>Iball, Gareth/0000-0001-5911-8431</t>
  </si>
  <si>
    <t>10.1088/1361-6560/ab3bd7</t>
  </si>
  <si>
    <t>KA7CI</t>
  </si>
  <si>
    <t>WOS:000505954300001</t>
  </si>
  <si>
    <t>Hershkovich, HS; Urman, N; Yesharim, O; Naveh, A; Bomzon, Z</t>
  </si>
  <si>
    <t>Hershkovich, Hadas Sara; Urman, Noa; Yesharim, Ofir; Naveh, Ariel; Bomzon, Ze'ev</t>
  </si>
  <si>
    <t>The dielectric properties of skin and their influence on the delivery of tumor treating fields to the torso: a study combining in vivo measurements with numerical simulations</t>
  </si>
  <si>
    <t>tissue impedance; bioelectricity; tumor treating fields; numerical simulations</t>
  </si>
  <si>
    <t>ELECTRICAL-PROPERTIES; BIOLOGICAL TISSUES; CONDUCTIVITY; FREQUENCIES; THICKNESS; EPIDERMIS; DERMIS; MODELS; VITRO</t>
  </si>
  <si>
    <t>The study of the dielectric properties of tissues plays a key role in understanding the interaction between electromagnetic energy and the human body, for safety assessments of human exposure to electromagnetic fields, as well as for numerous biomedical applications such as tumor treating fields (TTFields). TTFields are low-intensity alternating electric fields in the 100-500 kHz frequency range, which have an antimitotic effect on cancerous cells. TTFields are delivered to the body through pairs of transducer arrays placed on a patient's skin in close proximity to the tumor. Therefore, it is essential to understand how the skin's dielectric properties affect TTFields delivery in clinical settings. In this paper, we present a study combining in vivo measurements with numerical simulations that elucidate how different layers of the skin influence TTFields distribution in the body. The dielectric properties of the skin were measured on volunteers using a setup that ensured skin conditions resembled those when TTFields are delivered to patients. The measured properties were incorporated into a realistic human computational phantom and delivery of TTFields to the phantom's abdomen was simulated. The total impedance of the simulated model was within the mid-range of impedance values measured in patients with pancreatic cancer treated with TTFields. A computational study investigating model sensitivity to the dielectric properties of the skin and subcutaneous adipose tissue (SAT) showed that when skin conductivity increased above a threshold value, the total impedance of the model was largely insensitive to changes in the conductivity of these tissues. Furthermore, for a given current, the field intensity within the internal organs was mostly unaffected by skin properties but was highly sensitive to the conductivity of the organ itself. This study provides a new insight into the role of skin in determining the distribution of TTFields within the body.</t>
  </si>
  <si>
    <t>[Hershkovich, Hadas Sara; Urman, Noa; Yesharim, Ofir; Naveh, Ariel; Bomzon, Ze'ev] Novocure Ltd, MATAM Ctr, Topaz Bldg,4th Floor,POB 15022, Haifa, Israel</t>
  </si>
  <si>
    <t>Novocure Limited</t>
  </si>
  <si>
    <t>Bomzon, Z (通訊作者)， Novocure Ltd, MATAM Ctr, Topaz Bldg,4th Floor,POB 15022, Haifa, Israel.</t>
  </si>
  <si>
    <t>zbomzon@novocure.com</t>
  </si>
  <si>
    <t>10.1088/1361-6560/ab33c6</t>
  </si>
  <si>
    <t>WOS:000487116400003</t>
  </si>
  <si>
    <t>Piai, A; Contillo, A; Arfelli, F; Bonazza, D; Brombal, L; Cova, MA; Delogu, P; Di Trapani, V; Donato, S; Golosio, B; Mettivier, G; Oliva, P; Rigon, L; Taibi, A; Tonutti, M; Tromba, G; Zanconati, F; Longo, R</t>
  </si>
  <si>
    <t>Piai, Anna; Contillo, Adriano; Arfelli, Fulvia; Bonazza, Deborah; Brombal, Luca; Cova, Maria Assunta; Delogu, Pasquale; Di Trapani, Vittorio; Donato, Sandro; Golosio, Bruno; Mettivier, Giovanni; Oliva, Piernicola; Rigon, Luigi; Taibi, Angelo; Tonutti, Maura; Tromba, Giuliana; Zanconati, Fabrizio; Longo, Renata</t>
  </si>
  <si>
    <t>Quantitative characterization of breast tissues with dedicated CT imaging</t>
  </si>
  <si>
    <t>breast CT; synchrotron radiation; phase-contrast imaging; linear attenuation coefficient</t>
  </si>
  <si>
    <t>SYNCHROTRON-RADIATION; COMPUTED-TOMOGRAPHY; ATTENUATION; MAMMOGRAPHY; PHASE</t>
  </si>
  <si>
    <t>A quantitative characterization of the soft tissues composing the human breast is achieved by means of a monochromatic CT phase-contrast imaging system, through accurate measurements of their attenuation coefficients within the energy range of interest for breast CT clinical examinations. Quantitative measurements of linear attenuation coefficients are performed on tomographic reconstructions of surgical samples, using monochromatic x-ray beams from a synchrotron source and a free space propagation setup. An online calibration is performed on the obtained reconstructions, in order to reassess the validity of the standard calibration procedure of the CT scanner. Three types of healthy tissues (adipose, glandular, and skin) and malignant tumors, when present, are considered from each sample. The measured attenuation coefficients are in very good agreement with the outcomes of similar studies available in the literature, although they span an energy range that was mostly neglected in the previous studies. No globally significant differences are observed between healthy and malignant dense tissues, although the number of considered samples does not appear sufficient to address the issue of a quantitative differentiation of tumors. The study assesses the viability of the proposed methodology for the measurement of linear attenuation coefficients, and provides a denser sampling of attenuation data in the energy range useful to breast CT.</t>
  </si>
  <si>
    <t>[Piai, Anna; Arfelli, Fulvia; Brombal, Luca; Donato, Sandro; Rigon, Luigi; Longo, Renata] Univ Trieste, Dept Phys, Via Valerio 2, I-34127 Trieste, Italy; [Piai, Anna; Arfelli, Fulvia; Brombal, Luca; Donato, Sandro; Rigon, Luigi; Longo, Renata] Ist Nazl Fis Nucl, Div Trieste, Via Valerio 2, I-34127 Trieste, Italy; [Contillo, Adriano; Taibi, Angelo] Univ Ferrara, Dept Phys &amp; Earth Sci, Via Saragat 1, I-44122 Ferrara, Italy; [Contillo, Adriano; Taibi, Angelo] Ist Nazl Fis Nucl, Div Ferrara, Via Saragat 1, I-44122 Ferrara, Italy; [Contillo, Adriano; Tromba, Giuliana] Elettra Sincrotrone Trieste SCpA, I-34149 Basovizza Trieste, Italy; [Bonazza, Deborah; Cova, Maria Assunta; Tonutti, Maura; Zanconati, Fabrizio] Univ Trieste, Cattinara Hosp, Dept Med Sci, Str Fiume 447, I-34149 Trieste, Italy; [Delogu, Pasquale; Di Trapani, Vittorio] Univ Siena, Dept Phys Sci Earth &amp; Environm, Str Laterina 8, I-53100 Siena, Italy; [Delogu, Pasquale; Di Trapani, Vittorio] Ist Nazl Fis Nucl, Div Pisa, Largo Bruno Pontecorvo 3, I-56127 Pisa, Italy; [Golosio, Bruno] Univ Cagliari, Dept Phys, I-09042 Monserrato Sestu, Monserrato, Italy; [Golosio, Bruno; Oliva, Piernicola] Ist Nazl Fis Nucl, Div Cagliari, I-09042 Monserrato Sestu, Monserrato, Italy; [Mettivier, Giovanni] Univ Napoli Federico II, Dept Phys, Via Cinthia, I-80126 Naples, Italy; [Mettivier, Giovanni] Ist Nazl Fis Nucl, Div Napoli, Via Cinthia, I-80126 Naples, Italy; [Oliva, Piernicola] Univ Sassari, Dept Chem &amp; Pharm, Via Vienna, I-07100 Sassari, SS, Italy; [Piai, Anna] Univ Milan, Dept Phys, Via G Celoria 16, I-20133 Milan, Italy</t>
  </si>
  <si>
    <t>University of Trieste; Istituto Nazionale di Fisica Nucleare (INFN); University of Ferrara; Istituto Nazionale di Fisica Nucleare (INFN); Elettra Sincrotrone Trieste; University of Trieste; University of Siena; Istituto Nazionale di Fisica Nucleare (INFN); University of Cagliari; Istituto Nazionale di Fisica Nucleare (INFN); University of Naples Federico II; Istituto Nazionale di Fisica Nucleare (INFN); University of Sassari; University of Milan</t>
  </si>
  <si>
    <t>Contillo, A (通訊作者)， Univ Ferrara, Dept Phys &amp; Earth Sci, Via Saragat 1, I-44122 Ferrara, Italy.;Contillo, A (通訊作者)， Ist Nazl Fis Nucl, Div Ferrara, Via Saragat 1, I-44122 Ferrara, Italy.;Contillo, A (通訊作者)， Elettra Sincrotrone Trieste SCpA, I-34149 Basovizza Trieste, Italy.</t>
  </si>
  <si>
    <t>adriano.contillo@elettra.eu</t>
  </si>
  <si>
    <t>; Brombal, Luca/K-6460-2017; Di Trapani, Vittorio/AAO-4704-2020; BROMBAL, LUCA/K-6460-2017; Mettivier, G/AAJ-6776-2020; Donato, Sandro/GOG-8150-2022; Taibi, Angelo/E-2797-2015; Oliva, Piernicola/E-5839-2012; Rigon, Luigi/G-4048-2012; Delogu, Pasquale/J-3141-2012</t>
  </si>
  <si>
    <t>Donato, Sandro/0000-0003-0696-9077; BONAZZA, DEBORAH/0000-0002-5605-6711; Delogu, Pasquale/0000-0003-2026-2000; Golosio, Bruno/0000-0001-5144-6932; Di Trapani, Vittorio/0000-0003-1520-3102; BROMBAL, LUCA/0000-0002-4009-8191; Arfelli, Fulvia/0000-0001-9687-7859;</t>
  </si>
  <si>
    <t>Istituto Nazionale di Fisica Nucleare (National Scientific Committee 5 for Technological and interdisciplinary research); Elettra-Sincrotrone Trieste SCpA; Cattinara University Hospital; Consorzio per la Fisica Trieste</t>
  </si>
  <si>
    <t>The authors gratefully acknowledge all the members of the project for their support on experimental and analysis activities. SYRMA-3D project is supported by Istituto Nazionale di Fisica Nucleare (National Scientific Committee 5 for Technological and interdisciplinary research) and Elettra-Sincrotrone Trieste SCpA and collaborates with the Cattinara University Hospital. Sandro Donato is partially supported by Consorzio per la Fisica Trieste.</t>
  </si>
  <si>
    <t>10.1088/1361-6560/ab2c29</t>
  </si>
  <si>
    <t>WOS:000480292700006</t>
  </si>
  <si>
    <t>Huang, KT</t>
  </si>
  <si>
    <t>Huang, Kris T.</t>
  </si>
  <si>
    <t>Integrating computer vision and non-linear optimization for automated deformable registration of 3D medical images</t>
  </si>
  <si>
    <t>deformable image registration; machine perception; medical image registration; computer vision; image fusion</t>
  </si>
  <si>
    <t>RADIATION-THERAPY; ALGORITHMS</t>
  </si>
  <si>
    <t>Deformable image registration (DIR), the process of estimating and applying non-linear transforms to spatially align sets of two or more images, is a challenging task with many important clinical applications including kinetic analysis, cancer treatment targeting, and evaluation of treatment response. Current techniques use non-linear optimizations only to reach a local minimum and not a globally optimal solution, limiting application to cases with small spatial displacements. Various semi-dense feature-based methods drawing inspiration from mammalian systems as the basis for 2D visual processing have been implemented for automated wide baseline registration and object detection applications with great success. Extension to the 3D case, which has been shown to enable highly efficient coarse global image search, in theory could be adapted also to allow precise semi-dense global optimization. The algorithm described in this paper, dubbed constrained robust affine feature transform (CRAFT), incorporates paradigms from various computer-vision techniques to combine aspects of the human visual pathway with proven non-linear optimization methods to automate general deformable registration with unprecedented robustness. This hybrid technique is able to estimate registration confidence and can serve as the basis of machine perception of medical images for machine learning.</t>
  </si>
  <si>
    <t>[Huang, Kris T.] Univ Cincinnati, Coll Med, Dept Radiat Oncol, Pymedix Inc, 707 Skokie Blvd Suite 600, Northbrook, IL 60062 USA</t>
  </si>
  <si>
    <t>Huang, KT (通訊作者)， Univ Cincinnati, Coll Med, Dept Radiat Oncol, Pymedix Inc, 707 Skokie Blvd Suite 600, Northbrook, IL 60062 USA.</t>
  </si>
  <si>
    <t>kris.huang@pymedix.com</t>
  </si>
  <si>
    <t>10.1088/1361-6560/ab2202</t>
  </si>
  <si>
    <t>WOS:000474298100006</t>
  </si>
  <si>
    <t>Kearney, V; Chan, JSW; Wang, TQ; Perry, A; Yom, SS; Solberg, TD</t>
  </si>
  <si>
    <t>Kearney, Vasant; Chan, Jason W.; Wang, Tianqi; Perry, Alan; Yom, Sue S.; Solberg, Timothy D.</t>
  </si>
  <si>
    <t>Attention-enabled 3D boosted convolutional neural networks for semantic CT segmentation using deep supervision</t>
  </si>
  <si>
    <t>semantic segmentation; attention gates; convolutional neural networks; autosegmentation; channel boosting; deep supervision; deep learning</t>
  </si>
  <si>
    <t>AUTOMATIC SEGMENTATION; PROSTATE; OPTIMIZATION; ALGORITHM; IMAGES</t>
  </si>
  <si>
    <t>A deeply supervised attention-enabled boosted convolutional neural network (DAB-CNN) is presented as a superior alternative to current state-of-the-art convolutional neural networks (CNNs) for semantic CT segmentation. Spatial attention gates (AGs) were incorporated into a novel 3D cascaded CNN framework to prioritize relevant anatomy and suppress redundancies within the network. Due to the complexity and size of the network, incremental channel boosting was used to decrease memory usage and facilitate model convergence. Deep supervision was used to encourage semantically meaningful deep features and mitigate local minima traps during training. The accuracy of DAB-CNN is compared to seven architectures: a variation of U-Net (UNet), attention-enabled U-Net (A-UNet), boosted U-Net (B-UNet), deeply-supervised U-Net (D-UNet), U-Net with ResNeXt blocks (ResNeXt), life-long learning segmentation CNN (LL-CNN), and deeply supervised attention-enabled U-Net (DA-UNet). The accuracy of each method was assessed based on Dice score compared to manually delineated contours as the gold standard. One hundred and twenty patients who had definitive prostate radiotherapy were used in this study. Training, validation, and testing followed Kaggle competition rules, with 80 patients used for training, 20 patients used for internal validation, and 20 test patients used to report final accuracies. Comparatorp-values indicate that DAB-CNN achieved significantly superior Dice scores than all alternative algorithms for the prostate, rectum, and penile bulb. This study demonstrated that attention-enabled boosted convolutional neural networks (CNNs) using deep supervision are capable of achieving superior prediction accuracy compared to current state-of-the-art automatic segmentation methods.</t>
  </si>
  <si>
    <t>[Kearney, Vasant; Chan, Jason W.; Wang, Tianqi; Perry, Alan; Yom, Sue S.; Solberg, Timothy D.] Univ Calif San Francisco, Dept Radiat Oncol, San Francisco, CA 94115 USA</t>
  </si>
  <si>
    <t>University of California System; University of California San Francisco</t>
  </si>
  <si>
    <t>Kearney, V (通訊作者)， Univ Calif San Francisco, Dept Radiat Oncol, San Francisco, CA 94115 USA.</t>
  </si>
  <si>
    <t>vasantkearney@gmail.com</t>
  </si>
  <si>
    <t>; WANG, TIANQI/HOA-5441-2023</t>
  </si>
  <si>
    <t>Solberg, Timothy/0000-0001-8829-7774; Yom, Sue/0000-0002-0779-7476;</t>
  </si>
  <si>
    <t>10.1088/1361-6560/ab2818</t>
  </si>
  <si>
    <t>WOS:000473698800001</t>
  </si>
  <si>
    <t>Tan, HQ; Koh, WYC; Tan, LKR; Phua, JH; Ang, KW; Park, SY; Lew, WS; Lee, JCL</t>
  </si>
  <si>
    <t>Tan, Hong Qi; Koh, Wei Yang Calvin; Tan, Lloyd Kuan Rui; Phua, Jun Hao; Ang, Khong Wei; Park, Sung Yong; Lew, Wen Siang; Lee, James Cheow Lei</t>
  </si>
  <si>
    <t>Dependence of LET on material and its impact on current RBE model</t>
  </si>
  <si>
    <t>proton therapy; Monte Carlo; relative biological effectiveness; linear energy transfer</t>
  </si>
  <si>
    <t>RELATIVE BIOLOGICAL EFFECTIVENESS; LOW-ENERGY PROTONS; THYROID FOLLICULAR CELLS; NATIONAL-CANCER-CENTER; CHINESE-HAMSTER CELLS; IN-VITRO IRRADIATION; DOUBLE-STRAND BREAKS; V79 MAMMALIAN-CELLS; MELANOMA-CELLS; ONCOGENIC TRANSFORMATION</t>
  </si>
  <si>
    <t>Biological uncertainty remains one of the main sources of uncertainties in proton therapy, and is encapsulated in a scalar quantity known as relative biological effective (RBE). It is currently recognised that a constant RBE of 1.1 is not consistent with radiobiological experiment and may lead to sub-optimal exploitation of the benefits of proton therapy. To overcome this problem, several RBE models have been developed, and in most of these models, there is a dependence of RBE on dose-averaged linear energy transfer (LET), LETD. In this work, we show that the LETD estimation in these models during the data-fitting (or parameter estimation) phase could be subjected to a huge uncertainty due to not taking into account cellular materials during simulation, and this uncertainty can propagate down to the resulting RBE models. The dosimetric impact of this LETD uncertainty is then evaluated on a simple clinical spread out Bragg peak (SOBP) and a prostate example. Our simulation shows that LETD uncertainty due to the use of water as cellular material is non-negligible under low (alpha / beta)(x) and low dose (2 Gy), and can be neglected otherwise. Thus, this study indicates that further dose and range margins may be required for low (alpha / beta)(x) target under low dose. This is due to greater uncertainties in RBE model associated with incomplete knowledge of cellular composition for LETD computation.</t>
  </si>
  <si>
    <t>[Tan, Hong Qi; Tan, Lloyd Kuan Rui; Phua, Jun Hao; Ang, Khong Wei; Park, Sung Yong; Lee, James Cheow Lei] Natl Canc Ctr Singapore, Div Radiat Oncol, Singapore, Singapore; [Koh, Wei Yang Calvin; Lew, Wen Siang; Lee, James Cheow Lei] Nanyang Technol Univ, Div Phys &amp; Appl Phys, Singapore, Singapore</t>
  </si>
  <si>
    <t>National Cancer Centre Singapore (NCCS); Nanyang Technological University</t>
  </si>
  <si>
    <t>Tan, HQ (通訊作者)， Natl Canc Ctr Singapore, Div Radiat Oncol, Singapore, Singapore.</t>
  </si>
  <si>
    <t>tan.hong.qi@nccs.com.sg</t>
  </si>
  <si>
    <t>; Lew, Wen Siang/C-2910-2008</t>
  </si>
  <si>
    <t>/0000-0002-7961-2119; Lew, Wen Siang/0000-0002-5161-741X; Tan, Hong Qi/0000-0001-7878-4544; Koh, Calvin/0000-0002-6434-2400</t>
  </si>
  <si>
    <t>10.1088/1361-6560/ab1c90</t>
  </si>
  <si>
    <t>WOS:000474396800008</t>
  </si>
  <si>
    <t>Xu, HC; Lenz, M; Caldeira, L; Ma, B; Pietrzyk, U; Lerche, C; Shah, NJ; Scheins, J</t>
  </si>
  <si>
    <t>Xu, Hancong; Lenz, Mirjam; Caldeira, Liliana; Ma, Bo; Pietrzyk, Uwe; Lerche, Christoph; Shah, N. Jon; Scheins, Juergen</t>
  </si>
  <si>
    <t>Resolution modeling in projection space using a factorized multi-block detector response function for PET image reconstruction</t>
  </si>
  <si>
    <t>resolution modeling; detector response function; BrainPET; GATE; inter-crystal scatter; inter-crystal penetration</t>
  </si>
  <si>
    <t>SYSTEM MODEL; MATRIX; SIMULATION; ACCURATE; VOLUME; QUANTITATION; REDUCTION; SCATTER; VARIANT; NOISE</t>
  </si>
  <si>
    <t>Positron emission tomography (PET) images usually suffer from limited resolution and statistical uncertainties. However, a technique known as resolution modeling (RM) can be used to improve image quality by accurately modeling the system's detection process within the iterative reconstruction. In this study, we present an accurate RM method in projection space based on a simulated multi-block detector response function (DRF) and evaluate it on the Siemens hybrid MR-BrainPET system. The DRF is obtained using GATE simulations that consider nearly all the possible annihilation photons from the field-of-view (FOV). Intrinsically, the multi-block DRF allows the block crosstalk to be modeled. The RM blurring kernel is further generated by factorizing the blurring matrix of one line-of-response (LOR) into two independent detector responses, which can then be addressed with the DRF. Such a kernel is shift-variant in 4D projection space without any distance or angle compression, and is integrated into the image reconstruction for the BrainPET insert with single instruction multiple data (SIMD) and multi-thread support. Evaluation of simulations and measured data demonstrate that the reconstruction with RM yields significantly improved resolutions and reduced mean squared error (MSE) values at different locations of the FOV, compared with reconstruction without RM. Furthermore, the shift-variant RM kernel models the varying blurring intensity for different LORs due to the depth-of-interaction (DOI) dependencies, thus avoiding severe edge artifacts in the images. Additionally, compared to RM in single-block mode, the multi-block mode shows significantly improved resolution and edge recovery at locations beyond 10 cm from the center of BrainPET insert in the transverse plane. However, the differences have been observed to be low for patient data between single-block and multi-block mode RM, due to the brain size and location as well as the geometry of the BrainPET insert. In conclusion, the RM method proposed in this study can yield better reconstructed images in terms of resolution and MSE value, compared to conventional reconstruction without RM.</t>
  </si>
  <si>
    <t>[Xu, Hancong; Lenz, Mirjam; Caldeira, Liliana; Ma, Bo; Pietrzyk, Uwe; Lerche, Christoph; Shah, N. Jon; Scheins, Juergen] Forschungszentrum Julich, INM 4, Julich, Germany; [Xu, Hancong] Rhein Westfal TH Aachen, Dept Phys, Aachen, Germany; [Lenz, Mirjam; Pietrzyk, Uwe] Univ Wuppertal, Fac Math &amp; Nat Sci, Wuppertal, Germany; [Ma, Bo] Chinese Acad Sci, Inst High Energy Phys, Beijing, Peoples R China; [Shah, N. Jon] Forschungszentrum Julich, JARA, INM 11, Julich, Germany; [Shah, N. Jon] JARA BRAIN Translat Med, Aachen, Germany; [Shah, N. Jon] Rhein Westfal TH Aachen, Dept Neurol, Aachen, Germany; [Caldeira, Liliana] Univ Hosp Cologne, Dept Diagnost &amp; Intervent Radiol, Cologne, Germany</t>
  </si>
  <si>
    <t>Helmholtz Association; Research Center Julich; RWTH Aachen University; University of Wuppertal; Chinese Academy of Sciences; Institute of High Energy Physics, CAS; Helmholtz Association; Research Center Julich; RWTH Aachen University; University of Cologne</t>
  </si>
  <si>
    <t>Xu, HC (通訊作者)， Forschungszentrum Julich, INM 4, Julich, Germany.;Xu, HC (通訊作者)， Rhein Westfal TH Aachen, Dept Phys, Aachen, Germany.</t>
  </si>
  <si>
    <t>ha.xu@fz-juelich.de</t>
  </si>
  <si>
    <t>Shah, N. Jon/H-5849-2013; Shah, N./H-5849-2013; Ma, Bohong/MGT-2382-2025; Caldeira, Liliana/M-8902-2016; Scheins, Juergen/AAV-4647-2020</t>
  </si>
  <si>
    <t>Shah, N. Jon/0000-0002-8151-6169; Lerche, Christoph/0000-0003-2749-2108; Caldeira, Liliana/0000-0002-9530-5899; Schoneck, Mirjam/0000-0002-1630-4012</t>
  </si>
  <si>
    <t>China scholarship council (CSC)</t>
  </si>
  <si>
    <t>China scholarship council (CSC)(China Scholarship Council)</t>
  </si>
  <si>
    <t>This work is supported in part by the China scholarship council (CSC). The authors also gratefully acknowledge the computing time granted by the John von Neumann Institute for Computing (NIC) and provided on the supercomputer JURECA at Julich Supercomputing Centre (JSC).</t>
  </si>
  <si>
    <t>10.1088/1361-6560/ab266b</t>
  </si>
  <si>
    <t>WOS:000475775200005</t>
  </si>
  <si>
    <t>Adams, MS; Diederich, CJ</t>
  </si>
  <si>
    <t>Adams, Matthew S.; Diederich, Chris J.</t>
  </si>
  <si>
    <t>Deployable cylindrical phased-array applicator mimicking a concentric-ring configuration for minimally-invasive delivery of therapeutic ultrasound</t>
  </si>
  <si>
    <t>therapeutic ultrasound; phased array; thermal ablation; minimally invasive; balloon catheter</t>
  </si>
  <si>
    <t>INTENSITY FOCUSED ULTRASOUND; THERMAL ABLATION; INITIAL-EXPERIENCE; RENAL TUMORS; CATHETER; DESIGN; HYPERTHERMIA; CANCER; TRANSDUCERS; TECHNOLOGY</t>
  </si>
  <si>
    <t>A novel design for a deployable catheter-based ultrasound applicator for endoluminal and laparoscopic intervention is introduced. By combining a 1D cylindrical ring phased array with an expandable paraboloid or conical-shaped balloon-based reflector, the applicator can be controllably collapsed for compact delivery and deployed to mimic a forward-firing larger diameter concentric ring array with tight focusing and electronic steering capabilities in depth. Comprehensive acoustic and biothermal parametric studies were employed to characterize the capabilities of the applicator design as a function of transducer dimensions, phased array configuration, and balloon reflector geometry. Modeling results indicate that practical balloon sizes (43-57 mm expanded diameter), transducer array configurations (e.g. 1.5 MHz, 10 mm OD x 20 mm length, 8 or 16 array elements), and sonication durations (30 s) are capable of producing spatially-localized acoustic intensity focal patterns and ablative thermal lesions (width: 2.8-4.8 mm; length: 5.3-40.1 mm) in generalized soft tissue across a 5-100 mm depth range. Larger focal intensity gain magnitudes and narrower focal dimensions are attainable using paraboloid-shaped balloon reflectors with natural geometric focal depths of 25-55 mm, whereas conical-shaped reflectors (angled 45-55 degrees) produce broader foci and extend electronic steering range in depth. A proof-of-concept phased array applicator assembly was fabricated and characterized using hydrophone and radiation force balance measurements and demonstrated good agreement with simulation. The results of this study suggest that combining small diameter cylindrical phased arrays with expandable balloon reflectors can enhance minimally invasive ultrasound-based intervention by augmenting achievable focal gains and penetration depths with dynamic adjustment of treatment depth.</t>
  </si>
  <si>
    <t>[Adams, Matthew S.; Diederich, Chris J.] Univ Calif San Francisco, Dept Radiat Oncol, Thermal Therapy Res Grp, 2340 Sutter St,S341, San Francisco, CA 94115 USA</t>
  </si>
  <si>
    <t>Adams, MS (通訊作者)， Univ Calif San Francisco, Dept Radiat Oncol, Thermal Therapy Res Grp, 2340 Sutter St,S341, San Francisco, CA 94115 USA.</t>
  </si>
  <si>
    <t>matt.adams@ucsf.edu</t>
  </si>
  <si>
    <t>Diederich, Chris/0000-0002-7260-6226</t>
  </si>
  <si>
    <t>National Institutes of Health NIBIB [R01EB025990]; NCI [R21CA230120]; University of California San Francisco Catalyst Award; National Institute of Biomedical Imaging and Bioengineering [R01EB025990] Funding Source: NIH RePORTER</t>
  </si>
  <si>
    <t>National Institutes of Health NIBIB(United States Department of Health &amp; Human ServicesNational Institutes of Health (NIH) - USANIH National Institute of Biomedical Imaging &amp; Bioengineering (NIBIB)); NCI(United States Department of Health &amp; Human ServicesNational Institutes of Health (NIH) - USANIH National Cancer Institute (NCI)); University of California San Francisco Catalyst Award; National Institute of Biomedical Imaging and Bioengineering(United States Department of Health &amp; Human ServicesNational Institutes of Health (NIH) - USANIH National Institute of Biomedical Imaging &amp; Bioengineering (NIBIB))</t>
  </si>
  <si>
    <t>This work was supported by National Institutes of Health NIBIB grant R01EB025990, NCI grant R21CA230120, and the University of California San Francisco Catalyst Award.</t>
  </si>
  <si>
    <t>10.1088/1361-6560/ab2318</t>
  </si>
  <si>
    <t>IC7OZ</t>
  </si>
  <si>
    <t>WOS:000471166400001</t>
  </si>
  <si>
    <t>Gao, H</t>
  </si>
  <si>
    <t>Gao, Hao</t>
  </si>
  <si>
    <t>Hybrid proton-photon inverse optimization with uniformity-regularized proton and photon target dose</t>
  </si>
  <si>
    <t>hybrid proton-photon optimization; IMRT; IMPT; ADMM</t>
  </si>
  <si>
    <t>UNCERTAINTIES; RADIOTHERAPY; RANGE</t>
  </si>
  <si>
    <t>The goal of radiation therapy is to deliver tumoricidal dose to clinical target volume (CTV) while sparing organs-at-risk (OAR). We hypothesize that the joint use of proton and photon radiation therapy via appropriate hybrid proton-photon inverse planning method will be more favorable than proton or photon therapy alone, in terms of optimized combination of CTV coverage and OAR sparing. This work develops hybrid proton-photon inverse optimization method that simultaneously optimizes proton and photon variables. To account for delivery uncertainty, proton dose is targeted at CTV using robust optimization, and photon dose is targeted at either CTV using robust optimization or planning target volume (PTV) using the same setup shifts. The optimization objectives enforce OAR sparing and uniform CTV coverage for the total dose, while imposing uniform-dose regularization at targets for both the proton and photon component in order for both components to be individually deliverable. The hybrid problem with dose-volume-histogram (DVH) constraints is nonconvex and solved by iterative convex relaxations of DVH constraints and alternating direction method of multipliers (ADMM). Preliminary results suggest the hybrid proton-photon planning potentially improves proton or photon planning in terms of optimized combination of CTV coverage and OAR sparing.</t>
  </si>
  <si>
    <t>[Gao, Hao] Emory Univ, Dept Radiat Oncol, Winship Canc Inst, Atlanta, GA 30322 USA</t>
  </si>
  <si>
    <t>Emory University</t>
  </si>
  <si>
    <t>10.1088/1361-6560/ab18c7</t>
  </si>
  <si>
    <t>WOS:000467464500003</t>
  </si>
  <si>
    <t>Garau, N; Via, R; Meschin, G; Lee, D; Keall, P; Riboldi, M; Baroni, G; Paganelli, C</t>
  </si>
  <si>
    <t>Garau, Noemi; Via, Riccardo; Meschin, Giorgia; Lee, Danny; Keall, Paul; Riboldi, Marco; Baroni, Guido; Paganelli, Chiara</t>
  </si>
  <si>
    <t>A ROI-based global motion model established on 4DCT and 2D cine-MRI data for MRI-guidance in radiation therapy</t>
  </si>
  <si>
    <t>MRI-guidance; organ motion; motion modelling; radiotherapy</t>
  </si>
  <si>
    <t>RESPIRATORY MOTION; GUIDED RADIOTHERAPY; ORGAN MOTION; LUNG-CANCER; RESONANCE; TRACKING; SYSTEM; DRIVEN</t>
  </si>
  <si>
    <t>In-room magnetic resonance imaging (MRI) allows the acquisition of fast 2D cine-MRI centered in the tumor for advanced motion management in radiotherapy. To achieve 3D information during treatment, patient-specific motion models can be considered the most viable solution. However, conventional global motion models are built using a single motion surrogate, independently from the anatomical location. In this work, we present a novel motion model based on regions of interest (ROIs) established on 4D computed tomography (4DCT) and 2D cine-MRI, aiming at accurately compensating for changes during treatment. In the planning phase, a motion model is built on a 4DCT dataset, through 3D deformable image registration (DIR). ROIs are then defined and correlated with motion fields derived by 2D DIR between CT slices centered in the tumor. In the treatment phase, the model is applied to in-room cine-MRI data to compensate for organ motion in a multi-modal framework, aiming at estimating a time-resolved 3DCT. The method is validated on a digital phantom and tested on two lung patients. Analysis is performed by considering different anatomical planes (coronal, sagittal and a combination of the two) and evaluating the performance of the method on tumor and diaphragm. For the phantom study, the ROI-based model results in a uniform median error on both diaphragm and tumor below I.5 mm. For what concerns patients, median errors on both diaphragm and tumor are around 2 mm (maximum patient resolution), confirming the capability of the method to regionally compensate for motion. A novel ROI-based motion model is proposed as an integral part of an envisioned clinical MRI-guided workflow aiming at enhanced image guidance compared to conventional strategies.</t>
  </si>
  <si>
    <t>[Garau, Noemi; Via, Riccardo; Meschin, Giorgia; Baroni, Guido; Paganelli, Chiara] Politecn Milan, Dipartimento Elettron Informaz &amp; Bioingn, Milan, Italy; [Lee, Danny] Calvary Mater Newcastle, Dept Radiat Oncol, Newcastle, NSW, Australia; [Keall, Paul] Univ Sydney, Sydney Med Sch, ACRF Image X Inst, Sydney, NSW, Australia; [Riboldi, Marco] Ludwig Maximilians Univ Munchen, Dept Med Phys, Munich, Germany; [Baroni, Guido] CNAO Fdn, Bioengn Unit, Pavia, Italy; [Via, Riccardo] Paul Scherrer Inst, Ctr Proton Therapy, CH-5232 Villigen, Switzerland</t>
  </si>
  <si>
    <t>Polytechnic University of Milan; Calvary Mater Newcastle Hospital; University of Sydney; University of Munich; Centro Nazionale di Adroterapia Oncologica (CNAO); Swiss Federal Institutes of Technology Domain; Paul Scherrer Institute</t>
  </si>
  <si>
    <t>Garau, N (通訊作者)， Politecn Milan, Dipartimento Elettron Informaz &amp; Bioingn, Milan, Italy.</t>
  </si>
  <si>
    <t>noemi.garau@mail.polimi.it</t>
  </si>
  <si>
    <t>; Baroni, Guido/D-3012-2011; Keall, Paul/A-6453-2018; Garau, Noemi/AAB-3083-2021; Riboldi, Marco/I-2980-2014; Riboldi, Marco/AAE-1272-2020</t>
  </si>
  <si>
    <t>Baroni, Guido/0000-0002-5464-0164; Keall, Paul/0000-0003-4803-6507; Riboldi, Marco/0000-0002-2431-4966; Via, Riccardo/0000-0003-3310-4802;</t>
  </si>
  <si>
    <t>Australian National Health and Medical Research Council Program Grant, Australia [APP1132471]</t>
  </si>
  <si>
    <t>Australian National Health and Medical Research Council Program Grant, Australia</t>
  </si>
  <si>
    <t>This project is supported by the Australian National Health and Medical Research Council Program Grant APP1132471, Australia.</t>
  </si>
  <si>
    <t>10.1088/1361-6560/aafcec</t>
  </si>
  <si>
    <t>WOS:000457845700002</t>
  </si>
  <si>
    <t>Müller, D; Geiger, D; Stark, J; Kienle, A</t>
  </si>
  <si>
    <t>Mueller, Dennis; Geiger, Daniel; Stark, Julian; Kienle, Alwin</t>
  </si>
  <si>
    <t>Angle-resolved light scattering of single human chromosomes: experiments and simulations</t>
  </si>
  <si>
    <t>light scattering; angle resolved; chromosome; scatterer geometry; scatterer orientation; discrete dipole approximation; atomic force microscopy</t>
  </si>
  <si>
    <t>DISCRETE-DIPOLE APPROXIMATION; ATOMIC-FORCE MICROSCOPY; NUCLEAR MORPHOLOGY; MATRIX FORMULATION; REFRACTIVE-INDEX; SIZE; IDENTIFICATION; PARTICLES; SHAPE</t>
  </si>
  <si>
    <t>Angle-resolved light scattering measurements of human metaphase chromosomes were compared to the results of numerical light scattering simulations with geometrical models based on atomic force microscopy (AFM) measurements of the same chromosomes. The simulations were conducted using the discrete dipole approximation method (DDA), which solves Maxwell's equations for induced dipoles, positioned in a discrete lattice. A remarkable agreement between the light scattering simulations and measurements of all 6 studied chromosomes was found. Additionally, the influence of small changes in the orientation of a complex scatterer geometry on its angle-resolved scattering pattern is shown. A method is presented to approximate such variations in the scatterer's orientation by a linear shift of the angular scattering pattern. This method provides an initial guess on the scatterers orientation, reducing the amount of simulations needed considerably. It was validated on simulations of a cubo id and successfully applied in the evaluation of the chromosome measurements.</t>
  </si>
  <si>
    <t>[Mueller, Dennis; Stark, Julian; Kienle, Alwin] Inst Lasertechnol Med &amp; Metrol ILM, Helmholtzstr 12, D-89081 Ulm, Germany; [Geiger, Daniel] Ulm Univ, Inst Expt Phys, Albert Einstein Allee 11, D-89081 Ulm, Germany</t>
  </si>
  <si>
    <t>Ulm University</t>
  </si>
  <si>
    <t>Müller, D (通訊作者)， Inst Lasertechnol Med &amp; Metrol ILM, Helmholtzstr 12, D-89081 Ulm, Germany.</t>
  </si>
  <si>
    <t>dennis.mueller@ilm-ulm.de</t>
  </si>
  <si>
    <t>Deutsche Forschungsgemeinschaft (DFG)</t>
  </si>
  <si>
    <t>Deutsche Forschungsgemeinschaft (DFG)(German Research Foundation (DFG))</t>
  </si>
  <si>
    <t>This work is financed by the Deutsche Forschungsgemeinschaft (DFG). The authors thank Prof Dr Othmar Marti for the provision of the AFM setup as well as Dominik Reitzle and Felix Glockler for the fruitful discussions and Kirsten Reess for the competent sample preparation.</t>
  </si>
  <si>
    <t>10.1088/1361-6560/aafd6f</t>
  </si>
  <si>
    <t>WOS:000459135900004</t>
  </si>
  <si>
    <t>Rohl, A; Bogowicz, M; Ehrbar, S; Guckenberger, M; Klöck, S; Meboldt, M; Riesterer, O; Zeilinger, M; Daners, MS; Tanadini-Lang, S</t>
  </si>
  <si>
    <t>Rohl, Alexander; Bogowicz, Marta; Ehrbar, Stefanie; Guckenberger, Matthias; Klock, Stephan; Meboldt, Mirko; Riesterer, Oliver; Zeilinger, Melanie; Daners, Marianne Schmid; Tanadini-Lang, Stephanie</t>
  </si>
  <si>
    <t>Body motion during dynamic couch tracking with healthy volunteers</t>
  </si>
  <si>
    <t>intrafractional motion; motion management; couch tracking</t>
  </si>
  <si>
    <t>ACCURACY; SYSTEM</t>
  </si>
  <si>
    <t>In precision radiotherapy, the intrafractional motion can cause a considerable uncertainty of the location of the tumor to be treated. An established approach is the expansion of the target volume to account for the motion. An alternative approach is couch-tracking, in which the patient is continually moved to compensate the intrafractional motion. However, couch-tracking itself might induce uncertainty of the patient's body position, because the body is non-rigid. One hundred healthy volunteers were positioned supine on a robotic couch. Optical markers were placed on the torso of the volunteers as well as on the couch, and their positions were tracked with an optical surface measurement system. Using these markers, the uncertainty of the body position relative to the couch position was estimated while the couch was static or moving. Over the included 83 healthy volunteers, the median of the uncertainty increased by 0.8 mm (SI), 0.4 mm (LR) and 0.4 mm (AP) when the couch moved. Couch motion was found to increase the uncertainty of the body position relative to the couch. However, this uncertainty is one order of magnitude smaller than the intrafractional tumor motion amplitudes to be compensated. Therefore, even with body motion present, the couch-tracking approach is a viable option.</t>
  </si>
  <si>
    <t>[Rohl, Alexander; Meboldt, Mirko; Daners, Marianne Schmid] Swiss Fed Inst Technol, Dept Mech &amp; Proc Engn, Prod Dev Grp Zurich, CH-8092 Zurich, Switzerland; [Rohl, Alexander; Bogowicz, Marta; Ehrbar, Stefanie; Guckenberger, Matthias; Klock, Stephan; Riesterer, Oliver; Tanadini-Lang, Stephanie] Univ Hosp Zurich, Dept Radiat Oncol, CH-8091 Zurich, Switzerland; [Zeilinger, Melanie] Swiss Fed Inst Technol, Dept Mech &amp; Proc Engn, Inst Dynam Syst &amp; Control, CH-8092 Zurich, Switzerland; [Bogowicz, Marta; Ehrbar, Stefanie; Guckenberger, Matthias; Klock, Stephan; Riesterer, Oliver; Tanadini-Lang, Stephanie] Univ Zurich, CH-8006 Zurich, Switzerland</t>
  </si>
  <si>
    <t>Swiss Federal Institutes of Technology Domain; ETH Zurich; University of Zurich; University Zurich Hospital; Swiss Federal Institutes of Technology Domain; ETH Zurich; University of Zurich</t>
  </si>
  <si>
    <t>Tanadini-Lang, S (通訊作者)， Univ Hosp Zurich, Dept Radiat Oncol, CH-8091 Zurich, Switzerland.;Tanadini-Lang, S (通訊作者)， Univ Zurich, CH-8006 Zurich, Switzerland.</t>
  </si>
  <si>
    <t>Stephanie.Tanadini-Lang@usz.ch</t>
  </si>
  <si>
    <t>; Meboldt, Mirko/E-1719-2013; Guckenberger, Matthias/AAX-4994-2020; Schmid Daners, Marianne/E-1800-2013; Bogowicz, Marta/AAM-6142-2020; Klöck, Stephan/GLR-9861-2022</t>
  </si>
  <si>
    <t>Bogowicz, Marta/0000-0002-4747-5375; Guckenberger, Matthias/0000-0002-7146-9071; Schmid Daners, Marianne/0000-0002-6411-8871; Meboldt, Mirko/0000-0001-5828-5406; Klock, Stephan/0000-0002-4105-3219; Tanadini-Lang, Stephanie/0000-0002-4387-1522; Riesterer, Oliver/0000-0002-9508-0546; Johl, Alexander/0000-0001-7116-6540</t>
  </si>
  <si>
    <t>Swiss National Science Foundation (SNSF) [CR32I3_153491]; Swiss National Science Foundation (SNF) [CR32I3_153491] Funding Source: Swiss National Science Foundation (SNF)</t>
  </si>
  <si>
    <t>Swiss National Science Foundation (SNSF)(Swiss National Science Foundation (SNSF)); Swiss National Science Foundation (SNF)</t>
  </si>
  <si>
    <t>This work was supported by the Swiss National Science Foundation (SNSF) through 'Development of prediction models for liver, lung, and breast tumors and implementation and verification of prediction filters for advanced couch tracking in a clinical environment', Grant No. CR32I3_153491.</t>
  </si>
  <si>
    <t>10.1088/1361-6560/aaf361</t>
  </si>
  <si>
    <t>HF2OZ</t>
  </si>
  <si>
    <t>WOS:000454077200001</t>
  </si>
  <si>
    <t>Du, JW; Bai, XW; Liu, CC; Qi, JY; Cherry, SR</t>
  </si>
  <si>
    <t>Du, Junwei; Bai, Xiaowei; Liu, Chih-Chieh; Qi, Jinyi; Cherry, Simon R.</t>
  </si>
  <si>
    <t>Design and evaluation of gapless curved scintillator arrays for simultaneous high-resolution and high-sensitivity brain PET</t>
  </si>
  <si>
    <t>PET; curved scintillator; high-resolution; high-sensitivity; brain PET</t>
  </si>
  <si>
    <t>DETECTOR; DEPTH; LSO; MM; READOUT</t>
  </si>
  <si>
    <t>Brain PET scanners that simultaneously provide high-resolution across the field-of-view and high-sensitivity can be constructed using detectors based on SiPM arrays coupled to both ends of scintillator arrays with finely segmented and long detector elements. To reduce the dead space between detector modules and hence improve the sensitivity of PET scanners, crystal arrays with curved surfaces are proposed. In this paper, the performance of a proof-of-concept detector module with nine detector submodules based on SiPMs coupled to both ends of a curved LYSO array with a pitch size of 1.0??&amp; xfffd;??1.0?mm(2) at the front-end and a length of 30?mm was evaluated. A simple signal multiplexing method using the shared-photodetector readout method was evaluated to identify the crystals. The results showed that all the LYSO elements in the detector module of interest could be clearly resolved. The energy resolution, depth-of-interaction resolution, and timing resolution were 14.6%??&amp; xfffd;??3.6%, 2.77??&amp; xfffd;??0.39?mm, and 1.15??&amp; xfffd;??0.07 ns, respectively, obtained at a bias voltage of 28.0 V and a temperature of 16.8 &amp; xfffd;C??&amp; xfffd;??0.2 &amp; xfffd;C.</t>
  </si>
  <si>
    <t>[Du, Junwei; Bai, Xiaowei; Liu, Chih-Chieh; Qi, Jinyi; Cherry, Simon R.] Univ Calif Davis, Dept Biomed Engn, One Shields Ave, Davis, CA 95616 USA</t>
  </si>
  <si>
    <t>jwde@ucdavis.edu</t>
  </si>
  <si>
    <t>Qi, Jinyi/A-1768-2010; Cherry, Simon/IAN-7507-2023; Liu, Chih-Chieh/ABA-2011-2020; Du, Junwei/J-9226-2015; Qi, Jinyi/IXW-8224-2023</t>
  </si>
  <si>
    <t>Qi, Jinyi/0000-0002-5428-0322;</t>
  </si>
  <si>
    <t>Academic Federation Innovative Developmental Award from the University of California at Davis; NIH [R01 EB019439]</t>
  </si>
  <si>
    <t>Academic Federation Innovative Developmental Award from the University of California at Davis; NIH(United States Department of Health &amp; Human ServicesNational Institutes of Health (NIH) - USA)</t>
  </si>
  <si>
    <t>This work was funded by an Academic Federation Innovative Developmental Award from the University of California at Davis, and NIH Grant R01 EB019439.</t>
  </si>
  <si>
    <t>10.1088/1361-6560/ab4e3c</t>
  </si>
  <si>
    <t>JR0XF</t>
  </si>
  <si>
    <t>WOS:000499358200001</t>
  </si>
  <si>
    <t>Delbaere, A; Younes, T; Vieillevigne, L</t>
  </si>
  <si>
    <t>Delbaere, Alexia; Younes, Tony; Vieillevigne, Laure</t>
  </si>
  <si>
    <t>On the conversion from dose-to-medium to dose-to-water in heterogeneous phantoms with Acuros XB and Monte Carlo calculations</t>
  </si>
  <si>
    <t>dose-to-medium; dose-to-water; Acuros XB; Monte Carlo calculations; heterogeneity slabs; film dosimetry</t>
  </si>
  <si>
    <t>CLINICAL IMPLEMENTATION; DOSIMETRIC VALIDATION; CALCULATION ALGORITHM; PHOTON; RADIOTHERAPY; LUNG</t>
  </si>
  <si>
    <t>The method implemented in Monte Carlo (MC) algorithm to convert dose-to-medium (D-m) to dose-to-water (D-w) is usually based on the Bragg-Gray cavity theory. Acuros XB (AXB) reports also D-m and D-w but the method to calculate D-w is based on the energy deposition cross sections for water in place of those for the local media. For both algorithms, the calculation of D-w in non-water media is similar to the dose received in a small volume of water, small enough not to disturb the fluence of charged particles. Recently, two new methods revised the Bragg-Gray cavity theory, one proposed by Andreo and the other by Reynaert et al. In this context, comparisons between AXB and MC were carried out in terms of dose-to-medium (D-m(AXB), D-m(MC)) and dose-to-water (D-w(AXB), Dw(MC)), respectively. Multilayer slab heterogeneous phantoms made of lung, bone and polytetrafluoroethylene (PTFE) were investigated and measurements were carried out using radiochromic films. These latter were then compared to D-w(AXB), D-w(MC) and to D-w which would be obtained according to the conversion methods proposed by Andreo and Reynaert et al D-m(AXB) agreed with D-m(MC) for all cases (+/- 1%). In lung, all D-w calculations and film measurements were in agreement. By contrast, D-w(AXB) and D-w(MC) differed notably in bone (4.5%) and PTFE (3.5%), and both algorithms overestimated film measurements. These findings demonstrate that the conversion method is different between AXB and MC. Furthermore, films were not able to give dose in a small volume of water according to the definition of D-w(AXB) and D-w(MC). Applying either the fluence correction factor suggested by Andreo or the mass energy absorption ratios proposed by Reynaert et al, resulted in a good agreement (&lt;1%) with film measurements. According to the method used for the conversion, different D-w could be obtained which might lead to several issues in clinical context.</t>
  </si>
  <si>
    <t>[Delbaere, Alexia; Younes, Tony; Vieillevigne, Laure] Inst Univ Canc Toulouse, Dept Med Phys, Inst Claudius Regaud, F-31059 Toulouse, France; [Younes, Tony; Vieillevigne, Laure] Univ Toulouse 3, Ctr Rech &amp; Cancerol Toulouse, UMR1037, INSERM,ERL5294,CNRS,Oncopole, F-31037 Toulouse, France</t>
  </si>
  <si>
    <t>UNICANCER; Institut Claudius Regaud; Centre National de la Recherche Scientifique (CNRS); CNRS - National Institute for Biology (INSB); Institut National de la Sante et de la Recherche Medicale (Inserm); Universite de Toulouse; Universite Toulouse III - Paul Sabatier</t>
  </si>
  <si>
    <t>Vieillevigne, L (通訊作者)， Inst Univ Canc Toulouse, Dept Med Phys, Inst Claudius Regaud, F-31059 Toulouse, France.;Vieillevigne, L (通訊作者)， Univ Toulouse 3, Ctr Rech &amp; Cancerol Toulouse, UMR1037, INSERM,ERL5294,CNRS,Oncopole, F-31037 Toulouse, France.</t>
  </si>
  <si>
    <t>vieillevigne.laure@iuct-oncopole.fr</t>
  </si>
  <si>
    <t>VIEILLEVIGNE, LAURE/P-3692-2014</t>
  </si>
  <si>
    <t>VIEILLEVIGNE, LAURE/0000-0003-0680-7430; Delbaere, Alexia/0000-0002-2118-086X</t>
  </si>
  <si>
    <t>10.1088/1361-6560/ab3df3</t>
  </si>
  <si>
    <t>WOS:000505954900003</t>
  </si>
  <si>
    <t>Dursun, P; Taskin, ZC; Altinel, IK; Bilge, H; Kesen, ND; Okutan, M; Oral, EN</t>
  </si>
  <si>
    <t>Dursun, Pinar; Taskin, Z. Caner; Altinel, I. Kuban; Bilge, Hatice; Kesen, Nazmiye Donmez; Okutan, Murat; Oral, Ethem Nezih</t>
  </si>
  <si>
    <t>A column generation heuristic for VMAT planning with adaptive CVaR constraints</t>
  </si>
  <si>
    <t>VMAT; column generation; constant gantry speed; shortest path problem; prostate cancer; real clinical data sets</t>
  </si>
  <si>
    <t>VOLUMETRIC-MODULATED ARC; LINEAR-PROGRAMMING APPROACH; THERAPY; OPTIMIZATION; DELIVERY; RADIOTHERAPY; MODEL; IMRT; TIME</t>
  </si>
  <si>
    <t>In this study we develop an efficient computational procedure that generates medically acceptable treatment plans for volumetric modulated arc therapy with constant gantry speed. Our proposed method is a column generation heuristic based on a mixed integer linear programming model, where the objective function contains minimization of total monitor unit of the treatment plan and dose-volume requirements are included as conditional value-at-risk constraints. Our heuristic generates a full treatment arc for the restricted master problem and calibrates the right hand side parameters of the conditional value-at-risk constraints in the first phase. In the second phase, this initial solution is improved by performing column generation. This is a fully automated procedure and produces treatment plans in a single call without any human intervention. We evaluate its performance on real prostate cancer data by comparing the quality of the generated plans with those obtained by a widely used commercial treatment planning system. Our analysis shows that the results are promising, and the generated plans satisfy the prescription restrictions and require 22% fewer monitor units on average compared to the ones obtained using Eclipse.</t>
  </si>
  <si>
    <t>[Dursun, Pinar; Taskin, Z. Caner; Altinel, I. Kuban] Bogazici Univ, Dept Ind Engn, TR-34342 Istanbul, Turkey; [Bilge, Hatice; Kesen, Nazmiye Donmez; Okutan, Murat; Oral, Ethem Nezih] Istanbul Univ, Inst Oncol, TR-34093 Istanbul, Turkey</t>
  </si>
  <si>
    <t>Bogazici University; Istanbul University</t>
  </si>
  <si>
    <t>Taskin, ZC (通訊作者)， Bogazici Univ, Dept Ind Engn, TR-34342 Istanbul, Turkey.</t>
  </si>
  <si>
    <t>pinar.dursun@boun.edu.tr; caner.taskin@boun.edu.tr; altinel@boun.edu.tr; hbilge@istanbul.edu.tr; nazmiye.kesen@istanbul.edu.tr; mokutan@istanbul.edu.tr; enoral@istanbul.edu.tr</t>
  </si>
  <si>
    <t>Oral, Ethem/AAE-2018-2020; Becerir, Hatice/AAB-9793-2020; Altinel, I./AAQ-3894-2020; Okutan, Murat/AAC-1600-2020; Taskin, Z./Q-2637-2015; Kesen, Nazmiye/E-2876-2019</t>
  </si>
  <si>
    <t>OKUTAN, MURAT/0000-0002-2276-631X</t>
  </si>
  <si>
    <t>Bogazici University Research Fund [11520-16A03D1]; Turkish Directorate of Strategy and Budget under the TAM Project [DPT2007K120610]</t>
  </si>
  <si>
    <t>Bogazici University Research Fund(Bogazici University); Turkish Directorate of Strategy and Budget under the TAM Project</t>
  </si>
  <si>
    <t>This research has been partially supported by the Bogazici University Research Fund with Grant No. 11520-16A03D1 and by the Turkish Directorate of Strategy and Budget under the TAM Project number DPT2007K120610.</t>
  </si>
  <si>
    <t>10.1088/1361-6560/ab416e</t>
  </si>
  <si>
    <t>WOS:000500247900024</t>
  </si>
  <si>
    <t>Mirzapour, SA; Mazur, T; Sharp, G; Salari, E</t>
  </si>
  <si>
    <t>Mirzapour, Seyed Ali; Mazur, Thomas; Sharp, Gregory; Salari, Ehsan</t>
  </si>
  <si>
    <t>Intra-fraction motion prediction in MRI-guided radiation therapy using Markov processes</t>
  </si>
  <si>
    <t>intra-fraction motion; motion predictive model; Markov processes; MRI-guided radiotherapy</t>
  </si>
  <si>
    <t>RESPIRATORY TUMOR MOTION; PROOF-OF-CONCEPT; NEURAL-NETWORK; TRACKING; MODEL; COMPENSATION</t>
  </si>
  <si>
    <t>Internal organ motion during radiation delivery may lead to underdosing of cancer cells or overdosing of normal tissue, potentially causing treatment failure or normal-tissue toxicity. Organ motion is of particular concern in the treatment of lung and abdominal cancers, where breathing induces large tumor displacement and organ deformation. A new generation of radiotherapy devices is equipped with on-board MRI scanners to acquire a real-time movie of the patient's anatomy during radiation delivery. The goal of this research is to develop, calibrate, and test motion predictive models that employ real-time MRI images to provide the short-term trajectory of respiration-induced anatomical motion during radiation delivery. A semi-Markov model predicts transitions between the phases of a respiratory cycle, and a Markov model predicts transitions to future respiratory cycles, leading to accurate motion forecasting over longer-term horizons. The intended application for this work is real-time tracking and re-optimization of intensity-modulated radiation delivery.</t>
  </si>
  <si>
    <t>[Mirzapour, Seyed Ali; Salari, Ehsan] Wichita State Univ, Dept Ind Syst &amp; Mfg Engn, Wichita, KS 67260 USA; [Mazur, Thomas] Washington Univ, Dept Radiat Oncol, St Louis, MO 63110 USA; [Sharp, Gregory] Massachusetts Gen Hosp, Dept Radiat Oncol, Boston, MA 02114 USA</t>
  </si>
  <si>
    <t>Wichita State University; Washington University (WUSTL); Harvard University; Harvard University Medical Affiliates; Massachusetts General Hospital</t>
  </si>
  <si>
    <t>Salari, E (通訊作者)， Wichita State Univ, Dept Ind Syst &amp; Mfg Engn, Wichita, KS 67260 USA.</t>
  </si>
  <si>
    <t>ehsan.salari@wichita.edu</t>
  </si>
  <si>
    <t>National Science Foundation [1662819]; Div Of Civil, Mechanical, &amp; Manufact Inn; Directorate For Engineering [1662819] Funding Source: National Science Foundation</t>
  </si>
  <si>
    <t>National Science Foundation(National Science Foundation (NSF)); Div Of Civil, Mechanical, &amp; Manufact Inn; Directorate For Engineering(National Science Foundation (NSF)NSF - Directorate for Engineering (ENG))</t>
  </si>
  <si>
    <t>This research was funded in part by the National Science Foundation through Award #1662819.</t>
  </si>
  <si>
    <t>10.1088/1361-6560/ab37a9</t>
  </si>
  <si>
    <t>WOS:000487555100006</t>
  </si>
  <si>
    <t>Bula, C; Belosi, MF; Eichin, M; Hrbacek, J; Meer, D</t>
  </si>
  <si>
    <t>Bula, C.; Belosi, M. F.; Eichin, M.; Hrbacek, J.; Meer, D.</t>
  </si>
  <si>
    <t>Dynamic beam current control for improved dose accuracy in PBS proton therapy</t>
  </si>
  <si>
    <t>proton therapy; pencil beam scanning; delivery system; minimum MU constraint; dose accuracy; dynamic current control; cyclotron</t>
  </si>
  <si>
    <t>INTENSITY MODULATION; LOG FILES; OPTIMIZATION; FACILITY; QUALITY</t>
  </si>
  <si>
    <t>The step-and-shoot method of pencil beam scanning delivers the dose on a 3D grid in the target volume, with one dimension defined by the proton energy. While the dose per pencil beam may vary substantially within an iso-energy layer, the beam current typically remains constant. In this static operation mode, the inherent latency of the beam switch-off mechanism results in a lower limit for the deliverable spot dose, which may prevent the application of some of the low-weighted spots prescribed by the treatment planning system. To overcome this limitation, we introduced dynamic beam current control at the PSI Gantry 2, an innovative new approach successfully commissioned and in clinical operation since fall 2017. The control system was enhanced with a direct link to the vertical deflector located at the centre of the cyclotron. This connection allows much faster beam current changes (similar to 0.1 ms) and hence opens up the possibility of dynamically reducing the current for individual low-dose spots. We demonstrate that with this new dynamic operation mode, all spots are delivered as planned without compromising treatment time. We show by two independent and complementary methods that the delivered dose distribution is improved.</t>
  </si>
  <si>
    <t>[Bula, C.; Belosi, M. F.; Eichin, M.; Hrbacek, J.; Meer, D.] Paul Scherrer Inst, Ctr Proton Therapy, CH-5232 Villigen, Switzerland</t>
  </si>
  <si>
    <t>Bula, C (通訊作者)， Paul Scherrer Inst, Ctr Proton Therapy, CH-5232 Villigen, Switzerland.</t>
  </si>
  <si>
    <t>christian.bula@psi.ch</t>
  </si>
  <si>
    <t>Hrbacek, Jan/0009-0001-3854-4594</t>
  </si>
  <si>
    <t>10.1088/1361-6560/ab3317</t>
  </si>
  <si>
    <t>WOS:000483095200003</t>
  </si>
  <si>
    <t>Zijlema, SE; Tijssen, RHN; Malkov, VN; van Dijk, L; Hackett, SL; Kok, AGM; Lagendijk, JJW; van den Bergh, CAT</t>
  </si>
  <si>
    <t>Zijlema, Stefan E.; Tijssen, Rob H. N.; Malkov, Victor N.; van Dijk, Luca; Hackett, Sara L.; Kok, An G. M.; Lagendijk, Jan J. W.; van den Bergh, Cornelis A. T.</t>
  </si>
  <si>
    <t>Design and feasibility of a flexible, on-body, high impedance coil receive array for a 1.5 T MR-linac</t>
  </si>
  <si>
    <t>MR-linac; radiolucent; low attenuation; high impedance coil; receive array; MRI-guided radiotherapy</t>
  </si>
  <si>
    <t>RF COIL</t>
  </si>
  <si>
    <t>The lack of radiation-attenuating tuning capacitors in high impedance coils (HICs) make HICs an interesting building block of receive arrays for MRI-guided radiotherapy (MRIgRT). Additionally, their flexibility and limited channel coupling allow for low-density support materials, which are likely to be more radiation transparent (radiolucent). In this work, we introduce the use of HICs in receive arrays for MRIgRT treatments. We discuss the design and show the dosimetric feasibility of a HIC receive array that has a high channel count and aims to improve the imaging performance of the 1.5 T MR-linac. Our on-body design comprises an anterior and posterior element, which each feature a 2 x 8 channel layout (32 channels total). The anterior element is flexible, while the posterior element is rigid to support the patient. Mockups consisting of support materials and conductors were built, irradiated, and optimized to minimize impact on the surface dose (7% of the dose maximum) and dose at depth (&lt;= 0.8% under a single conductor and &lt;= 1.4% under a conductor crossing). Anatomical motion and the use of multiple beam angles will ensure that these slight dose changes at depth are clinically insignificant. Subsequently, several functional, single-channel HIC imaging prototypes and a 5-channel array were built to assess the performance in terms of signal-to-noise ratio (SNR). The performance was compared to the clinical MR-linac array and showed that the 5-channel imaging prototype outperformed the clinical array in terms of SNR and channel coupling. Imaging performance was not affected by the radiation beam. In conclusion, the use of HICs allowed for the design of our flexible, on-body receive array for MRIgRT. The design was shown to be dosimetrically feasible and improved the SNR. Future research with a full array will need to show the gain in parallel imaging performance and thus acceleration.</t>
  </si>
  <si>
    <t>[Zijlema, Stefan E.; Tijssen, Rob H. N.; Malkov, Victor N.; van Dijk, Luca; Hackett, Sara L.; Kok, An G. M.; Lagendijk, Jan J. W.; van den Bergh, Cornelis A. T.] Univ Med Ctr Utrecht, Dept Radiotherapy, Utrecht, Netherlands; [Zijlema, Stefan E.; van den Bergh, Cornelis A. T.] Univ Med Ctr Utrecht, Ctr Image Sci, Computat Imaging Grp MR Diagnost &amp; Therapy, Utrecht, Netherlands</t>
  </si>
  <si>
    <t>Zijlema, SE (通訊作者)， Univ Med Ctr Utrecht, Dept Radiotherapy, Utrecht, Netherlands.;Zijlema, SE (通訊作者)， Univ Med Ctr Utrecht, Ctr Image Sci, Computat Imaging Grp MR Diagnost &amp; Therapy, Utrecht, Netherlands.</t>
  </si>
  <si>
    <t>s.e.zijlema@umcutrecht.nl</t>
  </si>
  <si>
    <t>; Malkov, Victor/AAE-2820-2020</t>
  </si>
  <si>
    <t>Zijlema, Stefan/0000-0001-6541-1239; Tijssen, Rob/0000-0003-1355-7150; Hackett, Sara/0000-0002-4987-3991;</t>
  </si>
  <si>
    <t>This work is part of the research program HTSM with project number 15354, which is financed by the Netherlands Organization for Scientific Research (NWO). We thank Andre Wopereis for his help with the EPID measurements. We also extend thanks to David W O Rogers and the Carleton Laboratory for Radiotherapy Physics for granting the use of the Carleton Physics Department CPU computing cluster.</t>
  </si>
  <si>
    <t>10.1088/1361-6560/ab37a8</t>
  </si>
  <si>
    <t>WOS:000485720400004</t>
  </si>
  <si>
    <t>Wang, HYC; Donovan, EM; Nisbet, A; South, CP; Alobaidli, S; Ezhil, V; Phillips, I; Prakash, V; Ferreira, M; Webster, P; Evans, PM</t>
  </si>
  <si>
    <t>Wang, H. Y. C.; Donovan, E. M.; Nisbet, A.; South, C. P.; Alobaidli, S.; Ezhil, V; Phillips, I; Prakash, V; Ferreira, M.; Webster, P.; Evans, P. M.</t>
  </si>
  <si>
    <t>The stability of imaging biomarkers in radiomics: a framework for evaluation</t>
  </si>
  <si>
    <t>radiomics; lung cancer; CT imaging; texture analysis</t>
  </si>
  <si>
    <t>CELL LUNG-CANCER; FDG-PET RADIOMICS; TEXTURE FEATURES; RECONSTRUCTION; IMAGES; REPRODUCIBILITY; DISCRETIZATION; HETEROGENEITY; REPEATABILITY; VARIABILITY</t>
  </si>
  <si>
    <t>This paper studies the sensitivity of a range of image texture parameters used in radiomics to: (i) the number of intensity levels, (ii) the method of quantisation to select the intensity levels and (iii) the use of an intensity threshold. 43 commonly used texture features were studied for the gross target volume outlined on the CT component of PET/CT scans of 50 patients with non-small cell lung carcinoma (NSCLC). All cases were quantised for all values between 4 and 128 intensity levels using four commonly used quantisation methods. All results were analysed with and without a threshold range of -200 HU to 300 HU. Cases were ranked for each texture feature and for all quantisation methods with the Spearman's rank correlation coefficient determined to evaluate stability. Results showed large fluctuations in ranking, particularly for low numbers of levels, differences between quantisation methods and with the use of a threshold, with values Spearman's Rank Correlation for many parameters below 0.2. Our results demonstrated the sensitivity of radiomics features to the parameters used during analysis and highlight the risk of low reproducibility comparing studies with slightly different parameters. In terms of the lung cancer CT datasets, this study supports the use of 128 intensity levels, the same uniform quantiser applied to all scans and thresholding of the data. It also supports several of the features recommended in the literature for such studies such as skewness and kurtosis. A recommended framework is presented for curation of the data analysis process to ensure stability of results.</t>
  </si>
  <si>
    <t>[Wang, H. Y. C.; Donovan, E. M.; Alobaidli, S.; Evans, P. M.] Univ Surrey, Ctr Vis Speech &amp; Signal Proc, Guildford GU2 7XH, Surrey, England; [Nisbet, A.; South, C. P.] Royal Surrey Cty Hosp NHS Fdn Trust, Dept Med Phys, Guildford GU2 7XX, Surrey, England; [Nisbet, A.; Evans, P. M.] Natl Phys Lab, Teddington TW11 0LW, Middx, England; [Alobaidli, S.] Kuwait Canc Control Ctr, Radiotherapy Phys, Kuwait, Kuwait; [Ezhil, V; Phillips, I; Prakash, V] Royal Surrey Cty Hosp NHS Fdn Trust, Dept Oncol, Guildford GU2 7XX, Surrey, England; [Ferreira, M.; Webster, P.] Alliance Med Grp, London SW1Y 6DN, England</t>
  </si>
  <si>
    <t>University of Surrey; Royal Surrey County Hospital; National Physical Laboratory - UK; Royal Surrey County Hospital</t>
  </si>
  <si>
    <t>Wang, HYC (通訊作者)， Univ Surrey, Ctr Vis Speech &amp; Signal Proc, Guildford GU2 7XH, Surrey, England.</t>
  </si>
  <si>
    <t>h.y.wang@surrey.ac.uk</t>
  </si>
  <si>
    <t>Alobaidli, Sheaka/AAM-8177-2021; Nisbet, Andrew/AAK-9799-2021; Nisbet, Andrew/A-9651-2013; phillips, iain/AAR-9182-2020; Evans, Philip/A-6257-2009</t>
  </si>
  <si>
    <t>Nisbet, Andrew/0000-0002-0652-808X; Evans, Philip/0000-0002-8102-6581</t>
  </si>
  <si>
    <t>Alliance Medical Limited</t>
  </si>
  <si>
    <t>HYC Wang acknowledges PhD funding from Alliance Medical Limited.</t>
  </si>
  <si>
    <t>10.1088/1361-6560/ab23a7</t>
  </si>
  <si>
    <t>WOS:000482525700003</t>
  </si>
  <si>
    <t>Alexander, DA; Tendler, II; Bruza, P; Cao, X; Schaner, PE; Marshall, BS; Jarvis, LA; Gladstone, DJ; Pogue, BW</t>
  </si>
  <si>
    <t>Alexander, Daniel A.; Tendler, Irwin I.; Bruza, Petr; Cao, Xu; Schaner, Philip E.; Marshall, Bethany S.; Jarvis, Lesley A.; Gladstone, David J.; Pogue, Brian W.</t>
  </si>
  <si>
    <t>Assessment of imaging Cherenkov and scintillation signals in head and neck radiotherapy</t>
  </si>
  <si>
    <t>surface dosimetry; cherenkov radiation; scintillator; head and neck radiotherapy; cherenkov imaging; adaptive radiotherapy</t>
  </si>
  <si>
    <t>RADIATION-THERAPY; VERIFICATION; INTENSITY; SURFACE</t>
  </si>
  <si>
    <t>The goal of this study was to test the utility of time-gated optical imaging of head and neck (HN) radiotherapy treatments to measure surface dosimetry in real-time and inform possible interfraction replanning decisions. The benefit of both Cherenkov and scintillator imaging in HN treatments is direct daily feedback on dose, with no change to the clinical workflow. Emission from treatment materials was characterized by measuring radioluminescence spectra during irradiation and comparing emission intensities relative to Cherenkov emission produced in phantoms and scintillation from small plastic targets. HN treatment plans were delivered to a phantom with bolus and mask present to measure impact on signal quality. Interfraction superficial tumor reduction was simulated on a HN phantom, and cumulative Cherenkov images were analyzed in the region of interest (ROI). HN human patient treatment was imaged through the mask and compared with the dose distribution calculated by the treatment planning system. The relative intensity of radioluminescence from the mask was found to be within 30% of the Cherenkov emission intensity from tissue-colored day. A strong linear relationship between normalized cumulative Cherenkov intensity and tumor size was established (R-2 = 0.98). The presence of a mask above a scintillator ROI was found to decrease mean pixel intensity by &gt;40% and increase distribution spread. Cherenkov imaging through mask material is shown to have potential for surface field verification and tracking of superficial anatomy changes between treatment fractions. Imaging of scintillating targets provides a direct imaging of surface dose on the patient and through transparent bolus material. The first imaging of a patient receiving HN radiotherapy was achieved with a signal map which qualitatively matches the surface dose plan.</t>
  </si>
  <si>
    <t>[Alexander, Daniel A.; Tendler, Irwin I.; Bruza, Petr; Cao, Xu; Gladstone, David J.; Pogue, Brian W.] Dartmouth Coll, Thayer Sch Engn, Hanover, NH 03755 USA; [Schaner, Philip E.; Jarvis, Lesley A.; Gladstone, David J.; Pogue, Brian W.] Dartmouth Coll, Geisel Sch Med, Hanover, NH 03755 USA; [Schaner, Philip E.; Marshall, Bethany S.; Jarvis, Lesley A.; Gladstone, David J.] Dartmouth Hitchcock Med Ctr, Norris Cotton Canc Ctr, Lebanon, NH 03766 USA</t>
  </si>
  <si>
    <t>Dartmouth College; Dartmouth College; Norris Cotton Cancer Center; Dartmouth College</t>
  </si>
  <si>
    <t>Alexander, DA (通訊作者)， Dartmouth Coll, Thayer Sch Engn, Hanover, NH 03755 USA.</t>
  </si>
  <si>
    <t>daniel.alexander.th@dartmouth.edu</t>
  </si>
  <si>
    <t>Bruza, Petr/P-5371-2016; Alexander, Daniel/AAJ-8554-2020; Pogue, Brian/AAD-8114-2020; Cao, Xu/M-9944-2013</t>
  </si>
  <si>
    <t>Bruza, Petr/0000-0002-6196-5872; Tendler, Irwin/0000-0001-7535-264X; Alexander, Daniel/0000-0003-3831-7479; Pogue, Brian/0000-0002-9887-670X; Gladstone, David/0000-0002-4086-0297;</t>
  </si>
  <si>
    <t>National Institutes of Health [R01EB023909, R44CA199681]</t>
  </si>
  <si>
    <t>The work completed in this project has been sponsored by National Institutes of Health research grants R01EB023909 and R44CA199681. The authors have confirmed that any identifiable participants in this study have given their consent for publication.</t>
  </si>
  <si>
    <t>10.1088/1361-6560/ab25a3</t>
  </si>
  <si>
    <t>WOS:000476529600005</t>
  </si>
  <si>
    <t>Koppert, WJC; Dietze, MMA; van der Velden, S; Steenbergen, HL; de Jong, HWAM</t>
  </si>
  <si>
    <t>Koppert, Wilco J. C.; Dietze, Martijn M. A.; van der Velden, Sandra; Steenbergen, H. Leo; de Jong, Hugo W. A. M.</t>
  </si>
  <si>
    <t>A comparative study of NaI(Tl), CeBr3, and CZT for use in a real-time simultaneous nuclear and fluoroscopic dual-layer detector</t>
  </si>
  <si>
    <t>real-time hybrid imaging; gamma camera; SPECT; PMT; NaI(Tl); CeBr3; CZT</t>
  </si>
  <si>
    <t>Simultaneous acquisition of nuclear and fluoroscopic projections could be of benefit for image-guided radionuclide administration. A gamma camera positioned behind an x-ray flat panel detector can accomplish such simultaneous acquisition, but the gamma camera performance suffers from the intense x-ray dose. A regular NaI(Tl)-based camera has nominal performance up to 0.02 nGy dose per pulse, whereas 10 nGy dose is expected for our foreseen applications. We evaluated the performance of CeBr3- and CZT-based detectors and investigated a cost-effective improvement of a regular NaI(Tl)-based camera by the introduction of a high-pass filter and shorting circuit. A CeBr3- based detector was exposed to 5 mGy x-ray dose and the resulting light emission was measured over time to quantify the crystal afterglow, allowing comparison with a previously measured NaI(Tl)-based detector. The NaI(Tl)-, CeBr3- and CZT-based detectors were exposed to x-ray pulse sequences with dose from 0.06 to 60 nGy, while being irradiated with a gamma source. The mean gamma energy and energy resolution in between the x-ray pulses were measured as a reference of the detector performance. The afterglow signal after 3 ms was 14.1% for the NaI(Tl)- based detector, whereas for the CeBr3-based detector it was only 0.1%. The limits for a proper functioning detectors are 0.32 nGy for the NaI(Tl)- based detector with high-pass filter and shorting circuit and 18.94 nGy for the one with CeBr3. No energy degradation was observed for the CZT module in the studied dose range. The performance of regular NaI(Tl)- based gamma cameras deteriorates when exposed to high x-ray doses. CeBr3 and CZT are much better suited for introduction into a dual-layer detector but have high associated costs. Addition of a high-pass filter and shorting circuit into the PMT of a NaI(Tl)-based detector is a cost-effective solution that works well for low dose levels.</t>
  </si>
  <si>
    <t>[Koppert, Wilco J. C.; Dietze, Martijn M. A.; van der Velden, Sandra; Steenbergen, H. Leo; de Jong, Hugo W. A. M.] Univ Utrecht, Radiol &amp; Nucl Med, POB 85500, NL-3508 GA Utrecht, Netherlands; [Koppert, Wilco J. C.; Dietze, Martijn M. A.; van der Velden, Sandra; Steenbergen, H. Leo; de Jong, Hugo W. A. M.] Univ Med Ctr Utrecht, POB 85500, NL-3508 GA Utrecht, Netherlands; [Dietze, Martijn M. A.; van der Velden, Sandra; de Jong, Hugo W. A. M.] Univ Utrecht, Image Sci Inst, POB 85500, NL-3508 GA Utrecht, Netherlands</t>
  </si>
  <si>
    <t>Dietze, MMA (通訊作者)， Univ Utrecht, Radiol &amp; Nucl Med, POB 85500, NL-3508 GA Utrecht, Netherlands.;Dietze, MMA (通訊作者)， Univ Med Ctr Utrecht, POB 85500, NL-3508 GA Utrecht, Netherlands.;Dietze, MMA (通訊作者)， Univ Utrecht, Image Sci Inst, POB 85500, NL-3508 GA Utrecht, Netherlands.</t>
  </si>
  <si>
    <t>Dietze, Martijn/P-6688-2019</t>
  </si>
  <si>
    <t>Netherlands Organization for Scientific Research (NWO) [12977]; European Research Council (ERC) under the European Union's Horizon 2020 research and innovation program [646734]</t>
  </si>
  <si>
    <t>Netherlands Organization for Scientific Research (NWO)(Netherlands Organization for Scientific Research (NWO)); European Research Council (ERC) under the European Union's Horizon 2020 research and innovation program(European Research Council (ERC))</t>
  </si>
  <si>
    <t>This work is part of the STW-VIDI research program with project number 12977, which is (partly) financed by the Netherlands Organization for Scientific Research (NWO). This project has received funding from the European Research Council (ERC) under the European Union's Horizon 2020 research and innovation program grant agreement No 646734.</t>
  </si>
  <si>
    <t>10.1088/1361-6560/ab267c</t>
  </si>
  <si>
    <t>WOS:000474298100004</t>
  </si>
  <si>
    <t>Nahum, U; Seppi, C; von Niederhäusern, PA; Pezold, S; Haerle, SK; Catlin, PC</t>
  </si>
  <si>
    <t>Nahum, Uri; Seppi, Carlo; von Niederhausern, Peter A.; Pezold, Simon; Haerle, Stephan K.; Catlin, Philippe C.</t>
  </si>
  <si>
    <t>Sentinel lymph node fingerprinting</t>
  </si>
  <si>
    <t>sentinel lymph node detection; fingerprinting; 3D reconstruction; freehand SPECT; multi pinhole collimator; optimal design; optimal control</t>
  </si>
  <si>
    <t>HIGH-RESOLUTION; GAMMA-CAMERA; HEAD; CARCINOMA; INJECTION</t>
  </si>
  <si>
    <t>Background. When locating the sentinel lymph node (SLN), surgeons use state-of-the-art imaging devices, such as a 1D gamma probe or less widely spread a 2D gamma camera. These devices project the 3D subspace onto a 1D respectively 2D space, hence loosing accuracy and the depth of the SLN which is very important, especially in the head and neck area with many critical structures in close vicinity. Recent methods which use a multi-pinhole collimator and a single gamma detector image try to gain a depth estimation of the SLN. The low intensity of the sources together with the computational cost of the optimization process make the reconstruction in real-time, however, very challenging. Results. In this paper, we use an optimal design approach to improve the classical pinhole design, resulting in a non-symmetric distribution of the pinholes of the collimator. This new design shows a great improvement of the accuracy when reconstructing the position and depth of the radioactive tracer. Then, we introduce our Sentinel lymph node fingerprinting (SLNF) algorithm, inspired by MR-fingerprinting, for fast and accurate reconstruction of the tracer distribution in 3D space using a single gamma detector image. As a further advantage, the method requires no pre-processing, i.e. filtering of the detector image. The method is very stable in its performance even for low exposure times. In our ex vivo experiments, we successfully located multiple Technetium 99m (Tc-99m) sources with an exposure time of only one second and still, with a very small L-2-error. Conclusion. These promising results under short exposure time are very encouraging for SLN biopsy. Although, this device has not been tested on patients yet, we believe: that this approach will give the surgeon accurate 3D positions of the SLN and hence, can potentially reduce the trauma for the patient.</t>
  </si>
  <si>
    <t>[Nahum, Uri; Seppi, Carlo; von Niederhausern, Peter A.; Pezold, Simon; Catlin, Philippe C.] Univ Basel, Dept Biomed Engn CIAN, Allschwil, Switzerland; [Haerle, Stephan K.] Hirslanden Clin St Anna, Head &amp; Neck Surg Oncol, Luzern, Switzerland</t>
  </si>
  <si>
    <t>University of Basel</t>
  </si>
  <si>
    <t>Nahum, U (通訊作者)， Univ Basel, Dept Biomed Engn CIAN, Allschwil, Switzerland.</t>
  </si>
  <si>
    <t>uri.nahum@unibas.ch</t>
  </si>
  <si>
    <t>; Cattin, Philippe/B-1301-2009; Seppi, Carlo/AAA-3010-2021</t>
  </si>
  <si>
    <t>Seppi, Carlo/0000-0002-5906-3546; Pezold, Simon/0000-0002-4998-8983; Cattin, Philippe C./0000-0001-8785-2713; von Niederhausern, Peter Alfred/0000-0002-3878-5611</t>
  </si>
  <si>
    <t>10.1088/1361-6560/ab177d</t>
  </si>
  <si>
    <t>WOS:000470808600003</t>
  </si>
  <si>
    <t>Yang, H; Wang, DK; Shan, TQ; Dai, XJ; Xie, HK; Yang, L; Jiang, HB</t>
  </si>
  <si>
    <t>Yang, Hao; Wang, Dingkang; Shan, Tianqi; Dai, Xianjin; Xie, Huikai; Yang, Lily; Jiang, Huabei</t>
  </si>
  <si>
    <t>Miniature fluorescence molecular tomography (FMT) endoscope based on a MEMS scanning mirror and an optical fiberscope</t>
  </si>
  <si>
    <t>fluorescence molecular tomography; endoscope; MEMS mirror; optical fiberscope</t>
  </si>
  <si>
    <t>QUANTITATIVE FLUORESCENCE; PHOTOACOUSTIC TOMOGRAPHY; COHERENCE TOMOGRAPHY; PROBE; CANCER</t>
  </si>
  <si>
    <t>We present a novel FMT endoscope by using a MEMS scanning mirror and an optical fiberscope. The diameter of this highly miniaturized FMT device is only 5 mm. To our knowledge, this is the smallest FMT device we found so far. Several phantom experiments based on indocyanine green (ICG) were conducted to demonstrate the imaging ability of this device. Two tumor-bearing mice were systematically injected with tumor-targeted NIR fluorescent probes (ATF-PEG-IO-830) and were then imaged to further demonstrate the ability of this FMT endoscope for imaging small animals.</t>
  </si>
  <si>
    <t>[Yang, Hao; Jiang, Huabei] Univ S Florida, Dept Med Engn, Tampa, FL 33620 USA; [Wang, Dingkang; Xie, Huikai] Univ Florida, Dept Elect &amp; Comp Engn, Gainesville, FL USA; [Shan, Tianqi; Dai, Xianjin] Univ Florida, Dept Biomed Engn, Gainesville, FL USA; [Yang, Lily] Emory Univ, Dept Surg, Atlanta, GA 30322 USA</t>
  </si>
  <si>
    <t>State University System of Florida; University of South Florida; State University System of Florida; University of Florida; State University System of Florida; University of Florida; Emory University</t>
  </si>
  <si>
    <t>Yang, H (通訊作者)， Univ S Florida, Dept Med Engn, Tampa, FL 33620 USA.</t>
  </si>
  <si>
    <t>haoyang@usf.edu</t>
  </si>
  <si>
    <t>; Shan, Tianqi/N-5560-2018; Xie, Huikai/I-4614-2019; Wang, Dingkang/AAO-4274-2020</t>
  </si>
  <si>
    <t>Dai, Xianjin/0000-0002-4629-1996; yang, hao/0000-0001-8027-2409; Shan, Tianqi/0000-0003-2297-1636;</t>
  </si>
  <si>
    <t>National Institutes of Health (NIH) [R01 EB020601]</t>
  </si>
  <si>
    <t>National Institutes of Health (NIH)(United States Department of Health &amp; Human ServicesNational Institutes of Health (NIH) - USA)</t>
  </si>
  <si>
    <t>This study is funded by National Institutes of Health (NIH) research project grant program (R01 EB020601)</t>
  </si>
  <si>
    <t>10.1088/1361-6560/ab23b3</t>
  </si>
  <si>
    <t>WOS:000518929400005</t>
  </si>
  <si>
    <t>Lv, Y; Lv, XY; Liu, WP; Judenhofer, MS; Zwingenberger, A; Wisner, E; Berg, E; McKenney, S; Leung, E; Spencer, BA; Cherry, SR; Badawi, RD</t>
  </si>
  <si>
    <t>Lv, Yang; Lv, Xinyu; Liu, Weiping; Judenhofer, Martin S.; Zwingenberger, Allison; Wisner, Erik; Berg, Eric; McKenney, Sarah; Leung, Edwin; Spencer, Benjamin A.; Cherry, Simon R.; Badawi, Ramsey D.</t>
  </si>
  <si>
    <t>Mini EXPLORER II: a prototype high-sensitivity PET/CT scanner for companion animal whole body and human brain scanning</t>
  </si>
  <si>
    <t>total-body PET; PET/CT; companion animal imaging; EXPLORER; brain PET</t>
  </si>
  <si>
    <t>AXIAL-FIELD; SYSTEM; FEASIBILITY</t>
  </si>
  <si>
    <t>As part of the EXPLORER total-body positron emission tomography (PET) project, we have designed and built a high-resolution, high-sensitivity PET/CT scanner, which is expected to have excellent performance for companion animal whole body and human brain imaging. The PET component has a ring diameter of 52 cm and an axial field of view of 48.3 cm. The detector modules are composed of arrays of lutetium (yttrium) oxyorthosilicate (LYSO) crystals of dimensions 2.76 x 2.76 x 18.1 mm(3) coupled to silicon photomultipliers (SiPMs) for read-out. The CT component is a 24 detector row CT scanner with a 50 kW x-ray tube. PET system time-of-flight resolution was measured to be 409 +/- 39 ps and average system energy resolution was 11.7% +/- 1.5% at 511 keV. The NEMA NU2-2012 system sensitivity was found to be 52-54 kcps MBq(-1). Spatial resolution was 2.6 mm at 10 mm from the center of the FOV and 2.0 mm rods were clearly resolved on a mini-Derenzo phantom. Peak noise-equivalent count (NEC) rate, using the NEMA NU 2-2012 phantom, was measured to be 314 kcps at 9.2 kBq cc(-1). The CT scanner passed the technical components of the American College of Radiology (ACR) accreditation tests. We have also performed scans of a Hoffman brain phantom and we show images from the first canine patient imaged on this device.</t>
  </si>
  <si>
    <t>[Lv, Yang; Lv, Xinyu; Liu, Weiping] Shanghai United Imaging Healthcare Co Ltd, Mol Imaging Business Unit, Shanghai, Peoples R China; [Judenhofer, Martin S.; McKenney, Sarah; Spencer, Benjamin A.; Cherry, Simon R.; Badawi, Ramsey D.] Univ Calif Davis, Sch Med, Dept Radiol, Davis, CA 95616 USA; [Judenhofer, Martin S.; Berg, Eric; Leung, Edwin; Spencer, Benjamin A.; Cherry, Simon R.; Badawi, Ramsey D.] Univ Calif Davis, Sch Engn, Dept Biomed Engn, Davis, CA 95616 USA; [Zwingenberger, Allison; Wisner, Erik] Univ Calif Davis, Dept Surg &amp; Radiol Sci, Sch Vet Med, Davis, CA 95616 USA</t>
  </si>
  <si>
    <t>University of California System; University of California Davis; University of California System; University of California Davis; University of California System; University of California Davis</t>
  </si>
  <si>
    <t>Badawi, RD (通訊作者)， Univ Calif Davis, Sch Med, Dept Radiol, Davis, CA 95616 USA.;Badawi, RD (通訊作者)， Univ Calif Davis, Sch Engn, Dept Biomed Engn, Davis, CA 95616 USA.</t>
  </si>
  <si>
    <t>rdbadawi@ucdavis.edu</t>
  </si>
  <si>
    <t>; Judenhofer, Martin/C-5274-2011; Lv, Xinyu/NOF-7242-2025; Liu, Weiping/T-7052-2017; Zwingenberger, Allison/AFO-6170-2022; Lv, Yang/ABC-7959-2020; Cherry, Simon/IAN-7507-2023</t>
  </si>
  <si>
    <t>/0000-0002-8982-2558; McKenney, Sarah/0000-0003-3109-0208; Lyu (Lv), Yang/0000-0001-6888-4824; Badawi, Ramsey/0000-0002-9769-0292</t>
  </si>
  <si>
    <t>NIH [R01CA206187]</t>
  </si>
  <si>
    <t>This work was supported in part by NIH Grant R01CA206187. We would like to thank the Center for Imaging Sciences at the School of Veterinary Medicine of UC Davis for technical support. The author's have confirmed that any identifiable participants in this study have given their consent for publication.</t>
  </si>
  <si>
    <t>10.1088/1361-6560/aafc6c</t>
  </si>
  <si>
    <t>WOS:000462050200004</t>
  </si>
  <si>
    <t>Bendinger, AL; Debus, C; Glowa, C; Karger, CP; Peter, J; Storath, M</t>
  </si>
  <si>
    <t>Bendinger, Alina L.; Debus, Charlotte; Glowa, Christin; Karger, Christian P.; Peter, Joerg; Storath, Martin</t>
  </si>
  <si>
    <t>Bolus arrival time estimation in dynamic contrast-enhanced magnetic resonance imaging of small animals based on spline models</t>
  </si>
  <si>
    <t>DCE-MRI; bolus arrival time; small animal data; splines; automatic parameter estimation</t>
  </si>
  <si>
    <t>ARTERIAL INPUT FUNCTION; MRI; PERFUSION</t>
  </si>
  <si>
    <t>Dynamic contrast-enhanced magnetic resonance imaging (DCE-MRI) is used to quantify perfusion and vascular permeability. In most cases a bolus arrival time (BAT) delay exists between the arterial input function (AIF) and the contrast agent arrival in the tissue of interest which needs to be estimated. Existing methods for BAT estimation are tailored to tissue concentration curves, which have a fast upslope to the peak as frequently observed in patient data. However, they may give poor results for curves that do not have this characteristic shape such as tissue concentration curves of small animals. In this paper, we propose a method for BAT estimation of signals that do not have a fast upslope to their peak. The model is based on splines which are able to adapt to a large variety of concentration curves. Furthermore, the method estimates BATs on a continuous time scale. All relevant model parameters are automatically determined by generalized cross validation. We use simulated concentration curves of small animal and patient settings to assess the accuracy and robustness of our approach. The proposed method outperforms a state-of-the-art method for small animal data and it gives competitive results for patient data. Finally, it is tested on in vivo acquired rat data where accuracy of BAT estimation was also improved upon the state-of-the-art method. The results indicate that the proposed method is suitable for accurate BAT estimation of DCE-MRI data, especially for small animals.</t>
  </si>
  <si>
    <t>[Bendinger, Alina L.; Peter, Joerg] German Canc Res Ctr, Dept Med Phys Radiol, Heidelberg, Germany; [Bendinger, Alina L.] Heidelberg Univ, Fac Biosci, Heidelberg, Germany; [Debus, Charlotte] German Canc Res Ctr, Natl Ctr Tumor Dis NCT, Dept Translat Radiat Oncol, Heidelberg, Germany; [Glowa, Christin; Karger, Christian P.] German Canc Res Ctr, Dept Med Phys Radiat Oncol, Heidelberg, Germany; [Debus, Charlotte; Glowa, Christin] Univ Hosp Heidelberg, Dept Radiat Oncol &amp; Radiotherapy, Heidelberg, Germany; [Debus, Charlotte; Glowa, Christin; Karger, Christian P.] HIRO, Heidelberg, Germany; [Debus, Charlotte; Glowa, Christin; Karger, Christian P.] Natl Ctr Radiat Res Oncol NCRO, Heidelberg, Germany; [Storath, Martin] Heidelberg Univ, Interdisciplinary Ctr Sci Comp, Image Anal &amp; Learning Grp, Heidelberg, Germany; [Storath, Martin] Univ Appl Sci Wurzburg Schweinfurt, Fac Appl Nat Sci &amp; Humanities, Wurzburg, Germany</t>
  </si>
  <si>
    <t>Helmholtz Association; German Cancer Research Center (DKFZ); Ruprecht Karls University Heidelberg; Helmholtz Association; German Cancer Research Center (DKFZ); Ruprecht Karls University Heidelberg; National Center for Tumor Diseases; Helmholtz Association; German Cancer Research Center (DKFZ); Ruprecht Karls University Heidelberg; Ruprecht Karls University Heidelberg</t>
  </si>
  <si>
    <t>Bendinger, AL (通訊作者)， German Canc Res Ctr, Dept Med Phys Radiol, Heidelberg, Germany.;Bendinger, AL (通訊作者)， Heidelberg Univ, Fac Biosci, Heidelberg, Germany.</t>
  </si>
  <si>
    <t>a.bendinger@dkfz-heidelberg.de</t>
  </si>
  <si>
    <t>Debus, Charlotte/AGS-3693-2022; Storath, Martin/F-5725-2015</t>
  </si>
  <si>
    <t>Storath, Martin/0000-0003-1427-0776; Debus, Charlotte/0000-0002-7156-2022</t>
  </si>
  <si>
    <t>German Research Foundation [DFG STO1126/2-1, GL893/1-1, KA2679/3-1, KFO 214]</t>
  </si>
  <si>
    <t>German Research Foundation(German Research Foundation (DFG))</t>
  </si>
  <si>
    <t>This work was supported by the German Research Foundation (DFG STO1126/2-1, GL893/1-1, KA2679/3-1, and KFO 214).</t>
  </si>
  <si>
    <t>10.1088/1361-6560/aafce7</t>
  </si>
  <si>
    <t>WOS:000457845700003</t>
  </si>
  <si>
    <t>Park, H; Choi, HJ; Min, CH; Kim, JI</t>
  </si>
  <si>
    <t>Park, Hyojun; Choi, Hyun-Joon; Min, Chul Hee; Kim, Jung-in</t>
  </si>
  <si>
    <t>Monte Carlo simulation of a 2D dynamic multileaf collimator to improve the plan quality in radiotherapy plan: a proof-of-concept study</t>
  </si>
  <si>
    <t>2D dynamic multileaf collimator; Monte Carlo simulation; geometry and tracking; linear accelerator; treatment planning</t>
  </si>
  <si>
    <t>MODULATED RADIATION-THERAPY; MLC LEAF WIDTH; 10 MM; IMRT; FIELD; HEAD; ARC</t>
  </si>
  <si>
    <t>The leaf width of a multileaf collimator (MLC) determines the dose conformity to the target volume. The objective of this study was to investigate the feasibility of a two-dimensional dynamic MLC (2DDMLC) to improve the treatment plan quality with a fixed leaf width. The treatment head of the Clinac (TM) linear accelerator with the Millennium 120 (TM) MLC was modelled with the Geant4 (for GEometry ANd Tracking) tollkit using the Monte Carlo (MC) method. The 2DDMLC produces a beam aperture by moving the MLC bank vertically to the leaf movement. Thus, the effect of the 2DDMLC motion on beam divergence and beam fluence resolution was evaluated by comparing the dose distributions between the conventional MLC motion and the 2DDMLC. Finally, the 2DDMLC was employed for dynamic conformal arc therapy for 13 brain cancer patients. The dose-volumetric parameters, including the dose delivered to 98% of the target volume (D-98%), percent volume given 20% of the prescribed dose (V-20%), and conformity index (CI) were compared with those of the conventional MLC. For the 6 MV beam of the MC model, the depth dose and lateral dose distribution differed by less than 2% between the simulation and measurement. The 2DDMLC did not significantly influence beam divergence and sharpened the beam. In clinical use, the dose delivered to the target was almost identical between the 2DDMLC and conventional MLC (D-98% = 29.74 Gy versus 29.71 Gy,p = 0.18). The CI was improved with the use of the 2DDMLC (CI = 1.49 versus 1.47,p = 0.14). Moreover, irradiation of normal tissue was reduced with the 2DDMLC compared with conventional MLC (V-20% = 17.22% versus 17.45%,p &lt; 0.001). The 2DDMLC improved the dose conformity to the target volume and reduced the irradiation of the normal tissue compared with the conventional MLC.</t>
  </si>
  <si>
    <t>[Park, Hyojun; Choi, Hyun-Joon; Min, Chul Hee] Yonsei Univ, Dept Radiat Convergence Engn, Wonju, South Korea; [Kim, Jung-in] Seoul Natl Univ Hosp, Dept Radiat Oncol, Seoul, South Korea; [Kim, Jung-in] Seoul Natl Univ Hosp, Biomed Res Inst, Seoul, South Korea; [Kim, Jung-in] Seoul Natl Univ, Med Res Ctr, Inst Radiat Med, Seoul, South Korea</t>
  </si>
  <si>
    <t>Yonsei University; Seoul National University (SNU); Seoul National University Hospital; Seoul National University (SNU); Seoul National University Hospital; Seoul National University (SNU)</t>
  </si>
  <si>
    <t>Park, H (通訊作者)， Yonsei Univ, Dept Radiat Convergence Engn, Wonju, South Korea.</t>
  </si>
  <si>
    <t>Min, Chul/AAI-2012-2019</t>
  </si>
  <si>
    <t>National Research Foundation of Korea (NRF) - Ministry of Science, ICT &amp; Future Planning of the Korean government (MSIP) [2015R1C1A1A02036331, 2017R1A2B4010416]</t>
  </si>
  <si>
    <t>National Research Foundation of Korea (NRF) - Ministry of Science, ICT &amp; Future Planning of the Korean government (MSIP)</t>
  </si>
  <si>
    <t>This work was supported by a National Research Foundation of Korea (NRF) grant funded by the Ministry of Science, ICT &amp; Future Planning of the Korean government (MSIP) (Grant No. 2015R1C1A1A02036331 and 2017R1A2B4010416).</t>
  </si>
  <si>
    <t>10.1088/1361-6560/ab57c4</t>
  </si>
  <si>
    <t>WOS:000513009900009</t>
  </si>
  <si>
    <t>Mancia, L; Vlaisavljevich, E; Yousefi, N; Rodriguez, M; Ziemlewicz, TJ; Lee, FT; Henann, D; Franck, C; Xu, Z; Johnsen, E</t>
  </si>
  <si>
    <t>Mancia, Lauren; Vlaisavljevich, Eli; Yousefi, Nyousha; Rodriguez, Mauro; Ziemlewicz, Timothy J.; Lee, Fred T.; Henann, David; Franck, Christian; Xu, Zhen; Johnsen, Eric</t>
  </si>
  <si>
    <t>Modeling tissue-selective cavitation damage</t>
  </si>
  <si>
    <t>cavitation; histotripsy; bubble dynamics; tissue damage; cavitation injury; cavitation in soft matter</t>
  </si>
  <si>
    <t>HISTOTRIPSY INTRINSIC THRESHOLD; MECHANICAL-PROPERTIES; BUBBLE DYNAMICS; SHEAR MODULUS; SOFT-TISSUES; ULTRASOUND FREQUENCY; LIVER; THERAPY; SUSCEPTIBILITY; TEMPERATURE</t>
  </si>
  <si>
    <t>The destructive growth and collapse of cavitation bubbles are used for therapeutic purposes in focused ultrasound procedures and can contribute to tissue damage in traumatic injuries. Histotripsy is a focused ultrasound procedure that relies on controlled cavitation to homogenize soft tissue. Experimental studies of histotripsy cavitation have shown that the extent of ablation in different tissues depends on tissue mechanical properties and waveform parameters. Variable tissue susceptibility to the large stresses, strains, and strain rates developed by cavitation bubbles has been suggested as a basis for localized liver tumor treatments that spare large vessels and bile ducts. However, field quantities developed within microns of cavitation bubbles are too localized and transient to measure in experiments. Previous numerical studies have attempted to circumvent this challenge but made limited use of realistic tissue property data. In this study, numerical simulations are used to calculate stress, strain, and strain rate fields produced by bubble oscillation under histotripsy forcing in a variety of tissues with literature-sourced viscoelastic and acoustic properties. Strain field calculations are then used to predict a theoretical damage radius using tissue ultimate strain data. Simulation results support the hypothesis that differential tissue responses could be used to design tissue-selective treatments. Results agree with studies correlating tissue ultimate fractional strain with resistance to histotripsy ablation and are also consistent with experiments demonstrating smaller lesion size under exposure to higher frequency waveforms. Methods presented in this study provide an approach for modeling tissue-selective cavitation damage in general.</t>
  </si>
  <si>
    <t>[Mancia, Lauren; Johnsen, Eric] Univ Michigan, Dept Mech Engn, Ann Arbor, MI 48109 USA; [Mancia, Lauren; Yousefi, Nyousha] Univ Michigan, Med Sch, Ann Arbor, MI 48109 USA; [Vlaisavljevich, Eli] Virginia Polytech Inst &amp; State Univ, Dept Biomed Engn &amp; Mech, Blacksburg, VA 24061 USA; [Vlaisavljevich, Eli] Virginia Polytech Inst &amp; State Univ, Inst Crit Technol &amp; Appl Sci, Ctr Engn Hlth, Blacksburg, VA 24061 USA; [Rodriguez, Mauro] CALTECH, Div Engn &amp; Appl Sci, Pasadena, CA 91125 USA; [Ziemlewicz, Timothy J.; Lee, Fred T.] Univ Wisconsin, Dept Radiol, Sch Med &amp; Publ Hlth, Madison, WI 53706 USA; [Henann, David] Brown Univ, Sch Engn, Providence, RI 02912 USA; [Franck, Christian] Univ Wisconsin, Dept Mech Engn, Madison, WI 53706 USA; [Xu, Zhen] Univ Michigan, Dept Biomed Engn, Ann Arbor, MI 48109 USA</t>
  </si>
  <si>
    <t>University of Michigan System; University of Michigan; University of Michigan System; University of Michigan; Virginia Polytechnic Institute &amp; State University; Virginia Polytechnic Institute &amp; State University; California Institute of Technology; University of Wisconsin System; University of Wisconsin Madison; Brown University; University of Wisconsin System; University of Wisconsin Madison; University of Michigan System; University of Michigan</t>
  </si>
  <si>
    <t>Mancia, L (通訊作者)， Univ Michigan, Dept Mech Engn, Ann Arbor, MI 48109 USA.;Mancia, L (通訊作者)， Univ Michigan, Med Sch, Ann Arbor, MI 48109 USA.</t>
  </si>
  <si>
    <t>lamancha@umich.edu</t>
  </si>
  <si>
    <t>; Ziemlewicz, Timothy/C-3995-2015; Johnsen, Eric/A-2383-2008; Franck, Christian/HQY-8598-2023; Mancia, Lauren/AAC-1127-2020</t>
  </si>
  <si>
    <t>Mancia, Lauren/0000-0003-4366-1944; Ziemlewicz, Timothy/0000-0002-7033-1062; Rodriguez, Mauro/0000-0003-0545-0265; Johnsen, Eric/0000-0001-9530-408X; Vlaisavljevich, Eli/0000-0002-4097-6257</t>
  </si>
  <si>
    <t>NIH [5T32GM007863-38]; ONR [N00014-18-1-2625]; National Institute of Health under the National Cancer Institute [R01-CA-211217]; National Cancer Institute [R01CA211217] Funding Source: NIH RePORTER; National Institute of Biomedical Imaging and Bioengineering [R01EB028309] Funding Source: NIH RePORTER; National Institute of General Medical Sciences [T32GM007863] Funding Source: NIH RePORTER</t>
  </si>
  <si>
    <t>NIH(United States Department of Health &amp; Human ServicesNational Institutes of Health (NIH) - USA); ONR(United States Department of DefenseUnited States NavyOffice of Naval Research); National Institute of Health under the National Cancer Institute; National Cancer Institute(United States Department of Health &amp; Human ServicesNational Institutes of Health (NIH) - USANIH National Cancer Institute (NCI)); National Institute of Biomedical Imaging and Bioengineering(United States Department of Health &amp; Human ServicesNational Institutes of Health (NIH) - USANIH National Institute of Biomedical Imaging &amp; Bioengineering (NIBIB)); National Institute of General Medical Sciences(United States Department of Health &amp; Human ServicesNational Institutes of Health (NIH) - USANIH National Institute of General Medical Sciences (NIGMS))</t>
  </si>
  <si>
    <t>This work was supported by NIH Training Grant No. 5T32GM007863-38, ONR Grant No. N00014-18-1-2625 (under Dr Timothy Bentley), and a Grant funded by the National Institute of Health under the National Cancer Institute R01-CA-211217: Novel, Noninvasive, Rapid Tumor Ablation Technology using Histotripsy. Conflict-of-interest disclosure: Drs E Vlaisavljevich, F T Lee, and T J Ziemlewicz, and Z Xu have financial interests and/or other relationship with HistoSonics Inc.</t>
  </si>
  <si>
    <t>10.1088/1361-6560/ab5010</t>
  </si>
  <si>
    <t>JR0UX</t>
  </si>
  <si>
    <t>WOS:000499352100001</t>
  </si>
  <si>
    <t>Dietz, B; Yung, J; Yip, E; Gabos, Z; Fallone, BG; Wachowicz, K</t>
  </si>
  <si>
    <t>Dietz, Bryson; Yung, Jihyun; Yip, Eugene; Gabos, Zsolt; Fallone, B. Gino; Wachowicz, Keith</t>
  </si>
  <si>
    <t>Single patient convolutional neural networks for real-time MR reconstruction: a proof of concept application in lung tumor segmentation for adaptive radiotherapy</t>
  </si>
  <si>
    <t>MRI; reconstruction; neural networks</t>
  </si>
  <si>
    <t>AUTOCONTOURING ALGORITHM; TRACKING</t>
  </si>
  <si>
    <t>Investigate 3D (spatial and temporal) convolutional neural networks (CNNs) for real-time on-the-fly magnetic resonance imaging (MRI) reconstruction. In particular, we investigated the applicability of training CNNs on a patient-by-patient basis for the purpose of lung tumor segmentation. Data were acquired with our 3 T Philips Achieva system. A retrospective analysis was performed on six non-small cell lung cancer patients who received fully sampled dynamic acquisitions consisting of 650 free breathing images using a bSSFP sequence. We retrospectively undersampled the six patient's data by 5 x and 10 x acceleration. The retrospective data was used to quantitatively compare the CNN reconstruction to gold truth data via the Dice coefficient (DC) and centroid displacement to compare the tumor segmentations. Reconstruction noise was investigated using the normalized mean square error (NMSE). We further validated the technique using prospectively undersampled data from a volunteer and motion phantom. The retrospectively undersampled data at 5 x and 10 x acceleration was reconstructed using patient specific trained CNNs. The patient average DCs for the tumor segmentation at 5 x and 10 x acceleration were 0.94 and 0.92, respectively. These DC values are greater than the inter-and intra-observer segmentations acquired by radiation oncologist experts as reported in a previous study of ours. Furthermore, the patient specific CNN can be trained in under 6 h and the reconstruction time was 65 ms per image. The prospectively undersampled CNN reconstruction data yielded qualitatively acceptable images. We have shown that 3D CNNs can be used for real-time on-the-fly dynamic image reconstruction utilizing both spatial and temporal data in this proof of concept study. We evaluated the technique using six retrospectively undersampled lung cancer patient data sets, as well as prospectively undersampled data acquired from a volunteer and motion phantom. The reconstruction speed achieved for our current implementation was 65 ms per image.</t>
  </si>
  <si>
    <t>[Dietz, Bryson; Gabos, Zsolt; Fallone, B. Gino; Wachowicz, Keith] Univ Alberta, Dept Oncol, Edmonton, AB, Canada; [Yung, Jihyun; Yip, Eugene; Fallone, B. Gino; Wachowicz, Keith] Cross Canc Inst, Dept Med Phys, Edmonton, AB, Canada; [Fallone, B. Gino] Univ Alberta, Dept Phys, Edmonton, AB, Canada</t>
  </si>
  <si>
    <t>University of Alberta; University of Alberta; University of Alberta</t>
  </si>
  <si>
    <t>Dietz, B (通訊作者)， Univ Alberta, Dept Oncol, Edmonton, AB, Canada.</t>
  </si>
  <si>
    <t>bdietz@ualberta.ca</t>
  </si>
  <si>
    <t>Wachowicz, Keith/I-8325-2019; Yun, Jihyun/LDG-3847-2024</t>
  </si>
  <si>
    <t>Yun, Jihyun/0000-0001-6113-0528; Yip, Eugene/0000-0002-7977-4847; Fallone, B. Gino/0000-0002-4402-937X</t>
  </si>
  <si>
    <t>Alberta Innovates Health Solutions [201301]; Philips</t>
  </si>
  <si>
    <t>Alberta Innovates Health Solutions(Alberta Heritage Foundation for Medical Research); Philips</t>
  </si>
  <si>
    <t>The authors would like to acknowledge Alberta Innovates Health Solutions: 201301 for funding used in part, to support the research presented. We would also like to acknowledge Philips for their research support.</t>
  </si>
  <si>
    <t>10.1088/1361-6560/ab408e</t>
  </si>
  <si>
    <t>WOS:000487555100002</t>
  </si>
  <si>
    <t>Volz, L; Piersimoni, P; Johnson, RP; Bashkirov, VA; Schulte, RW; Seco, J</t>
  </si>
  <si>
    <t>Volz, Lennart; Piersimoni, Pierluigi; Johnson, Robert P.; Bashkirov, Vladimir A.; Schulte, Reinhard W.; Seco, Joao</t>
  </si>
  <si>
    <t>Improving single-event proton CT by removing nuclear interaction events within the energy/range detector</t>
  </si>
  <si>
    <t>proton computed tomography; energy telescope; stopping power; proton imaging; single-event imaging; nuclear interactions</t>
  </si>
  <si>
    <t>COMPUTED-TOMOGRAPHY; PATH FORMALISM; HEAD SCANNER; LIKELY PATH; PERFORMANCE; SIMULATION; RADIOGRAPHY; RESOLUTION; PLATFORM; PARTICLE</t>
  </si>
  <si>
    <t>Data filtering is crucial for accurate relative stopping power (RSP) reconstruction in proton CT (pCT). In this work, we assess different filters and their performance for the US pCT collaboration prototype pCT system in Monte Carlo (MC) simulations. The potential of using the recently proposed Delta E-E filter for removing nuclear interactions that occurred in the energy/range detector of the pCT system is investigated. Full pCT scans were acquired with the TOPAS MC simulated version of the prototype scanner that comprises two tracking detectors and a five stage energy/range detector. An ideal water cylinder and a water cylinder with five tissue inserts were investigated. Before image reconstruction, a 3 sigma WEPL filter was applied as the only filter, or in addition to filters acting on the energy deposit in each of the energy detector stages, as done currently with the prototype. The potential of the Delta E-E filter that was recently proposed for helium imaging was assessed. The results were compared to simulations for which nuclear interactions were disabled representing ground truth. The 3 sigma WEPL filter alone was not sufficient to filter out all nuclear interaction events and systematic fluctuations in the form of ring artifacts were present in the pCT reconstructed images. Applying energy filters currently used with the device prior to the 3 sigma WEPL filter only slightly improved the image quality. A 2 sigma WEPL filter improved the mean RSP accuracy, but could not fully remove the systematic fluctuations. The Delta E-E filter in addition to the current reconstruction procedure efficiently removed the systematic fluctuations and the achieved RSP accuracy closely matched the simulation without nuclear interactions. This study demonstrates the dependence of the accuracy of the usual 3 sigma WEPL filter on uncertainties arising within the energy detector. By enabling to remove such uncertainties, the Delta E-E method proved to yield some potential for improving the accuracy of pCT.</t>
  </si>
  <si>
    <t>[Volz, Lennart; Seco, Joao] Deutsch Krebsfoschungszentrum DKFZ, Dept Biomed Phys Radiat Oncol, Heidelberg, Baden Wurttembe, Germany; [Volz, Lennart; Seco, Joao] Heidelberg Univ, Dept Phys &amp; Astron, Heidelberg, Baden Wurttembe, Germany; [Piersimoni, Pierluigi] Univ Bergen, Dept Phys &amp; Technol, Bergen, Norway; [Johnson, Robert P.] Univ Calif Santa Cruz, SCIPP, Santa Cruz, CA 95064 USA; [Bashkirov, Vladimir A.; Schulte, Reinhard W.] Loma Linda Univ, Dept Basic Sci, Div Biomed Engn Sci, Loma Linda, CA 92350 USA</t>
  </si>
  <si>
    <t>Ruprecht Karls University Heidelberg; University of Bergen; University of California System; University of California Santa Cruz; Loma Linda University</t>
  </si>
  <si>
    <t>Volz, L (通訊作者)， Deutsch Krebsfoschungszentrum DKFZ, Dept Biomed Phys Radiat Oncol, Heidelberg, Baden Wurttembe, Germany.;Volz, L (通訊作者)， Heidelberg Univ, Dept Phys &amp; Astron, Heidelberg, Baden Wurttembe, Germany.</t>
  </si>
  <si>
    <t>l.volz@dkfz-heidelberg.de</t>
  </si>
  <si>
    <t>Volz, Lennart/ABE-1953-2021; Schulte, Reinhard/ABH-2305-2020; Seco, Joao/J-4451-2012; Bashkirov, Vladimir/A-9213-2016</t>
  </si>
  <si>
    <t>Volz, Lennart/0000-0003-0441-4350; Piersimoni, Pierluigi/0000-0002-8958-2179; Seco, Joao/0000-0002-9458-2202; Bashkirov, Vladimir/0000-0002-7850-3105; Schulte, Reinhard/0000-0002-7892-2756</t>
  </si>
  <si>
    <t>National Institute of Biomedical Imaging and Engineering; National Science Foundation (NSF) [R01EB013118]; National Cancer Institute (NCI) [1P20183640-A101]; United States-Israel Binational Science Foundation (BSF) [2009012, 2013003]</t>
  </si>
  <si>
    <t>National Institute of Biomedical Imaging and Engineering(United States Department of Health &amp; Human ServicesNational Institutes of Health (NIH) - USANIH National Institute of Biomedical Imaging &amp; Bioengineering (NIBIB)); National Science Foundation (NSF)(National Science Foundation (NSF)); National Cancer Institute (NCI)(United States Department of Health &amp; Human ServicesNational Institutes of Health (NIH) - USANIH National Cancer Institute (NCI)); United States-Israel Binational Science Foundation (BSF)(US-Israel Binational Science Foundation)</t>
  </si>
  <si>
    <t>The authors acknowledge Jannis Dickmann for fruitful exchanges regarding the preprocessing procedure of the detector. The authors would like to thank Guillaume Landry and Georgios Dedes for useful discussions. We also thank Lucas Burigo for helpful insights regarding the TOPAS simulation framework. This work was partially supported by grants from the National Institute of Biomedical Imaging and Engineering and the National Science Foundation (NSF) (R01EB013118), the National Cancer Institute (NCI) (1P20183640-A101), and the United States-Israel Binational Science Foundation (BSF) (2009012 and 2013003).</t>
  </si>
  <si>
    <t>15NTO1</t>
  </si>
  <si>
    <t>10.1088/1361-6560/ab2671</t>
  </si>
  <si>
    <t>WOS:000478620700001</t>
  </si>
  <si>
    <t>Kim, MM; Irmen, P; Shoniyozov, K; Verginadis, II; Cengel, KA; Koumenis, C; Metz, JM; Dong, L; Diffenderfer, ES</t>
  </si>
  <si>
    <t>Kim, Michele M.; Irmen, Peyton; Shoniyozov, Khayrullo; Verginadis, Ioannis I.; Cengel, Keith A.; Koumenis, Costantinos; Metz, James M.; Dong, Lei; Diffenderfer, Eric S.</t>
  </si>
  <si>
    <t>Design and commissioning of an image-guided small animal radiation platform and quality assurance protocol for integrated proton and x-ray radiobiology research</t>
  </si>
  <si>
    <t>proton; small animal irradiators; radiobiology; quality assurance; proton small animal irradiator</t>
  </si>
  <si>
    <t>RELATIVE BIOLOGICAL EFFECTIVENESS; THERAPY; DEPENDENCE; CARCINOMA; INJURY; MODEL</t>
  </si>
  <si>
    <t>Small animal x-ray irradiation platforms are expanding the capabilities and future pathways for radiobiology research. Meanwhile, proton radiotherapy is transitioning to a standard treatment modality in the clinician's precision radiotherapy toolbox, highlighting a gap between state-of-the-art clinical radiotherapy and small animal radiobiology research. Comparative research of the biological differences between proton and x-ray beams could benefit from an integrated small animal irradiation system for in vivo experiments and corresponding quality assurance (QA) protocols to ensure rigor and reproducibility. The objective of this study is to incorporate a proton beam into a small animal radiotherapy platform while implementing QA modelled after clinical protocols. A 225 kV x-ray small animal radiation research platform (SARRP) was installed on rails to align with a modified proton experimental beamline from a 230 MeV cyclotron-based clinical system. Collimated spread out Bragg peaks (SOBP) were produced with beam parameters compatible with small animal irradiation. Proton beam characteristics were measured and alignment reproducibility with the x-ray system isocenter was evaluated. A QA protocol was designed to ensure consistent proton beam quality and alignment. As a preliminary study, cellular damage via gamma-H2AX immunofluorescence staining in an irradiated mouse tumor model was used to verify the beam range in vivo. The beam line was commissioned to deliver Bragg peaks with range 4-30 mm in water at 2 Gy min(-1). SOBPs were delivered with width up to 25 mm. Proton beam alignment with the x-ray system agreed within 0.5 mm. A QA phantom was created to ensure reproducible alignment of the platform and verify beam delivery. gamma-H2AX staining verified expected proton range in vivo. An image-guided small animal proton/x-ray research system was developed to enable in vivo investigations of radiobiological effects of proton beams, comparative studies between proton and x-ray beams, and investigations into novel proton treatment methods.</t>
  </si>
  <si>
    <t>[Kim, Michele M.; Irmen, Peyton; Shoniyozov, Khayrullo; Verginadis, Ioannis I.; Cengel, Keith A.; Koumenis, Costantinos; Metz, James M.; Dong, Lei; Diffenderfer, Eric S.] Univ Penn, Dept Radiat Oncol, Philadelphia, PA 19104 USA</t>
  </si>
  <si>
    <t>University of Pennsylvania</t>
  </si>
  <si>
    <t>Diffenderfer, ES (通訊作者)， Univ Penn, Dept Radiat Oncol, Philadelphia, PA 19104 USA.</t>
  </si>
  <si>
    <t>Eric.Diffenderfer@uphs.upenn.edu</t>
  </si>
  <si>
    <t>; Dong, Lei/IUP-4861-2023; Verginadis, Ioannis/KBB-6736-2024; Koumenis, Constantinos/B-2002-2008; Kim, Michele/KBD-4844-2024</t>
  </si>
  <si>
    <t>Dong, Lei/0000-0003-2623-3198; Koumenis, Costas/0000-0001-5945-4726; Verginadis, Ioannis/0000-0002-0755-4511;</t>
  </si>
  <si>
    <t>National Cancer Institute [5P01CA210944-02]</t>
  </si>
  <si>
    <t>The authors would like to thank Stephen Tuttle for his support and contributions to this work. The authors would also like to acknowledge support from National Cancer Institute grant 5P01CA210944-02 and the 3D printing lab at the Biomedical Library of the University of Pennsylvania for their help in creating the QA phantom used in this study.</t>
  </si>
  <si>
    <t>10.1088/1361-6560/ab20d9</t>
  </si>
  <si>
    <t>WOS:000474298100005</t>
  </si>
  <si>
    <t>Li, YH; Zhu, JH; Liu, ZB; Teng, JJ; Xie, QY; Zhang, LW; Liu, XW; Shi, JP; Chen, LX</t>
  </si>
  <si>
    <t>Li, Yinghui; Zhu, Jinhan; Liu, Zhibin; Teng, Jianjian; Xie, Qiuying; Zhang, Liwen; Liu, Xiaowei; Shi, Jinping; Chen, Lixin</t>
  </si>
  <si>
    <t>A preliminary study of using a deep convolution neural network to generate synthesized CT images based on CBCT for adaptive radiotherapy of nasopharyngeal carcinoma</t>
  </si>
  <si>
    <t>U-net; DCNN; CBCT; dose calculation; nasopharyngeal carcinoma; synthesized CT</t>
  </si>
  <si>
    <t>DOSE CALCULATION; HEAD; CANCER; FEASIBILITY; DOSIMETRY</t>
  </si>
  <si>
    <t>This study aims to utilize a deep convolutional neural network (DCNN) for synthesized CT image generation based on cone-beam CT (CBCT) and to apply the images to dose calculations for nasopharyngeal carcinoma (NPC). An encoder-decoder 2D U-Net neural network was produced. A total of 70 CBCT/CT paired images of NPC cancer patients were used for training (50), validation (10) and testing (10) datasets. The testing datasets were treated with the same prescription dose (70 Gy to PTVnx70, 68 Gy to PTVnd68, 62 Gy to the PTV62 and 54 Gy to the PTV54). The mean error (ME) and mean absolute error (MAE) for the true CT images were calculated for image quality evaluation of the synthesized CT. The dose-volume histogram (DVH) dose metric difference and 3D gamma pass rate for the true CT images were calculated for dose analysis, and the results were compared with those for the CBCT images (original CBCT images without any correction) and a patient-specific calibration (PSC) method. Compared with CBCT, the range of the MAE for synthesized CT images improved from (60, 120) to (6, 27) Hounsfield units (HU), and the ME improved from ( -74, 51) to (-26, 4) HU. Compared with the true CT method, the average DVH dose metric differences for the CBCT, PSC and synthesized CT methods were 0.8% +/- 1.9%, 0.4% +/- 0.7% and 0.2% +/- 0.6%, respectively. The 1%/1 mm gamma pass rates within the body for the CBCT, PSC and synthesized CT methods were 90.8% +/- 6.2%, 94.1% +/- 4.4% and 95.5% +/- 1.6%, respectively, and the rates within the PTVnx70 were 80.3% +/- 16.6%, 87.9% +/- 19.7%, 98.6% +/- 2.9%, respectively. The DCNN model can generate high-quality synthesized CT images from CBCT images and be used for accurate dose calculations for NPC patients. This finding has great significance for the clinical application of adaptive radiotherapy for NPC.</t>
  </si>
  <si>
    <t>[Li, Yinghui; Liu, Xiaowei] Sun Yat Sen Univ, Sch Phys, Guangzhou, Guangdong, Peoples R China; [Li, Yinghui; Liu, Zhibin; Teng, Jianjian; Xie, Qiuying; Zhang, Liwen; Shi, Jinping] Sun Yat Sen Univ, Affiliated FoShan Hosp, Peoples Hosp FoShan 1, Phys Dept,Radiotherapy Dept, Foshan, Guangdong, Peoples R China; [Li, Yinghui; Zhu, Jinhan; Chen, Lixin] Sun Yat Sen Univ Med Sci, Sun Yat Sen Univ, Key Lab Oncol South China, Canc Ctr, Guangzhou, Guangdong, Peoples R China</t>
  </si>
  <si>
    <t>Sun Yat Sen University; Sun Yat Sen University; Sun Yat Sen University</t>
  </si>
  <si>
    <t>Shi, JP (通訊作者)， Sun Yat Sen Univ, Affiliated FoShan Hosp, Peoples Hosp FoShan 1, Phys Dept,Radiotherapy Dept, Foshan, Guangdong, Peoples R China.;Chen, LX (通訊作者)， Sun Yat Sen Univ Med Sci, Sun Yat Sen Univ, Key Lab Oncol South China, Canc Ctr, Guangzhou, Guangdong, Peoples R China.</t>
  </si>
  <si>
    <t>Rath55@126.com; chenlx@sysucc.org.cn</t>
  </si>
  <si>
    <t>Zhibin, Liu/JJC-4450-2023; Li, Yinghui/GSN-8007-2022</t>
  </si>
  <si>
    <t>Natural Science Foundation of Guangdong Province [2016A030313276]; Guangzhou Science and Technology project [20160701168]; Science and Technology project of Guangdong Esophageal Cancer Institute [M201813]</t>
  </si>
  <si>
    <t>Natural Science Foundation of Guangdong Province(National Natural Science Foundation of Guangdong Province); Guangzhou Science and Technology project; Science and Technology project of Guangdong Esophageal Cancer Institute</t>
  </si>
  <si>
    <t>This work was supported by the Natural Science Foundation of Guangdong Province (2016A030313276), the Guangzhou Science and Technology project (20160701168), and the Science and Technology project of Guangdong Esophageal Cancer Institute (M201813).</t>
  </si>
  <si>
    <t>10.1088/1361-6560/ab2770</t>
  </si>
  <si>
    <t>WOS:000475775200003</t>
  </si>
  <si>
    <t>Bader, KB; Hendley, SA; Anthony, GJ; Bollen, V</t>
  </si>
  <si>
    <t>Bader, Kenneth B.; Hendley, Samuel A.; Anthony, Gregory J.; Bollen, Viktor</t>
  </si>
  <si>
    <t>Observation and modulation of the dissolution of histotripsy-induced bubble clouds with high-frame rate plane wave imaging</t>
  </si>
  <si>
    <t>histotripsy; bubbles; plane wave imaging</t>
  </si>
  <si>
    <t>RESIDUAL CAVITATION NUCLEI; RECTIFIED DIFFUSION; SHOCK-SCATTERING; TISSUE; FREQUENCY; PULSATIONS; PREDICTION; INTERFACE; REMOVAL; PULSES</t>
  </si>
  <si>
    <t>Focused ultrasound therapies are a noninvasive means to ablate tissue. Histotripsy utilizes short ultrasound pulses with sufficient tension to nucleate bubble clouds that impart lethal strain to the surrounding tissues. Tracking bubble cloud dissolution between the application of histotripsy pulses is critical to ensure treatment efficacy. In this study, plane wave B-mode imaging was employed to monitor bubble cloud motion and grayscale at frame rates up to 11.25 kHz. Minimal changes in the area or position of the bubble clouds were observed 50 ms post excitation. The bubble cloud grayscale was observed to decrease with the square root of time, indicating a diffusion-driven process. These results were qualitatively consistent with an analytic model of gas diffusion during the histotripsy process. Finally, the rate of bubble cloud dissolution was found to be dependent on the output of the imaging pulse, indicating an interaction between the bubble cloud and imaging parameters. Overall, these results highlight the utility of plane wave B-mode imaging for monitoring histotripsy bubble clouds.</t>
  </si>
  <si>
    <t>[Bader, Kenneth B.; Bollen, Viktor] Univ Chicago, Dept Radiol, Chicago, IL 60637 USA; [Bader, Kenneth B.; Hendley, Samuel A.; Anthony, Gregory J.] Univ Chicago, Comm Med Phys, Chicago, IL 60637 USA</t>
  </si>
  <si>
    <t>University of Chicago; University of Chicago</t>
  </si>
  <si>
    <t>Bader, KB (通訊作者)， Univ Chicago, Dept Radiol, Chicago, IL 60637 USA.;Bader, KB (通訊作者)， Univ Chicago, Comm Med Phys, Chicago, IL 60637 USA.</t>
  </si>
  <si>
    <t>Bader, Kenneth/0000-0003-2384-3150</t>
  </si>
  <si>
    <t>National Institutes of Health [R01HL13334]</t>
  </si>
  <si>
    <t>This work was funded in part by the National Institutes of Health, Grant R01HL13334.</t>
  </si>
  <si>
    <t>10.1088/1361-6560/ab1a64</t>
  </si>
  <si>
    <t>WOS:000469802000004</t>
  </si>
  <si>
    <t>Jackson, S; Glitzner, M; Tijssen, RHN; Raaymakers, BW</t>
  </si>
  <si>
    <t>Jackson, Steven; Glitzner, Markus; Tijssen, Rob H. N.; Raaymakers, Bas W.</t>
  </si>
  <si>
    <t>MRI B0 homogeneity and geometric distortion with continuous linac gantry rotation on an Elekta Unity MR-linac</t>
  </si>
  <si>
    <t>MR-linac; geometric distortion; real-time imaging; gantry rotation; B-0 homogeneity</t>
  </si>
  <si>
    <t>RADIOTHERAPY; PRECISION</t>
  </si>
  <si>
    <t>This work aimed to quantify any principal magnetic field (B-0) inhomogeneity and changes in MR image geometric distortion with continuous linac gantry rotation on an Elekta Unity MR-linac. This situation occurs for around a second between treatment beams during current image guided radiotherapy treatment and would occur frequently in foreseeable real-time adaptive radiotherapy treatment. Pixel by pixel maps of B-0 inhomogeneity were obtained via repeated high temporal resolution pulse sequences with the linac gantry static at 36 gantry angles spaced ten degrees apart, and in continuous rotation at both 1 and 2 rpm. Individual B-0 maps were subtracted from average maps across all data and the residual peak to peak inhomogeneity was calculated for each. The bulk geometric shift and change in physical extent of a 10 cm diameter spherical flood phantom during continuous linac gantry rotation at 1 and 2 rpm was compared to the static gantry case for two pulse sequences: the real-time clinical monitoring bFFE sequence and a non-clinical EPI sequence, chosen for its susceptibility to geometric distortion. The peak to peak inhomogeneity in the deviation-from-average ppm maps, plotted against gantry angle with the gantry in continuous rotation at 1 and 2 rpm were negligibly different from equivalent data obtained with the gantry static. The real-time clinical monitoring pulse sequence was shown to give negligible geometric distortion during continuous gantry motion, whilst a non-clinical EPI sequence showed bulk shifts of the order of one pixel and gantry angle dependent changes in extent, demonstrating the sensitivity of the chosen method. MR imaging on the Elekta Unity MR-Linac with the gantry in continuous motion is negligibly different from the static gantry case with current clinical pulse sequences. Real-time tracking and treatment plan adaptation using MR images obtained with the linac gantry in motion is possible.</t>
  </si>
  <si>
    <t>[Jackson, Steven] Christie NHS Fdn Trust, Dept Radiotherapy Related Res, Manchester, Lancs, England; [Glitzner, Markus; Tijssen, Rob H. N.; Raaymakers, Bas W.] Univ Med Ctr Utrecht, Dept Radiotherapy, Utrecht, Netherlands</t>
  </si>
  <si>
    <t>Christie NHS Foundation Trust; Utrecht University; Utrecht University Medical Center</t>
  </si>
  <si>
    <t>Jackson, S (通訊作者)， Christie NHS Fdn Trust, Dept Radiotherapy Related Res, Manchester, Lancs, England.</t>
  </si>
  <si>
    <t>steven.jackson@christie.nhs.uk</t>
  </si>
  <si>
    <t>Jackson, Steven/0000-0002-9195-0049; Glitzner, Markus/0000-0002-6223-9397</t>
  </si>
  <si>
    <t>12NT01</t>
  </si>
  <si>
    <t>10.1088/1361-6560/ab231a</t>
  </si>
  <si>
    <t>IC7PK</t>
  </si>
  <si>
    <t>WOS:000471167600001</t>
  </si>
  <si>
    <t>Bertolini, M; Trojani, V; Nitrosi, A; Iori, M; Sassatelli, R; Ortenzia, O; Ghetti, C</t>
  </si>
  <si>
    <t>Bertolini, Marco; Trojani, Valeria; Nitrosi, Andrea; Iori, Mauro; Sassatelli, Romano; Ortenzia, Ornella; Ghetti, Caterina</t>
  </si>
  <si>
    <t>Characterization of GE discovery IGS 740 angiography system by means of channelized Hotelling observer (CHO)</t>
  </si>
  <si>
    <t>x-ray angiography; channelized Hotelling observer model; image quality</t>
  </si>
  <si>
    <t>DETECTIVE QUANTUM EFFICIENCY; IMAGE QUALITY EVALUATION; EFFECTIVE DQE EDQE; MODEL-OBSERVER; FLAT-PANEL; PIXEL SIZE; NOISE; PERFORMANCE; DETECTABILITY; FLUOROSCOPY</t>
  </si>
  <si>
    <t>The aim of the study is to use the well-known channelized Hotelling observer model (CHO) to characterize a recently installed angiography system (GE Discovery IGS 740) using sets of images of a contrast-detail phantom acquired with clinical protocols. A Leeds TO10 phantom was used. The phantom has 108 details: 12 diameters (size range: 0.25 mm-11 mm), each with nine contrasts (declared range: 0.012-0.930 at 70 kVp 1.00 with 1 mm Cu filtration). TO10 has been imaged between two 10 cm thick homogeneous solid water slabs. Two FOVs (32 cm and 20 cm) were used. Fluoroscopy images were taken using an abdominal protocol at two different frame rates (15 fps and 7.5 fps) and at two dose levels (low and normal); cineangiography images were acquired using an abdominal protocol at 15 fps at two dose levels (low and normal). A 40 Gabor channels CHO with internal noise was used. Human observers' studies were carried out to tune the internal noise parameter and to validate the model observer. Contrast-detail curves were obtained from the CHO output using a visibility threshold of 75% and fitted with Rose's model theory in order to characterize the angiography system. Wilcoxon rank-sum tests were performed to investigate possible differences among the different sets of images. The CHO can distinguish between the two dose levels (p-values &lt; 0.002), while FOV and frame rate do not affect the contrast-detail curves significantly. It is important to note that the CHO does not find statistically significant differences between a fluoroscopy with FOV = 20 cm at normal dose level (17.6 mGy min(-1)) and a cineangiography with FOV = 32 cm low dose level (42.1 mGy min(-1)). This result can lead to a dose reduction of about 70% for our specific task (i.e. a static, disc shaped object at known location in homogeneous field). Given their stability in comparison to human observers, model observers provide an effective tool for image quality evaluation.</t>
  </si>
  <si>
    <t>[Bertolini, Marco; Trojani, Valeria; Nitrosi, Andrea; Iori, Mauro] Azienda USL IRCCS Reggio Emilia, Serv Fis Med, Reggio Emilia, Italy; [Trojani, Valeria] Univ Bologna, Scuola Specializzaz Fis Sanit, Bologna, Italy; [Sassatelli, Romano] Azienda USL IRCCS Reggio Emilia, Serv Gastroenterol &amp; Endoscopia Digest, Reggio Emilia, Italy; [Ortenzia, Ornella; Ghetti, Caterina] Azienda Osped Univ Parma, Serv Fis Sanitaria, Parma, Italy</t>
  </si>
  <si>
    <t>University of Bologna; University of Parma; University Hospital of Parma</t>
  </si>
  <si>
    <t>Bertolini, M (通訊作者)， Azienda USL IRCCS Reggio Emilia, Serv Fis Med, Reggio Emilia, Italy.</t>
  </si>
  <si>
    <t>marco.bertolini@ausl.re.it</t>
  </si>
  <si>
    <t>; Ghetti, Caterina/LRT-9798-2024; Iori, Mauro/K-2393-2018; Sassatelli, Romano/AAC-2934-2020; Bertolini, Marco/AAD-5786-2019; Trojani, Valeria/HSF-5635-2023</t>
  </si>
  <si>
    <t>Ghetti, Caterina/0000-0002-1976-4540; Iori, Mauro/0000-0002-8738-3352; Nitrosi, Andrea/0000-0003-4271-3677; Bertolini, Marco/0000-0003-3148-1022; Trojani, Valeria/0000-0002-3331-2436</t>
  </si>
  <si>
    <t>10.1088/1361-6560/ab144c</t>
  </si>
  <si>
    <t>WOS:000465824100002</t>
  </si>
  <si>
    <t>Hamming-Vriezek, O; Depauw, N; Craft, DL; Chan, AW; Rasch, CRN; Verheij, M; Sonke, JJ; Kooy, HM</t>
  </si>
  <si>
    <t>Hamming-Vriezek, O.; Depauw, N.; Craft, D. L.; Chan, A. W.; Rasch, C. R. N.; Verheij, M.; Sonke, J-J; Kooy, H. M.</t>
  </si>
  <si>
    <t>Impact of setup and range uncertainties on TCP and NTCP following VMAT or IMPT of oropharyngeal cancer patients</t>
  </si>
  <si>
    <t>head and neck cancer; proton therapy; robust evaluation; TCP/NTCP</t>
  </si>
  <si>
    <t>MODULATED PROTON THERAPY; DOSE-VOLUME; NORMAL TISSUE; COMPLICATION PROBABILITY; RADIATION-THERAPY; NECK-CANCER; HEAD; RADIOTHERAPY; SENSITIVITY; TOLERANCE</t>
  </si>
  <si>
    <t>Setup and range uncertainties compromise radiotherapy plan robustness. We introduce a method to evaluate the clinical effect of these uncertainties on the population using tumor control probability (TCP) and normal tissue complication probability (NTCP) models. Eighteen oropharyngeal cancer patients treated with curative intent were retrospectively included. Both photon (VMAT) and proton (IMPT) plans were created using a planning target volume as planning objective. Plans were recalculated for uncertainty scenarios: two for range over/undershoot (IMPT) or CT-density scaling (VMAT), six for shifts. An average shift scenario (&lt; XYZ &gt;) was calculated to assess random errors. Dose differences between nominal and scenarios were translated to TCP (2 models) and NTCP (15 models). A weighted average (W_Avg) of the TCP\NTCP based on Gaussian distribution over the variance scenarios was calculated to assess the clinical effect of systematic errors on the population. TCP/NTCP uncertainties were larger in IMPT compared to VMAT. Although individual perturbations showed risks of plan deterioration, the &lt; XYZ &gt; scenario did not show a substantial decrease in any of the TCP endpoints suggesting evaluated plans in this cohort were robust for random errors. Evaluation of the W_Avg scenario to assess systematic errors showed in VMAT no substantial decrease in TCP endpoints and in IMPT a limited decrease. In IMPT, the W_Avg scenario had a mean TCP loss of 0%-2% depending on plan type and primary or nodal control. The W_Avg for NTCP endpoints was around 0%, except for mandible necrosis in IMPT (W_Avg: 3%). The estimated population impact of setup and range uncertainties on TCP/NTCP following VMAT or IMPT of oropharyngeal cancer patients was small for both treatment modalities. The use of TCP/NTCP models allows for clinical interpretation of the population effect and could be considered for incorporation in robust evaluation methods. Highlights: TCP/NTCP models allow for a clinical evaluation of uncertainty scenarios. For this cohort, in silico-PTV based IMPT plans and VMAT plans were robust for random setup errors. Effect of systematic errors on the population was limited: mean TCP loss was 0%-2%.</t>
  </si>
  <si>
    <t>[Hamming-Vriezek, O.; Verheij, M.; Sonke, J-J] Netherlands Canc Inst Antoni van Leeuwenhoek, Dept Radiat Oncol, Plesmanlaan 121, NL-1066 CX Amsterdam, Netherlands; [Depauw, N.; Craft, D. L.; Chan, A. W.; Kooy, H. M.] Massachusetts Gen Hosp, Dept Radiat Oncol, Boston, MA 02114 USA; [Depauw, N.; Craft, D. L.; Chan, A. W.; Kooy, H. M.] Harvard Med Sch, Boston, MA USA; [Rasch, C. R. N.] Univ Amsterdam, Med Ctr, Dept Radiat Oncol, Amsterdam, Netherlands; [Verheij, M.] Radboud Univ Nijmegen, Med Ctr, Dept Radiat Oncol, Nijmegen, Netherlands</t>
  </si>
  <si>
    <t>Harvard University; Harvard University Medical Affiliates; Massachusetts General Hospital; Harvard University; Harvard Medical School; University of Amsterdam; Radboud University Nijmegen</t>
  </si>
  <si>
    <t>Hamming-Vriezek, O (通訊作者)， Netherlands Canc Inst Antoni van Leeuwenhoek, Dept Radiat Oncol, Plesmanlaan 121, NL-1066 CX Amsterdam, Netherlands.</t>
  </si>
  <si>
    <t>o.vrieze@nki.nl</t>
  </si>
  <si>
    <t>; Chan, Annie/AAT-6152-2020; Depauw, Nicolas/GOP-1547-2022; Sonke, Jan-Jakob/D-1575-2017</t>
  </si>
  <si>
    <t>Sonke, Jan-Jakob/0000-0001-5155-5274; Rasch, Coen/0000-0001-6950-3376;</t>
  </si>
  <si>
    <t>10.1088/1361-6560/ab1459</t>
  </si>
  <si>
    <t>WOS:000465824100001</t>
  </si>
  <si>
    <t>Peng, P; Judenhofer, MS; Cherry, SR</t>
  </si>
  <si>
    <t>Peng, Peng; Judenhofer, Martin S.; Cherry, Simon R.</t>
  </si>
  <si>
    <t>Compton PET: a layered structure PET detector with high performance</t>
  </si>
  <si>
    <t>PET; scintillation crystal; side readout; SiPM; machine learning</t>
  </si>
  <si>
    <t>SMALL-ANIMAL PET; HIGH-RESOLUTION; SCINTILLATOR ARRAYS; DOI DETECTOR; DIGITAL SIPM; READOUT; SCANNER; SCATTER; DESIGN</t>
  </si>
  <si>
    <t>In most high-resolution PET detector designs, there is an inherent trade-off between spatial resolution and detector efficiency. We have developed and tested a new geometry for the detector module which avoids this trade-off. The module uses a layered structure, in which four crystal slabs are stacked in the depth direction and optically separated by enhanced specular reflector (ESR) film. The scintillation light within each layer is measured by 16 SiPMs located on the four sides of the crystal. Analog signals from all SiPMs (4 x 16) on the four sides of the crystal are digitized individually using a 64-channel TOFPET-2 module. The four-sided readout method reduces the problem of light trapping resulting from total internal reflection when reading out the end(s) of traditional scintillation crystal arrays, thus increasing the light collection efficiency. In this work, we demonstrate the readout of a complete layered detector with 4 layers. The high light collection efficiency results in a FWHM energy resolution of 10.3%, and a FWHM timing resolution of 348 ps. The distribution of scintillation light detected by the SiPMs was used to decode the interaction position of each gamma ray using a trained neural network. A FWHM spatial resolution of 1.1 +/- 0.1 mm was achieved. This design allows the detection efficiency of the module to be increased by adding additional crystal slabs along the depth direction. Since the position, energy, and timing are measured for each layer independently, increasing the system sensitivity by adding more layers will not affect the spatial/energy/timing resolution. Furthermore, the layered structure allows partial recovery of position information for events that undergo Compton scatter within the detector.</t>
  </si>
  <si>
    <t>[Peng, Peng; Judenhofer, Martin S.; Cherry, Simon R.] Univ Calif Davis, Dept Biomed Engn, One Shields Ave, Davis, CA 95616 USA</t>
  </si>
  <si>
    <t>Peng, P (通訊作者)， Univ Calif Davis, Dept Biomed Engn, One Shields Ave, Davis, CA 95616 USA.</t>
  </si>
  <si>
    <t>pppeng@ucdavis.edu</t>
  </si>
  <si>
    <t>Cherry, Simon/IAN-7507-2023</t>
  </si>
  <si>
    <t>The authors would like to thank members of the MIPET group at UC Davis for helpful discussions. This work was funded by NIH R01 EB019439.</t>
  </si>
  <si>
    <t>10.1088/1361-6560/ab1ba0</t>
  </si>
  <si>
    <t>HX5TD</t>
  </si>
  <si>
    <t>WOS:000467465300001</t>
  </si>
  <si>
    <t>Esposito, G; Mettivier, G; Bliznakova, K; Bliznakov, Z; Bosmans, H; Bravin, A; Buliev, I; Di Lillo, F; Ivanov, D; Mintutillo, M; Sarno, A; Vignero, J; Russo, P</t>
  </si>
  <si>
    <t>Esposito, G.; Mettivier, G.; Bliznakova, K.; Bliznakov, Z.; Bosmans, H.; Bravin, A.; Buliev, I; Di Lillo, F.; Ivanov, D.; Mintutillo, M.; Sarno, A.; Vignero, J.; Russo, P.</t>
  </si>
  <si>
    <t>Investigation of the refractive index decrement of 3D printing materials for manufacturing breast phantoms for phase contrast imaging</t>
  </si>
  <si>
    <t>3D printing; phase contrast imaging; breast phantoms</t>
  </si>
  <si>
    <t>SYNCHROTRON-RADIATION; COMPUTED-TOMOGRAPHY; ROTATIONAL RADIOTHERAPY; SOFTWARE</t>
  </si>
  <si>
    <t>3D breast modelling for 2D and 3D breast x-ray imaging would benefit from the availability of digital and physical phantoms that reproduce accurately the complexity of the breast anatomy. While a number of groups have produced digital phantoms with increasing level of complexity, physical phantoms reproducing that software approach have been scarcely developed. One possibility is offered by 3D printing technology. This implies the assessment of the energy dependent absorption index beta of 3D printing materials for absorption based imaging, as well as the assessment of the refractive index decrement, delta, of the printing material, for phase contrast imaging studies, at the energies of interest for breast imaging. In this work we set-up a procedure and performed a series of measurements (at 30,45 and 60 keV, at the European Synchrotron Radiation Facility) for assessing the relative value of delta with respect to that of breast tissues, for twelve 3D printing materials. The method included propagation based phase contrast 2D imaging and retrieval of the estimated phase shift map, using the Paganin's algorithm. Breast glandular, adipose and skin tissues were used as reference materials of known ratio delta/beta. A percentage difference Delta delta was introduced to assess the suitability of the printing materials as tissue substitutes. The accuracy of the method (about 4%) was assessed based on the properties of PMMA and Nylon, acting as gold standard. Results show that, for the above photon energies, ABS is a good substitute for adipose tissue, Hybrid as a substitute of the glandular tissue and PET-G for simulating the skin. We plan to realize a breast phantom manufactured by fused deposition modelling (FDM) technology using ABS, Hybrid and PET-G as substitutes of the glandular and skin tissue and a second phantom by stereolithography (SLA) technology with the resins Flex, Tough and Black.</t>
  </si>
  <si>
    <t>[Esposito, G.; Mettivier, G.; Di Lillo, F.; Mintutillo, M.; Sarno, A.; Russo, P.] Univ Napoli Federico II, Dept Phys Ettore Pancini, I-80126 Naples, Italy; [Esposito, G.; Mettivier, G.; Di Lillo, F.; Mintutillo, M.; Sarno, A.; Russo, P.] Ist Nazl Fis Nucl, Sez Napoli, I-180126 Naples, Italy; [Bliznakova, K.; Bliznakov, Z.; Buliev, I; Ivanov, D.] Tech Univ Varna, Lab Comp Simulat Med, Varna 9010, Bulgaria; [Bosmans, H.; Vignero, J.] Univ Hosp Leuven, Med Imaging Res Ctr, Dept Radiol, B-3000 Leuven, Belgium; [Bravin, A.] European Synchrotron Radiat Facil, F-38043 Grenoble, France</t>
  </si>
  <si>
    <t>University of Naples Federico II; Istituto Nazionale di Fisica Nucleare (INFN); Technical University Varna; KU Leuven; University Hospital Leuven; European Synchrotron Radiation Facility (ESRF)</t>
  </si>
  <si>
    <t>Mettivier, G (通訊作者)， Univ Napoli Federico II, Dept Phys Ettore Pancini, I-80126 Naples, Italy.;Mettivier, G (通訊作者)， Ist Nazl Fis Nucl, Sez Napoli, I-180126 Naples, Italy.</t>
  </si>
  <si>
    <t>Minutillo, Mariagiovanna/AAE-6429-2021; Bliznakova, Kristina/C-9684-2013; Bliznakov, Zhivko/S-2231-2019; Sarno, Antonio/AAA-7701-2019; Mettivier, G/AAJ-6776-2020; Bravin, Alberto/R-8633-2016; Russo, Paolo/LLL-5029-2024</t>
  </si>
  <si>
    <t>Esposito, Giuseppina/0000-0003-2811-4678; Sarno, Antonio/0000-0002-3034-7166; Bosmans, Hilde/0000-0002-9694-510X; Bliznakov, Zhivko/0000-0003-0831-2511; Minutillo, Martina/0000-0003-4316-4411; Bravin, Alberto/0000-0001-6868-2755;</t>
  </si>
  <si>
    <t>MaXIMA project - European Union [692097]; Bulgarian National Science Fund [DN17/2]</t>
  </si>
  <si>
    <t>MaXIMA project - European Union; Bulgarian National Science Fund(National Science Fund of Bulgaria)</t>
  </si>
  <si>
    <t>This work was supported by the MaXIMA project, which received funding from the European Union's Horizon 2020 research and innovation programme under grant agreement No 692097. This work is also assisted by the Bulgarian National Science Fund under grant agreement DN17/2. We also thank the staff at ESRF beamline ID17 for assistance during measurements.</t>
  </si>
  <si>
    <t>10.1088/1361-6560/ab0670</t>
  </si>
  <si>
    <t>WOS:000462743600004</t>
  </si>
  <si>
    <t>Stemken, B; Prins, FM; Bruijnen, T; Kerkmeijer, LGW; Lagendijk, JJW; van den Ber, CAT; Tijssen, RHN</t>
  </si>
  <si>
    <t>Stemken, Bjorn; Prins, Fieke M.; Bruijnen, Tom; Kerkmeijer, Linda G. W.; Lagendijk, Jan J. W.; van den Ber, Cornelis A. T.; Tijssen, Rob H. N.</t>
  </si>
  <si>
    <t>A dual-purpose MRI acquisition to combine 4D-MRI and dynamic contrast-enhanced imaging for abdominal radiotherapy planning</t>
  </si>
  <si>
    <t>dynamic contrast ehanced imaging; 4D-MRI; GRASP; motion management; MRI-guided radiotherapy; renal cell carcinoma; radiotherapy treatment planning</t>
  </si>
  <si>
    <t>RESPIRATORY MOTION; RECONSTRUCTION</t>
  </si>
  <si>
    <t>For successful abdominal radiotherapy it is crucial to have a dear tumor definition and an accurate characterization of the motion. While dynamic contrast-enhanced (DCE) MRI aids tumor visualization, it is often hampered by motion artifacts. 4D-MRI characterizes this motion, but often lacks the contrast to clearly visualize the tumor. This dual requirement is challenging due to time constraints. Here, we propose combining both into a single acquisition by reconstructing the data in various ways in order to achieve both high spatio-temporal resolution DCE-MRI and accurate 4D-MRI motion estimates. A 5 min T-1-weigthed DCE acquisition was collected in five renal-cell carcinoma patients and simulated in a digital phantom. Data were acquired continuously using a 3D golden angle radial stack-of-stars acquisition. This enabled three types of reconstruction; (1) a high spatio-temporal resolution DCE time series, (2) a 5D reconstruction and (3) a contrast-enhanced 4D-MRI for motion characterization. Motion extracted from the 4D- and 5D-MRI was compared with a separately acquired 4D-MRI and additional 2D cine MR imaging. Simulations on XCAT showed that 5D reconstructions severely underestimated motion (23%), whereas contrast-enhanced 4D-MRI only underestimated motion by 3%. This was confirmed in the in vivo data where motion of the contrast-enhanced 4D-MRI was approximately10% smaller than the motion in the 2D cine MRI (5.8 mm versus 6.5 mm), but equal to a separately acquired 4D-MRI (5.8 mm versus 5.9 mm). 5D reconstructions underestimated the motion by more than 30%, but minimized respiratory-induced blurring in the contrast enhanced images. DCE time-series demonstrated clear tumor visualization and contrast enhancement throughout the entire field-of-view. DCE- and 4D-MRI can be integrated into a single acquisition that enables different reconstructions with complementary information for abdominal radiotherapy planning and, in an MRI-guided treatment, precise motion information, input for motion models, and rapid feedback on the contrast enhancement.</t>
  </si>
  <si>
    <t>[Stemken, Bjorn; Prins, Fieke M.; Bruijnen, Tom; Kerkmeijer, Linda G. W.; Lagendijk, Jan J. W.; van den Ber, Cornelis A. T.; Tijssen, Rob H. N.] Univ Med Ctr Utrecht, Dept Radiotherapy, Heidelberglaan 100, NL-3584 CX Utrecht, Netherlands; [Stemken, Bjorn] MR Code BV, Zaltbommel, Netherlands</t>
  </si>
  <si>
    <t>Stemken, B (通訊作者)， Univ Med Ctr Utrecht, Dept Radiotherapy, Heidelberglaan 100, NL-3584 CX Utrecht, Netherlands.;Stemken, B (通訊作者)， MR Code BV, Zaltbommel, Netherlands.</t>
  </si>
  <si>
    <t>b.stemkens@umcutrecht.nl</t>
  </si>
  <si>
    <t>; Kerkmeijer, Linda/AAB-8948-2020</t>
  </si>
  <si>
    <t>Stemkens, Bjorn/0000-0003-0488-8070; Tijssen, Rob/0000-0003-1355-7150; Bruijnen, Tom/0000-0002-1233-1320</t>
  </si>
  <si>
    <t>Netherlands Organisation for Scientific Research (NWO) [15354]</t>
  </si>
  <si>
    <t>Netherlands Organisation for Scientific Research (NWO)(Netherlands Organization for Scientific Research (NWO))</t>
  </si>
  <si>
    <t>This work is part of the research program HTSM with project number 15354, which is (partly) financed by the Netherlands Organisation for Scientific Research (NWO). The authors would like to thank Li Feng for the (XD-) GRASP Matlab code. B Stemkens acknowledges that he is majority share holder of MR Code B.V.</t>
  </si>
  <si>
    <t>06NT02</t>
  </si>
  <si>
    <t>10.1088/1361-6560/ab0295</t>
  </si>
  <si>
    <t>WOS:000460823400002</t>
  </si>
  <si>
    <t>Lee, S; Choi, Y; Jung, JH; Jung, J; Kim, KB; Choe, HJ; Leem, HT; Lee, H; Huh, YM</t>
  </si>
  <si>
    <t>Lee, Sangwon; Choi, Yong; Jung, Jin Ho; Jung, Jiwoong; Kim, kyu Bom; Choe, Hyeok-jun; Leem, Hyun Tae; Lee, Hwunjae; Huh, Yong-Min</t>
  </si>
  <si>
    <t>Performance evaluation of a small animal PET scanner a high level of multiplexing and charge-signal transmission</t>
  </si>
  <si>
    <t>positron emission tomography (PET); small animal PET; multiplexed readout; charge signal transmission method; high resolution PET</t>
  </si>
  <si>
    <t>MICROPET; DESIGN</t>
  </si>
  <si>
    <t>Small animal positron emission tomography (PET) is a noninvasive imaging modality that enables in vivo imaging and quantification of the biological processes of small experimental animals. We have developed a small animal PET that utilizes a high-resolution multiplexed readout and charge signal transmission (CST) method. The small animal PET was composed of six detector blocks consisting of SiPMs and LYSO arrays. Six detector blocks were mounted on a PET gantry having an inner diameter of 76 mm, outer diameter of 112 mm, and axial length of 40.8 mm. The charge signals of SiPM output were transmitted to the input of multiplexed readout using 4 m flexible flat cables. The multiplexed readout was composed of six main boards, each of which included 36 detector boards, to reduce the number of readout channels by a factor of 36, with a multiplexing ratio of 144:4. The performance of the small animal PET was evaluated using NEMA NU 4-2008 standards, and its imaging capability was demonstrated by in vivo mouse imaging studies. The average energy and time resolutions were 13.2% +/- 0.3% and 3.8 ns, respectively. The spatial resolution at the center of the transaxial FOV was 1.1 mm, and the peak sensitivity at the center of the axial FOV was 1.5%. The peak noise equivalent count (NEC) rate and scatter fraction were 21.1 kcps at 18.2 MBq and 21%, respectively. The acquired images demonstrated high quality tracer uptake patterns of small experimental animals. The results of performance evaluation and animal imaging indicate that the small animal PET developed in this study can provide high-quality small animal imaging with cost-effectiveness and compactness.</t>
  </si>
  <si>
    <t>[Lee, Sangwon; Choi, Yong; Jung, Jin Ho; Jung, Jiwoong; Kim, kyu Bom; Choe, Hyeok-jun; Leem, Hyun Tae] Sogang Univ, Dept Elect Engn, Mol Imaging Res &amp; Educ MiRe Lab, Seoul, South Korea; [Lee, Hwunjae; Huh, Yong-Min] Yonsei Univ, Coll Med, Dept Radiol, Seoul 04107, South Korea</t>
  </si>
  <si>
    <t>Sogang University; Yonsei University; Yonsei University Health System</t>
  </si>
  <si>
    <t>Choi, Y (通訊作者)， Sogang Univ, Dept Elect Engn, Mol Imaging Res &amp; Educ MiRe Lab, Seoul, South Korea.</t>
  </si>
  <si>
    <t>ychoi@sogang.ac.kr</t>
  </si>
  <si>
    <t>; Lee, Hwunjae/MIU-4957-2025</t>
  </si>
  <si>
    <t>Lee, Sangwon/0000-0003-1982-2605;</t>
  </si>
  <si>
    <t>International Cooperative R&amp;D Program of the Ministry of Trade, Industry and Energy (MOTIE) [P0000621]; Korea Institute for Advancement of Technology (KIAT); Basic Science Research Program [2017R1E1A1A01073826]; Radiation Technology R&amp;D program through the National Research Foundation of Korea (NRF) of the MSIT (Ministry of Science and ICT), Republic of Korea [2017M2A2A4A01071286]</t>
  </si>
  <si>
    <t>International Cooperative R&amp;D Program of the Ministry of Trade, Industry and Energy (MOTIE); Korea Institute for Advancement of Technology (KIAT); Basic Science Research Program; Radiation Technology R&amp;D program through the National Research Foundation of Korea (NRF) of the MSIT (Ministry of Science and ICT), Republic of Korea</t>
  </si>
  <si>
    <t>This research was supported by the International Cooperative R&amp;D Program (No. P0000621) of the Ministry of Trade, Industry and Energy (MOTIE) and Korea Institute for Advancement of Technology (KIAT) and by the Basic Science Research Program (No. 2017R1E1A1A01073826) and the Radiation Technology R&amp;D program (No. 2017M2A2A4A01071286) through the National Research Foundation of Korea (NRF) of the MSIT (Ministry of Science and ICT), Republic of Korea.</t>
  </si>
  <si>
    <t>10.1088/1361-6560/aafeff</t>
  </si>
  <si>
    <t>WOS:000459135900003</t>
  </si>
  <si>
    <t>Martin, CJ; Temperton, H; Jupp, T; Hughes, A</t>
  </si>
  <si>
    <t>Martin, C. J.; Temperton, H.; Jupp, T.; Hughes, A.</t>
  </si>
  <si>
    <t>IPEM topical report: personal dose monitoring requirements in healthcare</t>
  </si>
  <si>
    <t>personal dosimetry; personal protective equipment; protective eyewear; finger doses; eye dosimetry; interventional radiology; interventional cardiology</t>
  </si>
  <si>
    <t>NUCLEAR-MEDICINE; INTERVENTIONAL RADIOLOGISTS; RISK-ASSESSMENT; RADIATION; EXPOSURE; EYE; STAFF; HAND; RADIOPHARMACEUTICALS; SYSTEM</t>
  </si>
  <si>
    <t>There are two major challenges for personal dosimetry in healthcare. The implications for interventional clinicians of the reduction in eye dose limit in the European Basic Safety Standards and UK regulations, and the large dose gradients across the hands of nuclear medicine staff who manipulate radionuclides. Guidelines on personal dosimetry have been prepared to address these and other issues. Collar dosemeters are recommended for assessment of eye doses for the majority of staff working with x-rays and, for interventional operators, dosemeters under their lead aprons to monitor effective dose together with eye dosemeters. When a dedicated eye dosemeter is worn together with lead glasses a correction might be required to allow for the protection provided. A dosemeter worn on the chest should provide an indication of eye dose for nuclear medicine workers. Finger doses for interventional clinicians can be monitored with ring dosemeters, but radionuclide workers may need to wear finger stalls if doses to fingertips are likely to be over 100 mSv. If only ring dosemeters are used, ratios for doses to the tip and base of the finger should be established. Guidance is given on levels where dose monitoring would be required and methods to predict dose levels based on local practices.</t>
  </si>
  <si>
    <t>[Martin, C. J.] Univ Glasgow, Gartnavel Royal Hosp, DCPB, Glasgow G12 0XH, Lanark, Scotland; [Temperton, H.] Univ Hosp Birmingham NHS Fdn Trust, 8 Middle Pk Rd, Birmingham B29 4NE, W Midlands, England; [Jupp, T.] Royal Surrey Cty Hosp, Radiat Protect, Egerton Rd, Guildford GU2 7XX, England; [Hughes, A.] Royal Preston Hosp, Sharoe Green Lane, Preston PR2 9HT, Lancs, England</t>
  </si>
  <si>
    <t>Gartnavel Royal Hospital; University of Glasgow; University of Birmingham; Royal Surrey County Hospital; Royal Preston Hospital</t>
  </si>
  <si>
    <t>Martin, CJ (通訊作者)， Univ Glasgow, Gartnavel Royal Hosp, DCPB, Glasgow G12 0XH, Lanark, Scotland.</t>
  </si>
  <si>
    <t>colin.j.martin@ntlworld.com</t>
  </si>
  <si>
    <t>John, Colin/0000-0002-0784-9002</t>
  </si>
  <si>
    <t>Institute of Physics and Engineering in Medicine</t>
  </si>
  <si>
    <t>The authors wish to acknowledge the support given by the Institute of Physics and Engineering in Medicine in preparing this paper and the report on which it is based. They also wish to thank members of the IPEM Radiation Special Interest Group and other members of the Institute who have aided in the collation of information and provided helpful comments and suggestions during preparation of the report.</t>
  </si>
  <si>
    <t>10.1088/1361-6560/aafa3f</t>
  </si>
  <si>
    <t>WOS:000456840500007</t>
  </si>
  <si>
    <t>Fedon, C; Rabin, C; Caballo, M; Diaz, O; García, E; Rodríguez-Ruiz, A; González-Sprinberg, GA; Sechopouloshs, I</t>
  </si>
  <si>
    <t>Fedon, Christian; Rabin, Carolina; Caballo, Marco; Diaz, Oliver; Garcia, Eloy; Rodriguez-Ruiz, Alejandro; Gonzalez-Sprinberg, Gabriel A.; Sechopouloshs, Ioannis</t>
  </si>
  <si>
    <t>Monte Carlo study on optimal breast voxel resolution for dosimetry estimates in digital breast tomosynthesis</t>
  </si>
  <si>
    <t>breast dosimetry; Monte Carlo simulation; digital breast tomosynthesis; voxel binning; patient-specific dosimetry</t>
  </si>
  <si>
    <t>MAMMOGRAPHY; SIMULATION; PERFORMANCE; BEAMS</t>
  </si>
  <si>
    <t>Digital breast tomosynthesis (DBT) is currently used as an adjunct technique to digital mammography (DM) for breast cancer imaging. Being a quasi-3D image, DBT is capable of providing depth information on the internal breast glandular tissue distribution, which may be enough to obtain an accurate patient-specific radiation dose estimate. However, for this, information regarding the location of the glandular tissue, especially in the vertical direction (i.e. x-ray source to detector), is needed. Therefore, a dedicated reconstruction algorithm designed to localize the amount of glandular tissue, rather than for optimal diagnostic value, could be desirable. Such a reconstruction algorithm, or, alternatively, a reconstructed DBT image classification algorithm, could benefit from the use of larger voxels, rather than the small sizes typically used for the diagnostic task. In addition, the Monte Carlo (MC) based dose estimates would be accelerated by the representation of the breast tissue with fewer and larger voxels. Therefore, in this study we investigate the optimal DBT reconstructed voxel size that allows accurate dose evaluations (i.e. within 5%) using a validated Geant4-based MC code. For this, sixty patient-based breast models, previously acquired using dedicated breast computed tomography (BCT) images, were deformed to reproduce the breast during compression under a given DBT scenario. Two re-binning approaches were applied to the compressed phantoms, leading to isotropic and anisotropic voxels of different volumes. MC DBT simulations were performed reproducing the acquisition geometry of a SIEMENS Mammomat Inspiration system. Results show that isotropic cubic voxels of 2.73 nun size provide a dose estimate accurate to within 5% for 51/60 patients, while a comparable accuracy is obtained with anisotropic voxels of dimension 5.46 x 5.46 x 2.73 mm(3). In addition, the MC simulation time is reduced by more than half in respect to the original voxel dimension of 0.273 x 0.273 x 0.273 mm(3) when either of the proposed re-binning approaches is used. No significant differences in the effect of binning on the dose estimates are observed (Wilcoxon-Mann-Whitney test, p-value &gt; 0.4) between the 0 degrees the 23 degrees (i.e. the widest angular range) exposure.</t>
  </si>
  <si>
    <t>[Fedon, Christian; Caballo, Marco; Rodriguez-Ruiz, Alejandro; Sechopouloshs, Ioannis] Radboud Univ Nijmegen, Med Ctr, Dept Radiol &amp; Nucl Med, Geert Grootepl 10, NL-6525 GA Nijmgen, Netherlands; [Rabin, Carolina; Gonzalez-Sprinberg, Gabriel A.] Univ Repub, Fac Ciencias, Inst Fis, Igua 4225, Montevideo 11600, Uruguay; [Diaz, Oliver] Univ Girona, Comp Vis &amp; Robot Inst, Campus Montilivi, Girona 17071, Spain; [Garcia, Eloy] Univ Leon, MIC, Robot Grp, E-24071 Leon, Spain; [Sechopouloshs, Ioannis] Dutch Expert Ctr Screening LRCM, Wijchenseweg 101, NL-6538 SW Nijmegen, Netherlands</t>
  </si>
  <si>
    <t>Radboud University Nijmegen; Universidad de la Republica, Uruguay; Universitat de Girona; Universidad de Leon</t>
  </si>
  <si>
    <t>Sechopouloshs, I (通訊作者)， Radboud Univ Nijmegen, Med Ctr, Dept Radiol &amp; Nucl Med, Geert Grootepl 10, NL-6525 GA Nijmgen, Netherlands.;Sechopouloshs, I (通訊作者)， Dutch Expert Ctr Screening LRCM, Wijchenseweg 101, NL-6538 SW Nijmegen, Netherlands.</t>
  </si>
  <si>
    <t>Ioannis.sechopouloshs@radboumc.nl</t>
  </si>
  <si>
    <t>Fedon, Christian/O-4376-2019; Sechopoulos, Ioannis/B-4762-2016; Rodriguez-Ruiz, Alejandro/J-1254-2016; Diaz Montesdeoca, Oliver/O-6378-2014; Garcia Marcos, Eloy/ACP-5333-2022; Fedon, Christian/P-5672-2016</t>
  </si>
  <si>
    <t>Rodriguez-Ruiz, Alejandro/0000-0002-7554-5561; Sechopoulos, Ioannis/0000-0001-9615-8205; Diaz Montesdeoca, Oliver/0000-0001-6789-5177; Garcia Marcos, Eloy/0000-0002-0587-1919; Caballo, Marco/0000-0002-3700-2785; Fedon, Christian/0000-0002-5998-453X</t>
  </si>
  <si>
    <t>Susan G Komen Foundation for the Cure [IIR13262248]; National Cancer Institute [R01CA163746, R01CA181171]; Comision Academica de Posgrado (CAP) [C681]; Comision Sectorial de Investigacion Cientifica (CSIC) [C681]</t>
  </si>
  <si>
    <t>Susan G Komen Foundation for the Cure(Susan G. Komen Breast Cancer Foundation); National Cancer Institute(United States Department of Health &amp; Human ServicesNational Institutes of Health (NIH) - USANIH National Cancer Institute (NCI)); Comision Academica de Posgrado (CAP); Comision Sectorial de Investigacion Cientifica (CSIC)</t>
  </si>
  <si>
    <t>This work has been supported by the Susan G Komen Foundation for the Cure (IIR13262248) and in part by the National Cancer Institute (R01CA163746, R01CA181171). Authors would like to thank the Comision Academica de Posgrado (CAP) and Comision Sectorial de Investigacion Cientifica (CSIC) under project C681. The content is solely the responsibility of the authors and does not necessarily represent the official views of the funding agencies.</t>
  </si>
  <si>
    <t>10.1088/1361-6560/aaf453</t>
  </si>
  <si>
    <t>WOS:000454078500001</t>
  </si>
  <si>
    <t>Hernandez, M</t>
  </si>
  <si>
    <t>Hernandez, Monica</t>
  </si>
  <si>
    <t>PDE-constrained LDDMM via geodesic shooting and inexact Gauss-Newton-Krylov optimization using the incremental adjoint Jacobi equations</t>
  </si>
  <si>
    <t>PDE-constrained; diffeomorphic registration; Gauss-Newton-Krylov optimization; geodesic shooting; incremental adjoint Jacobi equation; EPDiff-LDDMM</t>
  </si>
  <si>
    <t>IMAGE REGISTRATION</t>
  </si>
  <si>
    <t>The class of non-rigid registration methods proposed in the framework of PDE-constrained large deformation diffeomorphic metric mapping is a particularly interesting family of physically meaningful diffeomorphic registration methods. Inexact Gauss-Newton-Krylov optimization has shown an excellent numerical accuracy and an extraordinarily fast convergence rate in this framework. However, the Galerkin representation of the non-stationary velocity fields does not provide proper geodesic paths. In this work, we propose a method for PDE-constrained LDDMM parameterized in the space of initial velocity fields under the EPDiff equation. The derivation of the gradient and the Hessian-vector products are performed on the final velocity field and transported backward using the adjoint and the incremental adjoint Jacobi equations. This way, we avoid the complex dependence on the initial velocity field in the computations. We also avoid the computation of the adjoint equation and its incremental counterpart that has been recently identified as a subtle problem in PDE-constrained LDDMM. The proposed method provides geodesics in the framework of PDE-constrained LDDMM, and it shows performance competing with benchmark PDE-constrained LDDMM and EPDiff-LDDMM methods.</t>
  </si>
  <si>
    <t>[Hernandez, Monica] Univ Zaragoza, Aragon Inst Engn Res I3A, Dept Comp Sci, Zaragoza, Spain</t>
  </si>
  <si>
    <t>University of Zaragoza</t>
  </si>
  <si>
    <t>Hernandez, M (通訊作者)， Univ Zaragoza, Aragon Inst Engn Res I3A, Dept Comp Sci, Zaragoza, Spain.</t>
  </si>
  <si>
    <t>mhg@unizar.es</t>
  </si>
  <si>
    <t>; Hernandez, Monica/A-9855-2013</t>
  </si>
  <si>
    <t>Hernandez Gimenez, Monica/0000-0003-1270-5852;</t>
  </si>
  <si>
    <t>Spanish research grant [TIN2016-80347-R]</t>
  </si>
  <si>
    <t>Spanish research grant(Spanish Government)</t>
  </si>
  <si>
    <t>The author would like to acknowledge the anonymous reviewers for their revision of the manuscript. The author would like to give special thanks to Wen Mei Hwu from the University of Illinois for interesting ideas in the GPU implementation of the methods, and Nacho Navarro from the BSC, for providing access and support to their multi-GPU cluster. I also would like to thank Anthony Kolasny and Mirza Faisal Beg for the permission to use the 2D monkey brain images and to Gary Christensen for providing the access to the NIREP database. This work was partially supported by Spanish research grant TIN2016-80347-R.</t>
  </si>
  <si>
    <t>10.1088/1361-6560/aaf598</t>
  </si>
  <si>
    <t>WOS:000455360700002</t>
  </si>
  <si>
    <t>Zani, M; Marrazzo, L; Calusi, S; Talamonti, C; Scoccianti, S; Greto, D; Desideri, I; Fusi, F; Pallotta, S</t>
  </si>
  <si>
    <t>Zani, M.; Marrazzo, L.; Calusi, S.; Talamonti, C.; Scoccianti, S.; Greto, D.; Desideri, I; Fusi, F.; Pallotta, S.</t>
  </si>
  <si>
    <t>TomoTherapy treatments of multiple brain lesions: an in-phantom accuracy evaluation</t>
  </si>
  <si>
    <t>TomoTherapy; multiple brain metastasis; in phantom setup accuracy</t>
  </si>
  <si>
    <t>HELICAL TOMOTHERAPY; STEREOTACTIC RADIOSURGERY; GAMMA-KNIFE; QUALITY-ASSURANCE; METASTASES; MEGAVOLTAGE; CYBERKNIFE; SINGLE; REGISTRATION; BOOST</t>
  </si>
  <si>
    <t>Aim of the present study was to evaluate the accuracy which can be obtained with helical TomoTherapy (R) (HT, Accuray) systems in the case of multiple intracranial targets treatments. Set-up accuracy was measured, for different registration options and MegaVoltage CT (MVCT) slice thickness, by applying known misalignments to an ad-hoc developed phantom. End-to-end (E2E) tests were performed to assess the delivery accuracy in phantoms containing multiple targets by using radiochromic films: measured dose distribution centroids were compared with physical and calculated target positions on axial and coronal planes. A Gamma index analysis was carried out on planned and measured planar dose maps. The bone and tissue algorithm with the fine MVCT reconstruction grid gave the best results among the automatic options. The most accurate registration modality resulted to be the manual one with a sub-voxel accuracy shifts and a capability in the detection of rotations within 0.3 degrees. For the E2E along the coronal plane (six targets), a mean deviation between measured dose distribution centroids and physical barycenters of 0.6 mm (range 0.1 mm-1.3 mm) was observed. Along the axial plane (five targets), a mean deviation of 1.2 mm (range 0.7 mm-2.1 mm) was found for the centroids shifts. Gamma index (5%, 1 mm, local) passing rates higher than 87.5% between planned and delivered dose distributions were measured. These results demonstrate that multiple brain lesion HT treatments are feasible with an accuracy at least comparable to frameless linac-based delivery, when a set-up capable to assure angular corrections and a reliable patient immobilization is employed.</t>
  </si>
  <si>
    <t>[Zani, M.; Calusi, S.; Talamonti, C.; Scoccianti, S.; Desideri, I; Fusi, F.; Pallotta, S.] Dept Biomed Expt &amp; Clin Sci Mario Serio, Viale Morgagni 50, I-50134 Florence, Italy; [Marrazzo, L.; Scoccianti, S.] Azienda Osped Univ Careggi, Med Phys Unit, Largo Brambilla 3, I-50134 Florence, Italy; [Greto, D.; Desideri, I] Azienda Osped Univ Careggi, Radiotherapy Unit, Largo Brambilla 3, I-50134 Florence, Italy</t>
  </si>
  <si>
    <t>University of Florence; Azienda Ospedaliero Universitaria Careggi; University of Florence; Azienda Ospedaliero Universitaria Careggi</t>
  </si>
  <si>
    <t>Zani, M (通訊作者)， Dept Biomed Expt &amp; Clin Sci Mario Serio, Viale Morgagni 50, I-50134 Florence, Italy.</t>
  </si>
  <si>
    <t>marghezani@gmail.com</t>
  </si>
  <si>
    <t>Desideri, Isacco/K-4415-2018; pallotta, stefania/E-9832-2013; Talamonti, Cinzia/K-4087-2018; fusi, franco/K-4637-2013; Greto, Daniela/K-5528-2018; Desideri, Isacco/O-1633-2019; Bisin, Silvia/JXY-3337-2024</t>
  </si>
  <si>
    <t>Desideri, Isacco/0000-0002-9880-8387; Greto, Daniela/0000-0002-2667-0841; Marrazzo, Livia/0000-0001-9622-9413; Talamonti, Cinzia/0000-0003-2955-6451; fusi, franco/0000-0002-4349-0842; pallotta, stefania/0000-0003-4123-7971;</t>
  </si>
  <si>
    <t>Soroptimist Club of Florence</t>
  </si>
  <si>
    <t>This work was funded thanks to the support of the Soroptimist Club of Florence, Italy-Award in memory of Prof Raffaella De Dominicis for young women involved in STEM.</t>
  </si>
  <si>
    <t>10.1088/1361-6560/aaf977</t>
  </si>
  <si>
    <t>HI2IH</t>
  </si>
  <si>
    <t>WOS:000456268100003</t>
  </si>
  <si>
    <t>Altunbas, C; Alexeev, T; Miften, M; Kavanagh, B</t>
  </si>
  <si>
    <t>Altunbas, Cem; Alexeev, Timur; Miften, Moyed; Kavanagh, Brian</t>
  </si>
  <si>
    <t>Effect of grid geometry on the transmission properties of 2D grids for flat detectors in CBCT</t>
  </si>
  <si>
    <t>antiscatter grid; CBCT; image guided radiation therapy; scatter removal</t>
  </si>
  <si>
    <t>ANTI-SCATTER GRIDS; ANTISCATTER GRIDS; PERFORMANCE; CT</t>
  </si>
  <si>
    <t>To suppress scatter in cone beam computed tomography (CBCT), two-dimensional antiscatter grids (2D grid) have been recently proposed. In this work, we developed several grid prototypes with higher grid ratios and smaller grid pitches than previous designs, and quantified their primary and scatter transmission properties in the context of CBCT for radiation therapy. Three focused 2D grid prototypes were developed with grid ratios at 12 and 16, and grid pitches at 2 and 3?mm. Their scatter transmission properties were measured between 80?140 kVp, and benchmarked against a high performance radiographic grid (1D grid) using a Varian TrueBeam CBCT system. The effect of source?grid misalignment on the primary transmission and the improvement in contrast-to-noise ratio (CNR) were also evaluated. Changing the grid pitch from two to three mm increased the average primary transmission from 84% to 89%. Maximum scatter-to-primary ratio (SPR) with grid ratio of 12 was 0.3, and increasing the grid ratio to 16 reduced SPR by 30%. A 10?mm misalignment in 2D grid position led to a 6%?8% reduction in average primary transmission, and reduction was more pronounced for the higher grid ratio. 2D grids provided up to factor of seven lower SPR and 21% better primary transmission than the 1D grid, and their scatter transmission exhibited lower energy dependence. While 2D grids provided up to factor of 2.3 higher CNR improvement, a significant variation in CNR improvement was not observed among different grid pitch and ratios. In summary, grid ratio of 16 and grid pitch of 2?mm can keep SPRs below 0.2 even in high scatter conditions, while keeping primary transmission fractions above 80%, key benefits of the investigated 2D grids in improving image quality of CBCT. However, such grids require precise alignment in source-grid geometry during CBCT acquisitions. This study also implies that 2D grids can provide substantially better scatter suppression and primary transmission than high-performance 1D grids currently available.</t>
  </si>
  <si>
    <t>[Altunbas, Cem; Alexeev, Timur; Miften, Moyed; Kavanagh, Brian] Univ Colorado, Sch Med, Dept Radiat Oncol, 1665 Aurora Court,Suite 1032,Mail Stop F-706, Aurora, CO 80045 USA</t>
  </si>
  <si>
    <t>University of Colorado System; University of Colorado Anschutz Medical Campus</t>
  </si>
  <si>
    <t>Altunbas, C (通訊作者)， Univ Colorado, Sch Med, Dept Radiat Oncol, 1665 Aurora Court,Suite 1032,Mail Stop F-706, Aurora, CO 80045 USA.</t>
  </si>
  <si>
    <t>cem.altunbas@cuanschutz.edu</t>
  </si>
  <si>
    <t>kavanagh, brian/HTQ-4160-2023</t>
  </si>
  <si>
    <t>NIH/NCI [R21CA198462]; Cancer League of Colorado</t>
  </si>
  <si>
    <t>NIH/NCI(United States Department of Health &amp; Human ServicesNational Institutes of Health (NIH) - USANIH National Cancer Institute (NCI)); Cancer League of Colorado</t>
  </si>
  <si>
    <t>This work was funded in part by grants from NIH/NCI (R21CA198462) and Cancer League of Colorado.</t>
  </si>
  <si>
    <t>10.1088/1361-6560/ab4af4</t>
  </si>
  <si>
    <t>JR0VM</t>
  </si>
  <si>
    <t>WOS:000499353600001</t>
  </si>
  <si>
    <t>Andreo, P</t>
  </si>
  <si>
    <t>Andreo, Pedro</t>
  </si>
  <si>
    <t>Data for the dosimetry of low- and medium-energy kV x rays</t>
  </si>
  <si>
    <t>kilovoltage x rays; kV dosimetry protocols; backscatter factors; Monte Carlo</t>
  </si>
  <si>
    <t>PHOTON BACKSCATTER FACTOR; ABSORPTION COEFFICIENTS; MASS ATTENUATION; WATER; RATIOS; DEPENDENCE; VOLTAGES</t>
  </si>
  <si>
    <t>Following the publication of the ICRU Report 90 (2016) on key data for measurement standards in radiation dosimetry, where ionometric air-kerma standards for kilovoltage (kV) x-ray beams are estimated to change by up to about 0.5%, an update of the backscatter factors and water/air ratios of mass energy-absorption coefficients in kV dosimetry protocols was deemed necessary for consistency through the entire dosimetry chain. In addition, numerical methods and Monte Carlo (MC) systems that did not exist at the time when air-kerma protocols were developed, are currently available. Calculations of the chamber-independent quantities required for the dosimetry of low- and medium-energy kV x rays were carried out using a consistent set of key data throughout the complete process. The quantities were based on MC calculations of a database for a dense grid of monoenergetic photons for different beam diameters and source-to-surface distances, followed by an averaging procedure to compute water/air energy-absorption coefficient ratios and backscatter factors for 342 experimental and calculated kV spectra. It was found that for a given HVL and field size the variation of backscatter factors for different kVs can be up to about 5%, a trend confirmed with independent calculations that shows the limitation of using only the HVL for the beam quality specification of kV x rays. Extensive tables as a function of beam quality in terms of kV and HVL were developed for configurations that might be encountered in clinical practice; the data are also available in the form of a GUI web app at http://52.233.195.208. Results were compared with data used at PTB for deriving low-energy N-D,N-w,N-Q ion chamber calibration coefficients, finding agreement within about +/- 0.5%, and with independent full MC kerma calculations that agreed within better than about 1%. Compared with the data in the AAPM TG-61 protocol (Ma et al 2001 Med. Phys. 28 868-93) there was in general good agreement for the ratios of mass energy-absorption coefficients, although differences of up to 1.5% resulted when both kV and HVL were taken into account; more significant discrepancies, within about 2%-6%, were obtained for backscatter factors, the present values being generally higher.</t>
  </si>
  <si>
    <t>[Andreo, Pedro] Karolinska Univ Hosp, Dept Med Radiat Phys &amp; Nucl Med, SE-17176 Stockholm, Sweden; [Andreo, Pedro] Karolinska Inst, Dept Oncol Pathol, SE-17176 Stockholm, Sweden</t>
  </si>
  <si>
    <t>Karolinska Institutet; Karolinska University Hospital; Karolinska Institutet</t>
  </si>
  <si>
    <t>Andreo, P (通訊作者)， Karolinska Univ Hosp, Dept Med Radiat Phys &amp; Nucl Med, SE-17176 Stockholm, Sweden.;Andreo, P (通訊作者)， Karolinska Inst, Dept Oncol Pathol, SE-17176 Stockholm, Sweden.</t>
  </si>
  <si>
    <t>pedro.andreo@ki.se</t>
  </si>
  <si>
    <t>Andreo, Pedro/0000-0001-6665-6350</t>
  </si>
  <si>
    <t>10.1088/1361-6560/ab421d</t>
  </si>
  <si>
    <t>WOS:000500247900019</t>
  </si>
  <si>
    <t>Emond, EC; Groves, AM; Hutton, BF; Thielemans, K</t>
  </si>
  <si>
    <t>Emond, Elise C.; Groves, Ashley M.; Hutton, Brian F.; Thielemans, Kris</t>
  </si>
  <si>
    <t>Effect of positron range on PET quantification in diseased and normal lungs</t>
  </si>
  <si>
    <t>PET; lung imaging; positron range; lung fibrosis; lung tumor</t>
  </si>
  <si>
    <t>IDIOPATHIC PULMONARY-FIBROSIS; PERFORMANCE; SCANNER; FUTURE</t>
  </si>
  <si>
    <t>The impact of positron range on PET image reconstruction has often been investigated as a blurring effect that can be partly corrected by adding an element to the PET system matrix in the reconstruction, usually based on a Gaussian kernel constructed from the attenuation values. However, the physics involved in PET is more complex. In regions where density does not vary, positron range indeed involves mainly blurring. However, in more heterogeneous media it can cause other effects. This work focuses on positron range in the lungs and its impact on quantification, especially in the case of pathologies such as cancer or pulmonary fibrosis, for which the lungs have localised varying density. Using Monte Carlo simulations, we evaluate the effects of positron range for multiple radionuclides (F-18, O-15, Ga-68, Zr-89, Rb-82, Cu-64 and I-124) as, for novel radiotracers, the choice of the labelling radionuclide is important. The results demonstrate quantification biases in highly heterogeneous media, where the measured uptake of high-density regions can be increased by the neighbouring radioactivity from regions of lower density, with the effect more noticeable for radionuclides with high-energy positron emission. When the low-density regions are considered to have less radioactive uptake (e.g. due to the presence of air), the effect is less severe.</t>
  </si>
  <si>
    <t>[Emond, Elise C.; Groves, Ashley M.; Hutton, Brian F.; Thielemans, Kris] UCL, Inst Nucl Med, London NW1 2BU, England; [Hutton, Brian F.] Univ Wollongong, Ctr Med Radiat Phys, Wollongong, NSW 2522, Australia</t>
  </si>
  <si>
    <t>University of London; University College London; University of Wollongong</t>
  </si>
  <si>
    <t>Emond, EC (通訊作者)， UCL, Inst Nucl Med, London NW1 2BU, England.</t>
  </si>
  <si>
    <t>elise.emond.16@ucl.ac.uk</t>
  </si>
  <si>
    <t>; Thielemans, Kris/AAG-9208-2019</t>
  </si>
  <si>
    <t>Emond, Elise/0000-0003-4224-2916; Thielemans, Kris/0000-0002-5514-199X</t>
  </si>
  <si>
    <t>GlaxoSmithKline [BIDS3000030921]; National Institute for Health Research, University College London Hospitals Biomedical Research Centre</t>
  </si>
  <si>
    <t>GlaxoSmithKline(GlaxoSmithKline); National Institute for Health Research, University College London Hospitals Biomedical Research Centre</t>
  </si>
  <si>
    <t>The authors acknowledge funding support from GlaxoSmithKline (BIDS3000030921) and research support from the National Institute for Health Research, University College London Hospitals Biomedical Research Centre. We would also like to thank Robert Shortman for research governance and administration and Maria Machado for the help with data transfer and analysis.</t>
  </si>
  <si>
    <t>10.1088/1361-6560/ab469d</t>
  </si>
  <si>
    <t>Green Submitted, hybrid</t>
  </si>
  <si>
    <t>WOS:000500247900010</t>
  </si>
  <si>
    <t>Lin, YT; Clasie, B; Liu, T; McDonald, M; Langen, KM; Gao, H</t>
  </si>
  <si>
    <t>Lin, Yuting; Clasie, Benjamin; Liu, Tian; McDonald, Mark; Langen, Katja M.; Gao, Hao</t>
  </si>
  <si>
    <t>Minimum-MU and sparse-energy-layer (MMSEL) constrained inverse optimization method for efficiently deliverable PBS plans</t>
  </si>
  <si>
    <t>proton therapy; pencil beam scanning (PBS); intensity modulated proton therapy (IMPT); alternating direction method of multipliers (ADMM); minimum monitor unit (MU); sparse energy layer</t>
  </si>
  <si>
    <t>The deliverability of proton pencil beam scanning (PBS) plans is subject to the minimum monitor-unit (MU) constraint, while the delivery efficiency depends on the number of proton energy layers. This work develops an inverse optimization method for generating efficiently deliverable PBS plans. The proposed minimum-MU and sparse-energy-layer (MMSEL) constrained inverse optimization method utilizes iterative convex relaxations to handle the nonconvexity from minimum-MU constraint and dose-volume constraints, and regularizes group sparsity of proton spots to minimize the number of energy layers. The tradeoff between plan quality and delivery efficiency (in terms of the number of used energy layers) is controlled by the objective weighting of group sparsity regularization. MMSEL consists of two steps: first minimize for appropriate energy layers, and then with selected energy layers solve for the deliverable PBS plan. The solution algorithm for MMSEL is developed using alternating direction method of multipliers (ADMM). Range and setup uncertainties are modelled by robust optimization. MMSEL was validated using representative prostate, lung, and head-and-neck (HN) cases. The minimum-MU constraint was strictly enforced for all cases, so that all plans were deliverable. The number of energy layers was reduced by MMSEL to 78%, 76%, and 61% for prostate, lung and HN, respectively, while the similar plan quality was achieved. The number of energy layers was reduced by MMSEL to 54%, 57%, and 37% for prostate, lung and HN, respectively, while the plan quality was comprised and acceptable. MMSEL is proposed to strictly enforce minimum-MU constraint and minimize the number of energy layers during inverse optimization for efficiently deliverable PBS plans. In particular, the preliminary results suggest MMSEL potentially enables 25% to 40% reduction of energy layers while maintaining the similar plan quality.</t>
  </si>
  <si>
    <t>[Lin, Yuting; Liu, Tian; McDonald, Mark; Langen, Katja M.; Gao, Hao] Emory Univ, Dept Radiat Oncol, Winship Canc Inst, Atlanta, GA 30322 USA; [Clasie, Benjamin] Massachusetts Gen Hosp, Dept Radiat Oncol, Boston, MA 02114 USA; [Clasie, Benjamin] Harvard Med Sch, Boston, MA 02115 USA</t>
  </si>
  <si>
    <t>10.1088/1361-6560/ab4529</t>
  </si>
  <si>
    <t>WOS:000500247900001</t>
  </si>
  <si>
    <t>Caucci, L; Liu, Z; Jha, AK; Han, H; Furenlid, LR; Barrett, HH</t>
  </si>
  <si>
    <t>Caucci, L.; Liu, Z.; Jha, A. K.; Han, H.; Furenlid, L. R.; Barrett, H. H.</t>
  </si>
  <si>
    <t>Towards continuous-to-continuous 3D imaging in the real world</t>
  </si>
  <si>
    <t>emission tomography; SPECT; reconstruction; MLEM; graphics processing units; GPU</t>
  </si>
  <si>
    <t>OBJECTIVE ASSESSMENT; MAXIMUM-LIKELIHOOD; GAMMA; DETECTORS; ALGORITHM; QUALITY</t>
  </si>
  <si>
    <t>Imaging systems are often modeled as continuous-to-discrete mappings that map the object (i.e. a function of continuous variables such as space, time, energy, wavelength, etc) to a finite set of measurements. When it comes to reconstruction, some discretized version of the object is almost always assumed, leading to a discrete-to-discrete representation of the imaging system. In this paper, we discuss a method for single-photon emission computed tomography (SPECT) imaging that avoids discrete representations of the object or the imaging system, thus allowing reconstruction on an arbitrarily fine set of points.</t>
  </si>
  <si>
    <t>[Caucci, L.; Liu, Z.; Furenlid, L. R.; Barrett, H. H.] Univ Arizona, Dept Med Imaging, Tucson, AZ 85724 USA; [Caucci, L.; Furenlid, L. R.; Barrett, H. H.] Univ Arizona, Coll Opt Sci, Tucson, AZ 85719 USA; [Jha, A. K.; Barrett, H. H.] Washington Univ, Sch Med, St Louis, MO 63110 USA; [Han, H.] Translat Genom Res Inst, Mol Med Div, Phoenix, AZ 85004 USA</t>
  </si>
  <si>
    <t>University of Arizona; University of Arizona; Washington University (WUSTL); Translational Genomics Research Institute</t>
  </si>
  <si>
    <t>Caucci, L (通訊作者)， Univ Arizona, Dept Med Imaging, Tucson, AZ 85724 USA.;Caucci, L (通訊作者)， Univ Arizona, Coll Opt Sci, Tucson, AZ 85719 USA.</t>
  </si>
  <si>
    <t>caucci@email.arizona.edu</t>
  </si>
  <si>
    <t>; Jha, Abhinav/H-5408-2016</t>
  </si>
  <si>
    <t>Jha, Abhinav/0000-0002-4795-4878;</t>
  </si>
  <si>
    <t>National Institutes of Health [5-R01-EB000803, 5-P41-EB002035, 1-R21-EB024647, 5-R01-CA169281]</t>
  </si>
  <si>
    <t>This research was supported by National Institutes of Health grants 5-R01-EB000803, 5-P41-EB002035, 1-R21-EB024647 and 5-R01-CA169281.</t>
  </si>
  <si>
    <t>10.1088/1361-6560/ab3fb5</t>
  </si>
  <si>
    <t>WOS:000486374400001</t>
  </si>
  <si>
    <t>Mittermeier, A; Ertl-Wagner, B; Ricke, J; Dietrich, O; Ingrisch, M</t>
  </si>
  <si>
    <t>Mittermeier, Andreas; Ertl-Wagner, Birgit; Ricke, Jens; Dietrich, Olaf; Ingrisch, Michael</t>
  </si>
  <si>
    <t>Bayesian pharmacokinetic modeling of dynamic contrast-enhanced magnetic resonance imaging: validation and application</t>
  </si>
  <si>
    <t>Bayesian inference; tracer-kinetic modeling; DCE-MRI; perfusion</t>
  </si>
  <si>
    <t>DCE-MRI; TRACER; PERMEABILITY; PARAMETERS; ALGORITHM; PERFUSION</t>
  </si>
  <si>
    <t>Tracer-kinetic analysis of dynamic contrast-enhanced magnetic resonance imaging data is commonly performed with the well-known Tofts model and nonlinear least squares (NLLS) regression. This approach yields point estimates of model parameters, uncertainty of these estimates can be assessed e.g. by an additional bootstrapping analysis. Here, we present a Bayesian probabilistic modeling approach for tracer-kinetic analysis with a Tofts model, which yields posterior probability distributions of perfusion parameters and therefore promises a robust and information-enriched alternative based on a framework of probability distributions. In this manuscript, we use the quantitative imaging biomarkers alliance (QIBA) Tofts phantom to evaluate the Bayesian tofts model (BTM) against a bootstrapped NLLS approach. Furthermore, we demonstrate how Bayesian posterior probability distributions can be employed to assess treatment response in a breast cancer DCE-MRI dataset using Cohen's d. Accuracy and precision of the BTM posterior distributions were validated and found to be in good agreement with the NLLS approaches, and assessment of therapy response with respect to uncertainty in parameter estimates was found to be excellent. In conclusion, the Bayesian modeling approach provides an elegant means to determine uncertainty via posterior distributions within a single step and provides honest information about changes in parameter estimates.</t>
  </si>
  <si>
    <t>[Mittermeier, Andreas; Ertl-Wagner, Birgit; Ricke, Jens; Dietrich, Olaf; Ingrisch, Michael] Ludwig Maximilians Univ Hosp Munich, Dept Radiol, Munich, Germany; [Ertl-Wagner, Birgit] Univ Toronto, Hosp Sick Children, Dept Med Imaging, Toronto, ON, Canada</t>
  </si>
  <si>
    <t>University of Munich; University of Toronto; Hospital for Sick Children (SickKids)</t>
  </si>
  <si>
    <t>Mittermeier, A (通訊作者)， Ludwig Maximilians Univ Hosp Munich, Dept Radiol, Munich, Germany.</t>
  </si>
  <si>
    <t>Andreas.Mittermeier@med.lmu.de</t>
  </si>
  <si>
    <t>; Dietrich, Olaf/C-4696-2014; Ingrisch, Michael/T-3408-2017; Ertl-Wagner, Birgit/AAD-5708-2020</t>
  </si>
  <si>
    <t>Ertl-Wagner, Birgit/0000-0002-7896-7049; Dietrich, Olaf/0000-0001-6182-5039; Ingrisch, Michael/0000-0003-0268-9078; Mittermeier, Andreas/0000-0001-5743-473X</t>
  </si>
  <si>
    <t>DFG, Deutsche Forschungsgemeinschaft [GRK 2274]</t>
  </si>
  <si>
    <t>DFG, Deutsche Forschungsgemeinschaft(German Research Foundation (DFG))</t>
  </si>
  <si>
    <t>This work was supported by the research training group GRK 2274 of the DFG, Deutsche Forschungsgemeinschaft.</t>
  </si>
  <si>
    <t>18NTO2</t>
  </si>
  <si>
    <t>10.1088/1361-6560/ab3a5a</t>
  </si>
  <si>
    <t>Green Accepted, Green Submitted, hybrid</t>
  </si>
  <si>
    <t>WOS:000486373800002</t>
  </si>
  <si>
    <t>Bäumer, C; Fuentes, C; Janson, M; Matic, A; Timmermann, B; Wulff, J</t>
  </si>
  <si>
    <t>Baeumer, C.; Fuentes, C.; Janson, M.; Matic, A.; Timmermann, B.; Wulff, J.</t>
  </si>
  <si>
    <t>Stereotactical fields applied in proton spot scanning mode with range shifter and collimating aperture</t>
  </si>
  <si>
    <t>proton therapy; spot scanning; lateral dose fall-off; SRT; apertures</t>
  </si>
  <si>
    <t>BEAM; THERAPY; DOSIMETRY; PENUMBRA; SCATTER; DEVICES; SIZE</t>
  </si>
  <si>
    <t>Some clinical indications require small fields with sharp lateral dose gradients, which is technically challenging in proton beam therapy. This holds especially true for low-range fields applied with the spot scanning technique, where large beam profiles entering from the beam-line or the insertion of range shifting blocks lead to large lateral gradients. We regard the latter case and solve it by shifting the range shifting block far upstream in conjunction with a collimating aperture dose to the patient. The experiments of the current work are based on a commercial proton therapy treatment head designed for several delivery modes. In a research environment of the spot-scanning delivery mode a range shifter is inserted downstream of the scanning magnets in a slot which is usually employed only in a scattering delivery mode. This configuration is motivated by equations assuming a simple model of proton transport. In the experiments lateral dose planes are acquired with a scintillation screen and radiochromic films. Dose distributions are calculated with the Monte Carlo dose engine of the RayStation treatment planning system. We demonstrate that proton fields with 80%-20% lateral dose fall-off values between 1.4 mm and 4.0 mm can be achieved for water equivalent depths between 0 cm and 10 cm. The simulated lateral dose profiles agree with the experimental dose profiles. The sharpening of the field edges is set off by a broadening of the proton spots towards the center of the fields. This limits the clinical application mainly to small fields for which the distal and proximal conformality is of minor importance.</t>
  </si>
  <si>
    <t>[Baeumer, C.; Timmermann, B.; Wulff, J.] West German Proton Therapy Ctr Essen, Hufelandstr 55, Essen, Germany; [Baeumer, C.; Timmermann, B.; Wulff, J.] Univ Hosp Essen, Hufelandstr 55, Essen, Germany; [Baeumer, C.; Timmermann, B.; Wulff, J.] West German Canc Ctr WTZ, Hufelandstr 55, Essen, Germany; [Baeumer, C.; Timmermann, B.] German Canc Consortium DKTK, Heidelberg, Germany; [Fuentes, C.; Matic, A.] IBA PT, Chemin Cyclotron 3, Lovain La Neuve, Belgium; [Janson, M.] RaySearch Labs, Sveavagen 44, Stockholm, Sweden; [Timmermann, B.] Univ Hosp Essen, Dept Particle Therapy, Hufelandstr 55, Essen, Germany</t>
  </si>
  <si>
    <t>University of Duisburg Essen; Helmholtz Association; German Cancer Research Center (DKFZ); University of Duisburg Essen</t>
  </si>
  <si>
    <t>Bäumer, C (通訊作者)， West German Proton Therapy Ctr Essen, Hufelandstr 55, Essen, Germany.;Bäumer, C (通訊作者)， Univ Hosp Essen, Hufelandstr 55, Essen, Germany.;Bäumer, C (通訊作者)， West German Canc Ctr WTZ, Hufelandstr 55, Essen, Germany.;Bäumer, C (通訊作者)， German Canc Consortium DKTK, Heidelberg, Germany.</t>
  </si>
  <si>
    <t>christian.baeumer@uk-essen.de</t>
  </si>
  <si>
    <t>; Bäumer, Christian/AAE-3994-2022</t>
  </si>
  <si>
    <t>Wulff, Jorg/0000-0001-8260-3523;</t>
  </si>
  <si>
    <t>10.1088/1361-6560/ab2ae7</t>
  </si>
  <si>
    <t>WOS:000478621000003</t>
  </si>
  <si>
    <t>Jacquemin, M; Broggio, D; Franck, D; Desbrée, A</t>
  </si>
  <si>
    <t>Jacquemin, Manon; Broggio, David; Franck, Didier; Desbree, Aurelie</t>
  </si>
  <si>
    <t>Development of a dosimetric model for in vitro labelled cells with β+ emitters in PET tracking studies</t>
  </si>
  <si>
    <t>cellular dosimetry; cell radiolabelling; beta(+) emitting radionuclides</t>
  </si>
  <si>
    <t>MESENCHYMAL STEM-CELLS; MONTE-CARLO-SIMULATION; DOSE-POINT KERNELS; CELLULAR DOSIMETRY; VIVO TRACKING; PROGENITOR CELLS; LEUKOCYTES; IN-111; IRRADIATION; EXPERIENCE</t>
  </si>
  <si>
    <t>Positron emission tomography (PET) offers an effective method for tracking beta(+) emitters-labeled cells in vivo. However, in vitro high labelling activities used may cause cell damage or death. Our understanding of the impact of such procedure remains limited by the fact that the biological effects are usually linked to the activity per cell rather than the absorbed dose. To assess the dose delivered to the cells during the radiolabelling, a multi-cellular dosimetry computational tool was developed, allowing the study of two key parameters: the cell density and the labelling efficiency. Through a hybrid method based on Monte Carlo simulations (MCNP6 code) and an analytical approach implemented in Python, the mean absorbed dose received by a target cell was calculated for distributions with a very large number of cells-up to hundreds of millions. An advanced investigation of in vitro cell labelling with beta-emitting radionuclides was carried out via (i) a systematic study of the effects of the labelling parameters on the cell absorbed dose for F-18, Cu-64 and Ga-68, and (ii) a quantitative comparison between cellular and conventional dosimetry. The results provided a thorough analysis of how the dose (self, cross and extracellular medium dose contributions) varies with the initial labelling parameters selected and highlighted the conditions where the cellular dosimetry is required over the conventional dosimetry. The dosimetric model was finally applied to real conditions of F-18-FDG labelling on the basis of eight reported studies. The results showed that similar activity per cell can lead to significantly different absorbed dose and pointed out differences between cellular and conventional dosimetry up to a factor of 5.</t>
  </si>
  <si>
    <t>[Jacquemin, Manon; Broggio, David; Franck, Didier; Desbree, Aurelie] IRSN, PSE SANTE SDOS LEDI, Fontenay Aux Roses, France</t>
  </si>
  <si>
    <t>Jacquemin, M (通訊作者)， IRSN, PSE SANTE SDOS LEDI, Fontenay Aux Roses, France.</t>
  </si>
  <si>
    <t>manon.jacquemin@irsn.fr</t>
  </si>
  <si>
    <t>Broggio, David/0000-0001-8118-8268; , Manon/0000-0002-3592-0486</t>
  </si>
  <si>
    <t>10.1088/1361-6560/ab2cbe</t>
  </si>
  <si>
    <t>WOS:000480292700010</t>
  </si>
  <si>
    <t>Wang, HF; Jia, S; Chang, YC; Zhu, YJ; Zou, C; Li, Y; Liu, X; Zheng, HR; Liang, D</t>
  </si>
  <si>
    <t>Wang, Haifeng; Jia, Sen; Chang, Yuchou; Zhu, Yanjie; Zou, Chao; Li, Ye; Liu, Xin; Zheng, Hairong; Liang, Dong</t>
  </si>
  <si>
    <t>Improving GRAPPA reconstruction using joint nonlinear kernel mapped and phase conjugated virtual coils</t>
  </si>
  <si>
    <t>parallel imaging; virtual conjugate coil; nonlinear mapping; GRAPPA; geometry factor</t>
  </si>
  <si>
    <t>K-SPACE NEIGHBORHOODS; PARALLEL MRI; LORAKS; SENSE; ESPIRIT</t>
  </si>
  <si>
    <t>To improve the reconstruction condition and alleviate the noise amplification of GRAPPA reconstruction by aggregating the phase conjugated and nonlinear kernel mapped coils with the original physical coil. Nonlinear GRAPPA (NL-GRAPPA) is a kernel-based non-iterative approach which can reduce noise-induced error in GRAPPA reconstruction. And virtual conjugate coil (VCC) embeds the conjugate symmetric property of k-space into GRAPPA data synthesis to improve reconstruction condition. This work proposed NL-VCC-GRAPPA to jointly utilize the nonlinear mapped virtual coil and phase conjugated virtual coil to further reduce noise amplification in parallel imaging. In vivo static and dynamic 2D imaging accelerated by uniform undersampling schemes were performed to evaluate the proposed method in terms of visual image quality, root-mean-square-error (RMSE), and geometry factor (g- factor). The effects of acceleration factors, calibration data size and kernel shape on the proposed model were also separately analyzed and discussed. The proposed method illustrated improved visual image quality evidenced by reduced retrospective RMSE and prospective g- factor comparing with conventional GRAPPA and the recently proposed iterative SENSE-LORAKS reconstructions. Although a larger amount of calibration data and smaller kernel size were required to stabilize the calibration of fourfold extended kernel for the proposed method, it was non-iterative and relatively insensitive to parameter adjustment in the applications. The proposed NL-VCC-extension to conventional GRAPPA brings visible improvements for imaging scenarios accelerated by the widely available uniform undersampling schemes in a practically efficient manner without iteration.</t>
  </si>
  <si>
    <t>[Wang, Haifeng; Jia, Sen; Zhu, Yanjie; Zou, Chao; Li, Ye; Liu, Xin; Zheng, Hairong; Liang, Dong] Chinese Acad Sci, Shenzhen Inst Adv Technol, Paul C Lauterbur Res Ctr Biomed Imaging, Shenzhen, Guangdong, Peoples R China; [Jia, Sen] Univ Chinese Acad Sci, Beijing, Peoples R China; [Chang, Yuchou] Univ Houston Downtown, Dept Comp Sci &amp; Engn Technol, Houston, TX USA; [Liang, Dong] Chinese Acad Sci, Shenzhen Inst Adv Technol, Res Ctr Med AI, Shenzhen, Guangdong, Peoples R China</t>
  </si>
  <si>
    <t>Chinese Academy of Sciences; Shenzhen Institute of Advanced Technology, CAS; Chinese Academy of Sciences; University of Chinese Academy of Sciences, CAS; University of Houston System; University of Houston Downtown; University of Houston; Chinese Academy of Sciences; Shenzhen Institute of Advanced Technology, CAS</t>
  </si>
  <si>
    <t>Liang, D (通訊作者)， Chinese Acad Sci, Shenzhen Inst Adv Technol, Paul C Lauterbur Res Ctr Biomed Imaging, Shenzhen, Guangdong, Peoples R China.;Liang, D (通訊作者)， Chinese Acad Sci, Shenzhen Inst Adv Technol, Res Ctr Med AI, Shenzhen, Guangdong, Peoples R China.</t>
  </si>
  <si>
    <t>dong.liang@siat.ac.cn</t>
  </si>
  <si>
    <t>Li, Ye/JBS-2949-2023; Haifeng, Wang/HQY-7721-2023; liu, xiao/HMD-7454-2023; Liang, Dong/A-3335-2011</t>
  </si>
  <si>
    <t>Wang, Haifeng/0000-0003-4229-3668;</t>
  </si>
  <si>
    <t>National Natural Science Foundation of China [61471350, 81729003, 61871373]; Basic Research Program of Shenzhen [JCYJ20150831154213680]; Natural Science Foundation of Guangdong Province [2018A0303130132, 2014A030312006]</t>
  </si>
  <si>
    <t>National Natural Science Foundation of China(National Natural Science Foundation of China (NSFC)); Basic Research Program of Shenzhen; Natural Science Foundation of Guangdong Province(National Natural Science Foundation of Guangdong Province)</t>
  </si>
  <si>
    <t>The authors sincerely appreciate Dr Justin Haldar for sharing the MATLAB implementation of LORAKS, and thank the reviewers for their constructive suggestions to this work. This work was partially supported by the National Natural Science Foundation of China (61471350, 81729003, 61871373), the Basic Research Program of Shenzhen (JCYJ20150831154213680) and the Natural Science Foundation of Guangdong Province (2018A0303130132 and 2014A030312006).</t>
  </si>
  <si>
    <t>14NT01</t>
  </si>
  <si>
    <t>10.1088/1361-6560/ab274d</t>
  </si>
  <si>
    <t>IK4AR</t>
  </si>
  <si>
    <t>WOS:000476530000001</t>
  </si>
  <si>
    <t>Abuhaimed, A; Martin, CJ; Demirkaya, O</t>
  </si>
  <si>
    <t>Abuhaimed, Abdullah; Martin, Colin J.; Demirkaya, Omer</t>
  </si>
  <si>
    <t>Influence of cone beam CT (CBCT) scan parameters on size specific dose estimate (SSDE): a Monte Carlo study</t>
  </si>
  <si>
    <t>size conversion factor (f(size)); CT dose index (CTDI); size-specific dose estimates (SSDE); Monte Carlo (MC) simulations; Cone beam CT (CBCT)</t>
  </si>
  <si>
    <t>COMPUTED-TOMOGRAPHY CBCT; WATER-EQUIVALENT DIAMETER; ORGAN; EFFICIENCY; DOSIMETRY; INDEX; CHEST</t>
  </si>
  <si>
    <t>The CT dose index (CTDIvol) is the dosimetric quantity used for multi-slice CT (MSCT) with beams 4 &lt;= cm. Conversion factors (f(size)) based on patient size are applied to CTDIvol to adjust for differences in patient size and derive size-specific dose estimates (SSDE) relating to patient dose. The aim of this study is to: (1) investigate use of a similar technique to provide SSDE values for cone beam CT (CBCT) scans, (2) determine whether factors derived for narrow beam MSCT are suitable for CBCT, and (3) investigate the influence of CBCT parameters on f(size) values. Monte Carlo simulations were used to model an on-board imager system integrated into a Varian Truebeam linear accelerator, and to assess doses for imaging. The CTDIvol is unsuitable for CBCT dosimetry, thus the assessments were applied to the modification CTDIIEC, recommended by the international electrotechnical commission (IEC). Conversion factors (f(size),(CBCT)) were derived for CBCT to allow adjustment of values for the absorbed dose in water (AD) averaged over the beam width in the middle of the phantoms. Values of AD were evaluated as for CTDI300 measured with a 30 cm long chamber in centres and peripheries of long water phantoms with diameters of 10-40 cm for head and body protocols. Three beam widths 8, 16, and 24 cm were used with tube potentials ranging from 80-140 kV, for full and partial rotation modes. In order to derive f(size),(CBCT) values, calculated values for AD were normalized with respect to the weighted CTDIIEC assessed in standard CTDI phantoms and free-in-air. Variations in f(size),(CBCT) with beam width were minimal, 1%-5%, but those with tube potential were greater for 80 kV at small diameters reaching 11%. Acquisition mode affected f(size),(CBCT) values by up to 7%. Best-fit curves were derived from the f(size),(CBCT) values and compared to those reported by AAPM TG-204 for MSCT. Conversion factors estimated from these curves for 120 kV were within +/- 8% and +/- 13% of the MSCT values over head and body diameters, respectively, representing the majority of the adult population. Therefore, the use of MSCT factors to convert CTDI(IEC )for CBCT scans may lead to under/overestimation of doses to patients by 5% and 6%, on average, for the head and body protocols, respectively. Best-fit curves of the results from this study provide values that could be used to convert CTDI(IEC )for specific water-equivalent diameter (D-w) to a SSDE.</t>
  </si>
  <si>
    <t>[Abuhaimed, Abdullah] KACST, Natl Ctr Appl Phys, Riyadh, Saudi Arabia; [Abuhaimed, Abdullah; Demirkaya, Omer] King Faisal Specialist Hosp &amp; Res Ctr, Dept Biomed Phys, Riyadh, Saudi Arabia; [Martin, Colin J.] Univ Glasgow, Dept Clin Phys &amp; Bioengn, Glasgow, Lanark, Scotland</t>
  </si>
  <si>
    <t>King Abdulaziz City for Science &amp; Technology; King Faisal Specialist Hospital &amp; Research Center; University of Glasgow</t>
  </si>
  <si>
    <t>Abuhaimed, A (通訊作者)， KACST, Natl Ctr Appl Phys, Riyadh, Saudi Arabia.;Abuhaimed, A (通訊作者)， King Faisal Specialist Hosp &amp; Res Ctr, Dept Biomed Phys, Riyadh, Saudi Arabia.</t>
  </si>
  <si>
    <t>aabuhaimed@kacst.edu.sa</t>
  </si>
  <si>
    <t>Abuhaimed, Abdullah/0000-0003-4635-2047; John, Colin/0000-0002-0784-9002</t>
  </si>
  <si>
    <t>10.1088/1361-6560/ab0bc8</t>
  </si>
  <si>
    <t>WOS:000468942900002</t>
  </si>
  <si>
    <t>Mohanty, K; Papadopoulou, V; Newsome, IG; Shelton, S; Dayton, PA; Muller, M</t>
  </si>
  <si>
    <t>Mohanty, Kaustav; Papadopoulou, Virginie; Newsome, Isabel G.; Shelton, Sarah; Dayton, Paul A.; Muller, Marie</t>
  </si>
  <si>
    <t>Ultrasound multiple scattering with microbubbles can differentiate between tumor and healthy tissue in vivo</t>
  </si>
  <si>
    <t>multiple scattering; ultrasound imaging; diffusion constant; fibrosarcoma; contrast enhanced ultrasound; microbubbles</t>
  </si>
  <si>
    <t>OPTICAL COHERENCE TOMOGRAPHY; ACOUSTIC ANGIOGRAPHY; MICROVESSEL DENSITY; ANGIOGENESIS; BREAST; CANCER; IDENTIFICATION; RESOLUTION; TRANSPORT; DOPPLER</t>
  </si>
  <si>
    <t>Most solid tumors are characterized by highly dense, isotropic vessel networks. Characterization of such features has shown promise for early cancer diagnosis. Ultrasound diffusion has been used to characterize the micro-architecture of complex media, such as bone and the lungs. In this work, we examine a non-invasive diffusion-based ultrasound technique to assess neo-vascularization. Because the diffusion constant reflects the density of scatterers in heterogeneous media, we hypothesize that by injecting microbubbles into the vasculature, ultrasound diffusivity can reflect vascular density (VD), thus differentiating the microvascular patterns between tumors and healthy tissue. The diffusion constant and its anisotropy are shown to be significantly different between fibrosarcoma tumors (n = 16) and control tissue (n = 18) in a rat animal model in vivo. The diffusion constant values for control and tumor were found to be 1.38 +/- 0.51 mm(2) mu s(-1) and 0.65 +/- 0.27 mm(2) mu s(-1), respectively. These results are corroborated with VD from acoustic angiography (AA) data, confirming increased vessel density in tumors compared to controls. The diffusion constant offers a promising way to quantitatively assess vascular networks when combined with contrast agents, which may allow early tumor detection and characterization.</t>
  </si>
  <si>
    <t>[Mohanty, Kaustav; Muller, Marie] NC State Univ, Dept Mech &amp; Aerosp Engn, Raleigh, NC 27695 USA; [Papadopoulou, Virginie; Newsome, Isabel G.; Shelton, Sarah; Dayton, Paul A.] Univ N Carolina, UNC NCSU Joint Dept Biomed Engn, Chapel Hill, NC 27599 USA</t>
  </si>
  <si>
    <t>North Carolina State University; University of North Carolina; University of North Carolina Chapel Hill; North Carolina State University</t>
  </si>
  <si>
    <t>Muller, M (通訊作者)， NC State Univ, Dept Mech &amp; Aerosp Engn, Raleigh, NC 27695 USA.</t>
  </si>
  <si>
    <t>Papadopoulou, Virginie/E-5471-2013</t>
  </si>
  <si>
    <t>Papadopoulou, Virginie/0000-0003-3395-3003; Newsome, Isabel/0000-0002-6145-591X; Shelton, Sarah/0000-0002-9358-058X; Dayton, Paul/0000-0002-5757-6911; Muller, Marie/0000-0002-5662-0650; Muller, Marie/0000-0002-2080-241X</t>
  </si>
  <si>
    <t>NIH [R01CA170665, R44CA165621, R03EB022311, R01CA189479, F99CA212227]; [T32HL069768]</t>
  </si>
  <si>
    <t>This project was partly funded by NIH R01CA170665, R44CA165621, R03EB022311 and R01CA189479. IG Newsome was supported in part by training program T32HL069768 and SE Shelton was supported by NIH F99CA212227.</t>
  </si>
  <si>
    <t>10.1088/1361-6560/ab1a44</t>
  </si>
  <si>
    <t>WOS:000470205600006</t>
  </si>
  <si>
    <t>Dolde, K; Naumann, P; Dávid, C; Kachelriess, M; Lomax, AJ; Weber, DC; Saito, N; Burigo, LN; Pfaffenberger, A; Zhang, Y</t>
  </si>
  <si>
    <t>Dolde, Kai; Naumann, Patrick; David, Christian; Kachelriess, Marc; Lomax, Antony J.; Weber, Damien C.; Saito, Nami; Burigo, Lucas N.; Pfaffenberger, Asja; Zhang, Ye</t>
  </si>
  <si>
    <t>Comparing the effectiveness and efficiency of various gating approaches for PBS proton therapy of pancreatic cancer using 4D-MRI datasets</t>
  </si>
  <si>
    <t>4DMRI; 4D dose calculation; proton therapy; pencil beam scanning; pancreatic cancer; gating; interplay effect</t>
  </si>
  <si>
    <t>MOTION; TUMOR; RADIOTHERAPY; LUNG; CHEMORADIATION; RECONSTRUCTION; TRACKING; BEAMS; MODEL</t>
  </si>
  <si>
    <t>Abdominal organ motion may lead to considerable uncertainties in pencil-beam scanning (PBS) proton therapy of pancreatic cancer. Beam gating, where irradiation only occurs in certain breathing phases in which the gating conditions are fulfilled, may be an option to reduce the interplay effect between tumor motion and the scanning beam. This study aims to, first, determine suitable gating windows with respect to effectiveness (low interplay effect) and efficiency (high duty cycles). Second, it investigates whether beam gating allows for a better mitigation of the interplay effect along the treatment course than free-breathing irradiations. Based on synthetic 4D-CTs, generated by warping 3D-CTs with vector fields extracted from time-resolved magnetic resonance imaging (4D-MRI) for 8 pancreatic cancer patients, 4D dose calculations (4DDC) were performed to analyze the duty cyde and homogeneity index HI = d5/d95 for four different gating scenarios. These were based on either fixed threshold values of CTV (clinical target volume) mean or maximum motion amplitudes (5 mm), relative CTV motion amplitudes (30%) or CTV overlap criteria (95%), respectively. 4DDC for 28-fractions treatment courses were performed with fixed and variable initial breathing phases to investigate the fractionation-induced mitigation of the interplay effect. Gating criteria, based on patient-specific relative 30% CTV motion amplitudes, showed the significantly best HI values with sufficient duty cycles, in contrast to inferior results by either fixed gating thresholds or overlap criteria. For gated treatments with 28 fractions, less fractionation-induced mitigation of the interplay effect was observed for gating criteria with gating windows &gt;= 30%, compared to free-breathing treatments. The gating effectiveness for multiple fractions was improved by allowing a variable initial breathing phase. Gating with relative amplitude thresholds are effective for proton therapy of pancreatic cancer. By combining beam gating with variable initial breathing phases, a pronounced mitigation of the interplay effect by fractionation can be achieved.</t>
  </si>
  <si>
    <t>[Dolde, Kai; Burigo, Lucas N.; Pfaffenberger, Asja] German Canc Res Ctr, Med Phys Radiat Oncol, Heidelberg, Germany; [Dolde, Kai; Burigo, Lucas N.; Pfaffenberger, Asja] Natl Ctr Radiat Res Oncol NCRO, Heidelberg Inst Radiooncol HIRO, Heidelberg, Germany; [Dolde, Kai] Heidelberg Univ, Dept Phys &amp; Astron, Heidelberg, Germany; [Naumann, Patrick; Saito, Nami] Univ Clin Heidelberg, Dept Radiat Oncol, Heidelberg, Germany; [David, Christian; Kachelriess, Marc] German Canc Res Ctr, Xray Imaging &amp; Comp Tomog, Heidelberg, Germany; [Lomax, Antony J.; Weber, Damien C.; Zhang, Ye] Paul Scherrer Inst, Ctr Proton Therapy, Villigen, Switzerland; [Lomax, Antony J.] Swiss Fed Inst Technol, Dept Phys, Zurich, Switzerland; [Weber, Damien C.] Inselspital Bern, Radiat Oncol Dept, Bern, Switzerland</t>
  </si>
  <si>
    <t>Helmholtz Association; German Cancer Research Center (DKFZ); Ruprecht Karls University Heidelberg; Ruprecht Karls University Heidelberg; Helmholtz Association; German Cancer Research Center (DKFZ); Swiss Federal Institutes of Technology Domain; Paul Scherrer Institute; Swiss Federal Institutes of Technology Domain; ETH Zurich; University of Bern; University Hospital of Bern</t>
  </si>
  <si>
    <t>Dolde, K (通訊作者)， German Canc Res Ctr, Med Phys Radiat Oncol, Heidelberg, Germany.;Dolde, K (通訊作者)， Natl Ctr Radiat Res Oncol NCRO, Heidelberg Inst Radiooncol HIRO, Heidelberg, Germany.</t>
  </si>
  <si>
    <t>k.dolde@dkfz.de</t>
  </si>
  <si>
    <t>; Dolde, Kai/L-1079-2019; Zhang, Ye/R-5980-2016; Burigo, Lucas/H-5013-2013</t>
  </si>
  <si>
    <t>Dolde, Kai/0000-0002-9489-0440; Zhang, Ye/0000-0003-1608-4467; Lomax, Tony/0000-0002-0666-425X</t>
  </si>
  <si>
    <t>Helmholtz International Graduate School for Cancer Research (Heidelberg/Germany); Verein zur Forderung der Tumortherapie mit schweren Ionen e.V.' (Darmstadt/Germany)</t>
  </si>
  <si>
    <t>The authors would like to thank the Helmholtz International Graduate School for Cancer Research (Heidelberg/Germany) and the 'Verein zur Forderung der Tumortherapie mit schweren Ionen e.V.' (Darmstadt/Germany) for financial support. Furthermore, the authors would like to thank Joao Seco for fruitful discussions.</t>
  </si>
  <si>
    <t>10.1088/1361-6560/ab1175</t>
  </si>
  <si>
    <t>WOS:000464179400003</t>
  </si>
  <si>
    <t>Lens, E; Jagt, TZ; Hoogeman, MS; Schaart, DR</t>
  </si>
  <si>
    <t>Lens, Eelco; Jagt, Thyrza Z.; Hoogeman, Mischa S.; Schaart, Dennis R.</t>
  </si>
  <si>
    <t>Correlations between the shifts in prompt gamma emission profiles and the changes in daily target coverage during simulated pencil beam scanning proton therapy</t>
  </si>
  <si>
    <t>proton therapy; prompt gamma; daily treatment monitoring; Monte Carlo simulations; day-to-day anatomical changes; prostate cancer</t>
  </si>
  <si>
    <t>VIVO RANGE VERIFICATION; MONTE-CARLO; SLIT-CAMERA; SENSITIVITY; PET; IMPT; RAYS</t>
  </si>
  <si>
    <t>The aim of this study was to investigate the feasibility of using prompt gamma (PG) ray emission profiles to monitor changes in dose to the planning target volume (PTV) during pencil beam scanning (PBS) proton therapy as a result of day-to-day variation in patient anatomy. For 11 prostate patients, we simulated treatment plan delivery using the patients' daily anatomy as observed in the planning CT and 7-9 control CT scans, including the detected PG profiles resulting from the 5%, 10%, and 20% most intense proton pencil beams. For each patient, we determined the changes in dosimetric parameters for the high- and low-dose PTVs between the simulations performed using the planning CT scan and the different control CT scans and correlated these to changes in the PG emission profiles. Changes in coverage of the high- and low-dose PTV correlated most strongly with the median and mean absolute PG emission profile shifts of the 5% most intense pencil beams, respectively. With a mean Pearson correlation coefficient of -0.76 (SD: 0.17) for the high-dose PTV and of -0.60 (SD: 0.51) for the low-dose PTV. We showed, as a proof of principle, that PG emission profiles obtained during PBS proton therapy could be used to detect changes in PTV coverage due to day-to-day anatomical variation.</t>
  </si>
  <si>
    <t>[Lens, Eelco; Schaart, Dennis R.] Delft Univ Technol, Dept Radiat Sci &amp; Technol, Delft, Netherlands; [Jagt, Thyrza Z.; Hoogeman, Mischa S.] Erasmus MC Canc Inst, Dept Radiat Oncol, Rotterdam, Netherlands; [Hoogeman, Mischa S.; Schaart, Dennis R.] Holland Proton Therapy Ctr, Delft, Netherlands</t>
  </si>
  <si>
    <t>Delft University of Technology; Erasmus University Rotterdam; Erasmus MC; Erasmus MC Cancer Institute</t>
  </si>
  <si>
    <t>Lens, E (通訊作者)， Delft Univ Technol, Dept Radiat Sci &amp; Technol, Delft, Netherlands.</t>
  </si>
  <si>
    <t>e.lens@tudelft.nl</t>
  </si>
  <si>
    <t>Schaart, Dennis/C-7136-2014</t>
  </si>
  <si>
    <t>Schaart, Dennis/0000-0002-3199-5608; Jagt, Thyrza/0000-0001-9196-8559</t>
  </si>
  <si>
    <t>ZonMw, the Netherlands Organization for Health Research and Development [104003012]; Varian Medical Systems</t>
  </si>
  <si>
    <t>ZonMw, the Netherlands Organization for Health Research and Development(Netherlands Organization for Health Research and DevelopmentNetherlands Government); Varian Medical Systems</t>
  </si>
  <si>
    <t>This study was financially supported by ZonMw, the Netherlands Organization for Health Research and Development, grant number 104003012 and by Varian Medical Systems. The calculation time on the SURFsara Lisa system was granted by NWO Physical Sciences. The CT-data with contours were collected at Haukeland University Hospital, Bergen, Norway and were provided to us by responsible oncologist Svein Inge Helle and physicist Liv Bolstad Hysing.</t>
  </si>
  <si>
    <t>10.1088/1361-6560/ab145e</t>
  </si>
  <si>
    <t>WOS:000464179400001</t>
  </si>
  <si>
    <t>Rai, R; Wang, YF; Manton, D; Dong, B; Deshpande, S; Liney, GP</t>
  </si>
  <si>
    <t>Rai, Robba; Wang, Yu Feng; Manton, David; Dong, Bin; Deshpande, Shrikant; Liney, Gary P.</t>
  </si>
  <si>
    <t>Development of multi-purpose 3D printed phantoms for MRI</t>
  </si>
  <si>
    <t>3D printing; geometric distortion; image quantification; MRI; test objects; texture analysis</t>
  </si>
  <si>
    <t>TEXTURE ANALYSIS; QUALITY-ASSURANCE; HEAD PHANTOM; DISTORTION; FOAM</t>
  </si>
  <si>
    <t>This work describes the development and application of 3D printed MRI phantoms. Unlike traditional phantoms these test objects are made from solid materials which can be imaged directly without filling. The models were manufactured using both MRI visible and invisible materials. The MRI visible materials were imaged on a 3T system to quantify their T-1 and T-2 properties and CT to quantify the electron density. Three phantoms are described: a distortion phantom was imaged on an open bore MRI system to assess distortion over a 30 cm field-of-view; a solid tumour model was imaged using a motion simulator and compared to a standard water phantom to assess reduction in artefacts; finally, a test object created for textural analysis was evaluated on two 3T systems and reproducibility was assessed. Material 1 was the main material used in all phantom models and has a T-1 and T-2 of 152.3 +/- 3.7 ms and 56.7 +/- 2.5 ms and a CT density of 127.9 HU. Material 2 had a CT density of 115.1 HU and material 3 had a T-1 and T-2 of 149.5 +/- 2.9 ms and 68.8 +/- 7.8 ms and CT density of 15.3 HU. Image tests demonstrated the suitability and advantage of each phantom over more traditional versions: a high density set of control points enabled a comprehensive measurement of geometric accuracy; sufficient signal with a reduction in artefact was observed in the motion phantom, and the texture model provided reproducible measurements with an ICC &gt; 0.9 for over 76% of texture features. Three different phantoms have been successfully manufactured and used to demonstrate the application of 3D printable materials for MRI phantoms.</t>
  </si>
  <si>
    <t>[Rai, Robba; Deshpande, Shrikant; Liney, Gary P.] Univ New South Wales, South Western Sydney Clin Sch, Liverpool, NSW 2170, Australia; [Rai, Robba; Deshpande, Shrikant; Liney, Gary P.] Liverpool Hosp, Liverpool &amp; Macarthur Canc Therapy Ctr, Liverpool, NSW 2170, Australia; [Rai, Robba; Manton, David; Dong, Bin; Deshpande, Shrikant; Liney, Gary P.] Ingham Inst Appl Med Res, Liverpool, NSW 2170, Australia; [Wang, Yu Feng] Univ Sydney, Sch Phys, Inst Med Phys, Sydney, NSW, Australia; [Deshpande, Shrikant; Liney, Gary P.] Univ Wollongong, Ctr Radiat Phys, Wollongong, NSW 2522, Australia</t>
  </si>
  <si>
    <t>University of New South Wales Sydney; Liverpool Hospital; Ingham Institute for Applied Medical Research; University of Sydney; University of Wollongong</t>
  </si>
  <si>
    <t>Rai, R (通訊作者)， Univ New South Wales, South Western Sydney Clin Sch, Liverpool, NSW 2170, Australia.;Rai, R (通訊作者)， Liverpool Hosp, Liverpool &amp; Macarthur Canc Therapy Ctr, Liverpool, NSW 2170, Australia.;Rai, R (通訊作者)， Ingham Inst Appl Med Res, Liverpool, NSW 2170, Australia.</t>
  </si>
  <si>
    <t>robba.rai@health.nsw.gov.au</t>
  </si>
  <si>
    <t>Rai, Robba/AAU-4042-2021; Dong, Bin/ABF-1907-2020; Wang, Erin/JDC-3840-2023</t>
  </si>
  <si>
    <t>Rai, Robba/0000-0002-0626-6438; Wang, Yu-Feng/0000-0002-1263-0224</t>
  </si>
  <si>
    <t>10.1088/1361-6560/ab0b49</t>
  </si>
  <si>
    <t>WOS:000462887300002</t>
  </si>
  <si>
    <t>Moskal, P; Kisielewska, D; Curceanu, C; Czerwinska, E; Dulski, K; Gajos, A; Gorgol, M; Hiesmayr, B; Jasinska, B; Kacprzak, K; Kaplon, L; Korcyl, G; Kowalski, P; Krzemien, W; Kozik, T; Kubicz, E; Mohammed, M; Niedzwiecki, S; Palka, M; Pawlik-Niedzwiecka, M; Raczynski, L; Raj, J; Sharma, S; Shivani; Shopa, RY; Silarski, M; Skurzok, M; Stepien, E; Wislicki, W; Zgardzinska, B</t>
  </si>
  <si>
    <t>Moskal, P.; Kisielewska, D.; Curceanu, C.; Czerwinska, E.; Dulski, K.; Gajos, A.; Gorgol, M.; Hiesmayr, B.; Jasinska, B.; Kacprzak, K.; Kaplon, L.; Korcyl, G.; Kowalski, P.; Krzemien, W.; Kozik, T.; Kubicz, E.; Mohammed, M.; Niedzwiecki, Sz; Palka, M.; Pawlik-Niedzwiecka, M.; Raczynski, L.; Raj, J.; Sharma, S.; Shivani; Shopa, R. Y.; Silarski, M.; Skurzok, M.; Stepien, E.; Wislicki, W.; Zgardzinska, B.</t>
  </si>
  <si>
    <t>Feasibility study of the positronium imaging with the J-PET tomograph</t>
  </si>
  <si>
    <t>positron emission tomography; positronium atom; J-PET</t>
  </si>
  <si>
    <t>ANNIHILATION SPECTROSCOPY; PRECISION-MEASUREMENT; TIME RESOLUTION; LIQUID XENON; DECAY-RATE; RECONSTRUCTION; SKIN; NEUROENDOCRINE; COINCIDENCES; SELECTIVITY</t>
  </si>
  <si>
    <t>A detection system of the conventional PET tomograph is set-up to record data from e(+) e(-) annihilation into two photons with energy of 511 keV, and it gives information on the density distribution of a radiopharmaceutical in the body of the object. In this paper we explore the possibility of performing the three gamma photons imaging based on ortho-positronium annihilation, as well as the possibility of positronium mean lifetime imaging with the J-PET tomograph constructed from plastic scintillators. For this purposes simulations of the ortho-positronium formation and its annihilation into three photons were performed taking into account distributions of photons' momenta as predicted by the theory of quantum electrodynamics and the response of the J-PET tomograph. In order to test the proposed ortho-positronium lifetime image reconstruction method, we concentrate on the decay of the ortho-positronium into three photons and applications of radiopharmaceuticals labeled with isotopes emitting a prompt gamma. The proposed method of imaging is based on the determination of hit-times and hit-positions of registered photons which enables the reconstruction of the time and position of the annihilation point as well as the lifetime of the ortho-positronium on an event-by-event basis. We have simulated the production of the positronium in point-like sources and in a cylindrical phantom composed of a set of different materials in which the ortho-positronium lifetime varied from 2.0 ns to 3.0 ns, as expected for ortho-positronium created in the human body. The presented reconstruction method for total-body J-PET like detector allows to achieve a mean lifetime resolution of similar to 40 ps. Recent positron annihilation lifetime spectroscopy measurements of cancerous and healthy uterine tissues show that this sensitivity may allow to study the morphological changes in cell structures.</t>
  </si>
  <si>
    <t>[Moskal, P.; Kisielewska, D.; Czerwinska, E.; Dulski, K.; Gajos, A.; Kacprzak, K.; Kaplon, L.; Korcyl, G.; Kozik, T.; Kubicz, E.; Mohammed, M.; Niedzwiecki, Sz; Palka, M.; Pawlik-Niedzwiecka, M.; Raj, J.; Sharma, S.; Shivani; Silarski, M.; Skurzok, M.; Stepien, E.] Jagiellonian Univ, Fac Phys Astron &amp; Appl Comp Sci, PL-30348 Krakow, Poland; [Curceanu, C.] INFN, Lab Nazl Frascati, I-00044 Frascati, Italy; [Gorgol, M.; Jasinska, B.; Zgardzinska, B.] Marie Curie Sklodowska Univ, Inst Phys, PL-20031 Lublin, Poland; [Hiesmayr, B.] Univ Vienna, Fac Phys, A-1090 Vienna, Austria; [Kowalski, P.; Raczynski, L.; Shopa, R. Y.; Wislicki, W.] Natl Ctr Nucl Res, Dept Complex Syst, PL-05400 Otwock, Poland; [Krzemien, W.] Natl Ctr Nucl Res, High Energy Phys Div, PL-05400 Otwock, Poland; [Mohammed, M.] Univ Mosul, Coll Educ Pure Sci, Dept Phys, Mosul, Iraq</t>
  </si>
  <si>
    <t>Jagiellonian University; Istituto Nazionale di Fisica Nucleare (INFN); Maria Curie-Sklodowska University; University of Vienna; National Centre for Nuclear Research; National Centre for Nuclear Research; University of Mosul</t>
  </si>
  <si>
    <t>Kisielewska, D (通訊作者)， Jagiellonian Univ, Fac Phys Astron &amp; Appl Comp Sci, PL-30348 Krakow, Poland.</t>
  </si>
  <si>
    <t>daria.kisielewska@uj.edu.pl</t>
  </si>
  <si>
    <t>Zgardzinska, Bozena/AAH-3112-2019; Gorgol, Marek/AAG-1640-2021; Czerwinski, Eryk/U-8295-2018; Sharma, Sushil/AAC-6793-2021; Moskal, Pawel/N-4231-2019; Stępień, Ewa/H-7471-2019; Kapłon, Łukasz/AAJ-1202-2020; Krzemien, Wojciech/ABA-7137-2020; Czerwiński, Eryk/U-8295-2018; Hiesmayr, Beatrix/A-3483-2012; Raj, Juhi/JXW-7581-2024; Korcyl, Grzegorz/AFR-6504-2022; Shopa, Roman/IVH-6026-2023; Palka, Marek/GXW-2506-2022; Dulski, Kamil/V-2058-2018; Moskal, Pawel/S-9151-2016; Pawlik-Niedźwiecka, Monika/AAI-4173-2021; Kubicz-Staszkiewicz, Ewelina/AAO-7756-2021; Zielinski, Marcin/B-6768-2014</t>
  </si>
  <si>
    <t>Sharma, Sushil/0000-0001-8947-0110; Skurzok, Magdalena/0000-0002-4794-5154; Kubicz, Ewelina/0000-0002-5413-2215; Kaplon, Lukasz/0000-0002-2203-0425; Czerwinski, Eryk/0000-0002-5076-3175; Stepien, Ewa/0000-0003-3589-1715; Shopa, Roman/0000-0002-1089-5050; Kisielewska, Daria/0000-0002-1429-3209; Hiesmayr, Beatrix/0000-0001-9062-6039; Raj, Juhi/0000-0003-1971-4532; Zgardzinska, Bozena/0000-0003-2600-7350; Palka, Marek/0000-0002-7185-3540; Dulski, Kamil/0000-0002-4093-8162; Moskal, Pawel/0000-0002-4229-3548; Gorgol, Marek/0000-0001-5406-362X; Krzemien, Wojciech/0000-0002-9546-358X; Zielinski, Marcin/0000-0002-9540-9911</t>
  </si>
  <si>
    <t>Polish National Center for Research and Development [INNOTECH-K1/IN1/64/159174/NCBR/12]; Foundation for Polish Science through the MPD; National Science Centre of Poland [2016/21/B/ST2/01222, 2017/25/N/NZ1/00861]; Ministry for Science and Higher Education [6673/IA/SP/2016, 7150/E-338/SPUB/2017/1, 7150/E-338/M/2017, 7150/E-338/M/2018]; Austrian Science Fund [FWF-P26783]; Foundation for Polish Science [TEAM/2017-4/39]; Austrian Science Fund (FWF) [P 26783] Funding Source: researchfish</t>
  </si>
  <si>
    <t>Polish National Center for Research and Development; Foundation for Polish Science through the MPD; National Science Centre of Poland(National Science Centre, Poland); Ministry for Science and Higher Education; Austrian Science Fund(Austrian Science Fund (FWF)); Foundation for Polish Science(Foundation for Polish Science); Austrian Science Fund (FWF)(Austrian Science Fund (FWF))</t>
  </si>
  <si>
    <t>The authors acknowledge technical and administrative support of A Heczko, M Kajetanowicz and W Migdal. This work was supported by The Polish National Center for Research and Development through grant INNOTECH-K1/IN1/64/159174/NCBR/12, the Foundation for Polish Science through the MPD and TEAM/2017-4/39 programmes, the National Science Centre of Poland through grants no. 2016/21/B/ST2/01222, 2017/25/N/NZ1/00861, the Ministry for Science and Higher Education through grants no. 6673/IA/SP/2016, 7150/E-338/SPUB/2017/1 and 7150/E-338/M/2017, 7150/E-338/M/2018 and the Austrian Science Fund FWF-P26783.</t>
  </si>
  <si>
    <t>10.1088/1361-6560/aafe20</t>
  </si>
  <si>
    <t>Green Submitted, hybrid, Green Published</t>
  </si>
  <si>
    <t>WOS:000460772200005</t>
  </si>
  <si>
    <t>Parl, C; Kolb, A; Stricker-Shaver, D; Pichler, BJ</t>
  </si>
  <si>
    <t>Parl, C.; Kolb, A.; Stricker-Shaver, D.; Pichler, B. J.</t>
  </si>
  <si>
    <t>Dual layer dol detector modules for a dedicated mouse brain PET/MRI</t>
  </si>
  <si>
    <t>depth of interaction; PET/MRI; small animal brain imaging; preclinical imaging; brain; PET</t>
  </si>
  <si>
    <t>HIGH-RESOLUTION PET; POSITRON RANGE; RESTING-STATE; ENERGY-LEVELS; MONTE-CARLO; PERFORMANCE; SYSTEM; MRI; DEPTH; SCANNER</t>
  </si>
  <si>
    <t>The outcome of preclinical imaging studies are enhanced by simultaneous, high-resolution anatomical and molecular data, which advanced PET/MRI systems provide. Nevertheless, mapping of neuroreceptors and accurate quantification of PET tracer distribution in mouse brains is not trivial. The restricted spatial resolution and sensitivity in commercial animal PET systems limits the image quality and the quantification accuracy. We are currently developing a PET/MRI system dedicated for mouse brain studies. The PET system will offer system dimensions of approx. 30 mm in diameter and an axial length of more than 38 mm. This work discusses two system geometries including their associated block detectors. Both configurations were based on a dual layer offset structure with small crystals sizes, in the order of 1 x 1 x 4/6 mm(3), to provide discrete depth of interaction information. The detector for configuration 'A' was based on a 4 x 4 silicon photomultiplier (SiPM) array attached to an optical diffusor, and a 12 x 12 as well as a 9 x 11 LSO crystal array, to achieve optimal system sensitivity. This configuration was evaluated by a double layer of 12 x 12 crystals. Configuration 'B' was composed of three 2 x 2 SiPM arrays equipped with a 1 mm diffusor to read out an LSO stack of 20 x 6 and 19 x 5 individual crystals. The average peak-to-valley ratio of the inner/outer layer was 3.5/3.6 for detector 'A', and 3.4/2.8 for detector 'W. The average full width at half maximum (FWHM) energy resolution of the block detectors were 22.24% +/- 3.36% for 'A' and 30.67% +/- 5.37% for 'W. The FWHM of the full block timing resolution of the inner/outer layer was 1.4 ns/1.2 ns for detector 'A' and 1.8 ns/1.4 ns for 'B'. The performance of the crystal position profile, the energy, and timing resolution indicate that configuration 'A' is more appropriate for a mouse brain PET/MRI system.</t>
  </si>
  <si>
    <t>[Parl, C.; Kolb, A.; Stricker-Shaver, D.; Pichler, B. J.] Eberhard Karls Univ Tuebingen, Werner Siemens Imaging Ctr, Dept Preclin Imaging &amp; Radiopharm, Roentgenweg 13, D-72076 Tubingen, Germany</t>
  </si>
  <si>
    <t>Eberhard Karls University of Tubingen; Eberhard Karls University Hospital; Siemens AG</t>
  </si>
  <si>
    <t>Parl, C (通訊作者)， Eberhard Karls Univ Tuebingen, Werner Siemens Imaging Ctr, Dept Preclin Imaging &amp; Radiopharm, Roentgenweg 13, D-72076 Tubingen, Germany.</t>
  </si>
  <si>
    <t>c.parl@t-online.de; bernd.pichler@med.uni-tuebingen.de</t>
  </si>
  <si>
    <t>Deutsche Forschungsgesellschaft (DFG) [PI 771/3-1, PI 771/1-1]; Werner Siemens-Foundation</t>
  </si>
  <si>
    <t>Deutsche Forschungsgesellschaft (DFG)(German Research Foundation (DFG)); Werner Siemens-Foundation</t>
  </si>
  <si>
    <t>The authors thank the Deutsche Forschungsgesellschaft (DFG, PI 771/3-1 and PI 771/1-1) and the Werner Siemens-Foundation for supporting this study.</t>
  </si>
  <si>
    <t>10.1088/1361-6560/aaff73</t>
  </si>
  <si>
    <t>HM2UG</t>
  </si>
  <si>
    <t>WOS:000459325000004</t>
  </si>
  <si>
    <t>Zorganih, A; Ghafour, TA; Lescanne, M; Catheline, S; Bel-Brunon, A</t>
  </si>
  <si>
    <t>Zorganih, Ali; Ghafour, Tarek Abdul; Lescanne, Maxime; Catheline, Stefan; Bel-Brunon, Aline</t>
  </si>
  <si>
    <t>Optical elastography: tracking surface waves with digital image correlation</t>
  </si>
  <si>
    <t>surface waves; wave speed; optics; correlation; elastography; time of flight</t>
  </si>
  <si>
    <t>RADIATION FORCE IMPULSE; SOFT-TISSUE; TRANSIENT ELASTOGRAPHY; TENSILE TESTS; ELASTICITY; FIELD</t>
  </si>
  <si>
    <t>Elastography consists in evaluating the propagation speed of waves into a tissue to estimate its stiffness. Usually this method is based on Ultrasounds, magnetic resonance imaging or optical coherent tomography. This paper proposes a simple optic method using ultrafast cameras. Based on digital image correlation (DIC), the tracking of elastic surface wave from white light intensity pattern, allows estimating the propagation speed as an indicator of the tissue local stiffness. Two configurations are presented: (1) 2D imaging of a flat phantom surface with a single camera and (2) 3D imaging of a curved phantom surface with two cameras. As a feasibility study of the first configuration, surface wave speed was measured on isotropic and anisotropic phantoms. Comparisons with ultrasound methods fully validate this approach. Although more sophisticated, the second configuration account for propagation distortions caused by locally curved topology. Triangulation techniques used to retrieve local topology are named stereo-correlation in the field of biomechanics. Stereo-elastography is thus proposed to determine tissue local elasticity from any soft tissue surface wave.</t>
  </si>
  <si>
    <t>[Zorganih, Ali; Lescanne, Maxime; Catheline, Stefan] Univ Lyon 1, Univ Lyon, Ctr Leon Berard, LabTAU,INSERM, F-69003 Lyon, France; [Ghafour, Tarek Abdul; Bel-Brunon, Aline] Univ Lyon, INSA Lyon, CNRS UMR5259, LaMCoS, F-69621 Villeurbanne, France</t>
  </si>
  <si>
    <t>Institut National de la Sante et de la Recherche Medicale (Inserm); UNICANCER; Centre Leon Berard; Universite Claude Bernard Lyon 1; Institut National des Sciences Appliquees de Lyon - INSA Lyon; Centre National de la Recherche Scientifique (CNRS); CNRS - Institute for Engineering &amp; Systems Sciences (INSIS)</t>
  </si>
  <si>
    <t>Zorganih, A (通訊作者)， Univ Lyon 1, Univ Lyon, Ctr Leon Berard, LabTAU,INSERM, F-69003 Lyon, France.</t>
  </si>
  <si>
    <t>ali.zorgani@inserm.fr</t>
  </si>
  <si>
    <t>Bel-Brunon, Aline/H-7736-2016; Catheline, Stephane/M-5177-2017</t>
  </si>
  <si>
    <t>Catheline, Stefan/0000-0002-5524-4120; A. Ghafour, Theo/0000-0002-0201-3302; Bel-Brunon, Aline/0000-0002-2398-9064</t>
  </si>
  <si>
    <t>ANSYS France</t>
  </si>
  <si>
    <t>ANSYS France(Ansys, Inc.)</t>
  </si>
  <si>
    <t>This work was partly funded by ANSYS France. We deeply thank LBMC UMR_T9406 for lending us the two Photron cameras. We acknowledge ARC 2018 of PhysiCancer and France Life Imaging FLI (WP3-FLI).</t>
  </si>
  <si>
    <t>10.1088/1361-6560/ab0141</t>
  </si>
  <si>
    <t>WOS:000459740600001</t>
  </si>
  <si>
    <t>Luchies, AC; Byram, BC</t>
  </si>
  <si>
    <t>Luchies, A. C.; Byram, B. C.</t>
  </si>
  <si>
    <t>Training improvements for ultrasound beamforming with deep neural networks</t>
  </si>
  <si>
    <t>ultrasound beamforming; denoising; off-axis scattering</t>
  </si>
  <si>
    <t>MODEL; COMPENSATION</t>
  </si>
  <si>
    <t>This paper investigates practical considerations of training ultrasound deep neural network (DNN) beamformers. First, we studied training DNNs using the combination of multiple point target responses instead of single point target responses. Next, we demonstrated the effect of different hyperparameter settings on ultrasound image quality for simulated scans. This study also showed that DNN beamforming was robust to electronic noise. Next, we showed that mean squared error validation loss was not a good predictor for image quality for simulation, phantom, and in vivo scans. As an alternative to validation loss for selecting DNN beamformers, we studied image quality in physical phantom and in vivo scans and demonstrated that DNN beamformer image quality in these settings was correlated to DNN beamformer image quality in simulated images. These findings suggest that simulated image quality can be used to select DNN beamformers. Finally, we studied the effect of dataset size on DNN beamformer image quality in simulation, physical phantom, and in vivo scans. We interpret the results in terms of recent work on the scaling of deep learning. Overall, the results in this paper show that DNN beamforming has significant potential for improving B-mode image quality.</t>
  </si>
  <si>
    <t>[Luchies, A. C.; Byram, B. C.] Vanderbilt Univ, Biomed Engn, 221 Kirkland Hall, Nashville, TN 37235 USA</t>
  </si>
  <si>
    <t>Vanderbilt University</t>
  </si>
  <si>
    <t>Luchies, AC (通訊作者)， Vanderbilt Univ, Biomed Engn, 221 Kirkland Hall, Nashville, TN 37235 USA.</t>
  </si>
  <si>
    <t>adam.c.luchies@vanderbilt.edu</t>
  </si>
  <si>
    <t>Byram, Brett/B-3559-2016</t>
  </si>
  <si>
    <t>Byram, Brett/0000-0003-3693-1459; Luchies, Adam/0000-0002-8211-2422</t>
  </si>
  <si>
    <t>NIH [R01EB020040]</t>
  </si>
  <si>
    <t>This work was supported by the NIH under Grant R01EB020040.</t>
  </si>
  <si>
    <t>10.1088/1361-6560/aafd50</t>
  </si>
  <si>
    <t>WOS:000459135900006</t>
  </si>
  <si>
    <t>Chao, Z; Kim, HJ</t>
  </si>
  <si>
    <t>Chao, Zhen; Kim, Hee-Joung</t>
  </si>
  <si>
    <t>Removal of computed tomography ring artifacts via radial basis function artificial neural networks</t>
  </si>
  <si>
    <t>CT ring artifact removal; location determination of linear artifact; radial basis function neural network; the hybrid of adaptive gradient descent algorithm and gravitational search algorithm</t>
  </si>
  <si>
    <t>OPTIMIZATION; CT; RECOGNITION</t>
  </si>
  <si>
    <t>Ring artifacts in computed tomography (CT) images are caused by the undesirable response of detector pixels, which leads to the degradation of CT images. Accordingly, it affects the image interpretation, post-processing, and quantitative analysis. In this study, a radial basis function neural network (RBFNN) was used to remove ring artifacts. The proposed method employs polar coordinate transformation. First, ring artifacts were transformed into linear artifacts by polar coordinate transformation. Then, smoothing operators were applied to locate these artifacts exactly. Subsequently, RBFNN was operated on each linear artifact. The neuron numbers of the input, hidden, and output layers of the neural network were 8, 40, and 1, respectively. Neurons in the input layer were selected according to the characteristics of the artifact itself and its relationship with the surrounding normal pixels. For the training of the neural network, a hybrid of adaptive gradient descent algorithm (AGDA) and gravitational search algorithm (GSA) was adopted. After the corrected image was obtained using the updated neural network, the inverse coordinate transformation was implemented. The experimental data were divided into simulated ring artifacts and real ring artifacts, which were based on brain and abdomen CT images. Compared with current artifact removal methods, the proposed method removed ring artifacts more effectively and retained the maximum detail of normal tissues. In addition, for index analysis, the performance of proposed method was superior to that of the other methods.</t>
  </si>
  <si>
    <t>[Chao, Zhen; Kim, Hee-Joung] Yonsei Univ, Coll Hlth Sci, Dept Radiat Convergence Engn, 1 Yonseidae Gil, Wonju 220710, Gangwon, South Korea; [Kim, Hee-Joung] Yonsei Univ, Coll Hlth Sci, Dept Radiol Sci, 1 Yonseidae Gil, Wonju 220710, Gangwon, South Korea</t>
  </si>
  <si>
    <t>Yonsei University; Yonsei University</t>
  </si>
  <si>
    <t>Kim, HJ (通訊作者)， Yonsei Univ, Coll Hlth Sci, Dept Radiat Convergence Engn, 1 Yonseidae Gil, Wonju 220710, Gangwon, South Korea.;Kim, HJ (通訊作者)， Yonsei Univ, Coll Hlth Sci, Dept Radiol Sci, 1 Yonseidae Gil, Wonju 220710, Gangwon, South Korea.</t>
  </si>
  <si>
    <t>hjk1@yonsei.ac.kr</t>
  </si>
  <si>
    <t>Basic Science Research Program through the National Research Foundation of Korea (NRF) - Ministry of Science, ICT &amp; Future Planning [NRF-2017R1A2B2001818]</t>
  </si>
  <si>
    <t>This research was supported by the Basic Science Research Program through the National Research Foundation of Korea (NRF) funded by the Ministry of Science, ICT &amp; Future Planning (NRF-2017R1A2B2001818).</t>
  </si>
  <si>
    <t>10.1088/1361-6560/ab5035</t>
  </si>
  <si>
    <t>WOS:000518765200005</t>
  </si>
  <si>
    <t>Wang, RF; Weng, YC; Zhou, ZG; Chen, LY; Hao, HX; Wang, J</t>
  </si>
  <si>
    <t>Wang, Rongfang; Weng, Yaochung; Zhou, Zhiguo; Chen, Liyuan; Hao, Hongxia; Wang, Jing</t>
  </si>
  <si>
    <t>Multi-objective ensemble deep learning using electronic health records to predict outcomes after lung cancer radiotherapy</t>
  </si>
  <si>
    <t>electronic health records; lung cancer radiotherapy; multi-objective optimization; ensemble deep learning</t>
  </si>
  <si>
    <t>DISTANT FAILURE; REPRESENTATION; MODEL</t>
  </si>
  <si>
    <t>Accurately predicting treatment outcome is crucial for creating personalized treatment plans and follow-up schedules. Electronic health records (EHRs) contain valuable patient-specific information that can be leveraged to improve outcome prediction. We propose a reliable multi-objective ensemble deep learning (MoEDL) method that uses features extracted from EHRs to predict high risk of treatment failure after radiotherapy in patients with lung cancer. The dataset used in this study contains EHRs of 814 patients who had not achieved disease-free status and 193 patients who were disease-free with at least one year follow-up time after lung cancer radiation therapy. The proposed MoEDL consists of three phases: (1) training with dynamic ensemble deep learning; (2) model selection with adaptive multi-objective optimization; and (3) testing with evidential reasoning (ER) fusion. Specifically, in the training phase, we employ deep perceptron networks as base learners to handle various issues with EHR data. The architecture and key hyper-parameters of each base learner are dynamically adjusted to increase the diversity of learners while reducing the time spent tuning hyper-parameters. Furthermore, we integrate the snapshot ensembles (SE) restarting strategy, multi-objective optimization, and ER fusion to improve the prediction robustness and accuracy of individual networks. The SE restarting strategy can yield multiple candidate models at no additional training cost in the training stage. The multi-objective model simultaneously considers sensitivity, specificity, and AUC as objective functions, overcoming the limitations of single-objective-based model selection. For the testing stage, we utilized an analytic ER rule to fuse the output scores from each optimal model to obtain reliable and robust predictive results. Our experimental results demonstrate that MoEDL can perform better than other conventional methods.</t>
  </si>
  <si>
    <t>[Wang, Rongfang] Xidian Univ, Sch Artificial Intelligence, Xian 710071, Peoples R China; [Wang, Rongfang; Weng, Yaochung; Zhou, Zhiguo; Chen, Liyuan; Wang, Jing] Univ Texas Southwestern Med Ctr Dallas, Dept Radiat Oncol, Dallas, TX 75235 USA; [Wang, Rongfang; Weng, Yaochung; Zhou, Zhiguo; Chen, Liyuan; Wang, Jing] Univ Texas Southwestern Med Ctr Dallas, Med Artificial Intelligence &amp; Automat MAIA Lab, Dallas, TX 75390 USA; [Hao, Hongxia] Xidian Univ, Sch Comp Sci &amp; Technol, Xian 710071, Peoples R China; [Zhou, Zhiguo] Univ Cent Missouri, Sch Comp Sci &amp; Math, Warrensburg, MO 64093 USA</t>
  </si>
  <si>
    <t>Xidian University; University of Texas System; University of Texas Southwestern Medical Center; University of Texas System; University of Texas Southwestern Medical Center; Xidian University; University Central Missouri</t>
  </si>
  <si>
    <t>Wang, J (通訊作者)， Univ Texas Southwestern Med Ctr Dallas, Dept Radiat Oncol, Dallas, TX 75235 USA.;Wang, J (通訊作者)， Univ Texas Southwestern Med Ctr Dallas, Med Artificial Intelligence &amp; Automat MAIA Lab, Dallas, TX 75390 USA.</t>
  </si>
  <si>
    <t>Jing.Wang@utsouthwestern.edu</t>
  </si>
  <si>
    <t>Wang, Jing/N-7332-2019; Zhou, Zhiguo/S-4260-2018; Hao, Hongxia/AAO-7462-2020</t>
  </si>
  <si>
    <t>Wang, Jing/0000-0002-8491-4146; Wang, Rongfang/0000-0002-7253-7750;</t>
  </si>
  <si>
    <t>National Institutes of Health [R01 EB020366]</t>
  </si>
  <si>
    <t>This work was supported in part by National Institutes of Health (R01 EB020366). The authors thank Dr Jonathan Feinberg for scientific editing.</t>
  </si>
  <si>
    <t>10.1088/1361-6560/ab555e</t>
  </si>
  <si>
    <t>WOS:000513009900005</t>
  </si>
  <si>
    <t>Arsalani, S; Arsalani, S; Hadadian, Y; Sampaio, DRT; Baffa, O; Pavan, TZ; Carneiro, AAO</t>
  </si>
  <si>
    <t>Arsalani, Saeideh; Arsalani, Soudabeh; Hadadian, Yaser; Sampaio, Diego R. T.; Baffa, Oswaldo; Pavan, Theo Z.; Carneiro, Antonio Adilton O.</t>
  </si>
  <si>
    <t>The effect of magnetization of natural rubber latex-coated magnetite nanoparticles on shear wave dispersion magneto-motive ultrasound</t>
  </si>
  <si>
    <t>magneto-motive ultrasound; iron oxide nanoparticles; shear wave; viscoelastic properties</t>
  </si>
  <si>
    <t>IRON-OXIDE NANOPARTICLES; TRANSIENT ELASTOGRAPHY; HYBRID TRANSDUCER; PHANTOM MATERIALS; ELASTICITY</t>
  </si>
  <si>
    <t>The shear wave dispersion magneto-motive ultrasound (SDMMUS) method was recently developed to analyze the mechanical properties of a viscoelastic medium. This technique is based on the interaction of magnetic nanoparticles (MNPs) with an external magnetic field to generate a shear wave within the medium labeled with MNPs. The propagation of this wave provides information about the viscoelastic properties of the medium. In a previous work by Arsalani et al (2018), magnetite NPs were synthesized by a co-precipitation method and coated with natural rubber latex (NRL). In order to investigate the effect of NRL on the size and magnetization of MNPs, varying amounts of NRL (zero, 100 mu l, and 800 mu l of a stock solution of NRL) were used during the synthesis process. The results showed that MNPs prepared with 800 mu l of NRL, named as MNPs-800NRL, had the smallest size and highest magnetization. In the present paper, the main objective is to investigate whether MNPs-800NRL, having the highest magnetization, is also the best option for SDMMUS experiments among others. All experiments were performed using gelatin tissue-mimicking phantoms labeled with the aforementioned MNPs. The two factors of core size and magnetization were considered, and based on the observed results, the effect of magnetization was more prominent than that of the core size on the induced displacements. MNPs coated with a thicker NRL shell, having the highest magnetization value, enhanced the sensitivity and the signal to noise ratio in SDMMUS. Various concentrations of these optimized MNPs were also examined, to investigate the lowest possible concentration for observing shear waves in the SDMMUS technique.</t>
  </si>
  <si>
    <t>[Arsalani, Saeideh; Arsalani, Soudabeh; Hadadian, Yaser; Sampaio, Diego R. T.; Baffa, Oswaldo; Pavan, Theo Z.; Carneiro, Antonio Adilton O.] Univ Sao Paulo, Dept Phys, FFCLRP, Av Bandeirantes 3900, BR-1404091 Ribeirao Preto, SP, Brazil</t>
  </si>
  <si>
    <t>Universidade de Sao Paulo</t>
  </si>
  <si>
    <t>Carneiro, AAO (通訊作者)， Univ Sao Paulo, Dept Phys, FFCLRP, Av Bandeirantes 3900, BR-1404091 Ribeirao Preto, SP, Brazil.</t>
  </si>
  <si>
    <t>adilton@usp.br</t>
  </si>
  <si>
    <t>Z. Pavan, Theo/F-3331-2012; Arsalani, Soudabeh/AAL-7690-2020; Hadadian, Yaser/X-2704-2018; Baffa, Oswaldo/E-3251-2012; Carneiro, Antonio Adilton Oliveira/F-3557-2012; Carneiro, Antonio/F-3557-2012</t>
  </si>
  <si>
    <t>Z. Pavan, Theo/0000-0002-9931-8558; Carneiro, Antonio Adilton Oliveira/0000-0002-1752-7170; Hadadian, Yaser/0000-0003-2176-2891</t>
  </si>
  <si>
    <t>GIIMUS; FAPESP [2016-0232-0]; CNPq [407471/2016-2]; CAPES [001]; FINEP [2613/09]</t>
  </si>
  <si>
    <t>GIIMUS; FAPESP(Fundacao de Amparo a Pesquisa do Estado de Sao Paulo (FAPESP)); CNPq(Conselho Nacional de Desenvolvimento Cientifico e Tecnologico (CNPQ)); CAPES(Coordenacao de Aperfeicoamento de Pessoal de Nivel Superior (CAPES)); FINEP(Financiadora de Inovacao e Pesquisa (Finep))</t>
  </si>
  <si>
    <t>The technical support of A S Bastos Neto, L Rocha, C R Silva and J A Maulin (TEM) are greatly appreciated. We also thank A P Ramos for access to the DLS measurement instrument. Partial financial support: GIIMUS, FAPESP Grant 2016-0232-0, CNPq (S.A. Scholarship Grant 407471/2016-2), CAPES-Finance Code 001, and FINEP-Finance Code 2613/09.</t>
  </si>
  <si>
    <t>10.1088/1361-6560/ab4693</t>
  </si>
  <si>
    <t>WOS:000494858500003</t>
  </si>
  <si>
    <t>Ji, X; Zhang, R; Chen, GH; Li, K</t>
  </si>
  <si>
    <t>Ji, Xu; Zhang, Ran; Chen, Guang-Hong; Li, Ke</t>
  </si>
  <si>
    <t>Task-driven optimization of the non-spectral mode of photon counting CT for intracranial hemorrhage assessment</t>
  </si>
  <si>
    <t>photon counting CT; photon counting detector; non-contrast head CT; intracranial hemorrhage; task-based detectability index; ideal model observer; stroke imaging</t>
  </si>
  <si>
    <t>DETECTIVE QUANTUM EFFICIENCY; CASCADED SYSTEMS-ANALYSIS; COMPUTED-TOMOGRAPHY; INTRACEREBRAL HEMORRHAGE; READOUT CHIP; HEAD CT; SNR; RECONSTRUCTION; TRANSFORMATION; PERFORMANCE</t>
  </si>
  <si>
    <t>Non-contrast CT (NCCT) is widely employed as the first-line imaging test to evaluate intracranial hemorrhage (ICH). Advances in mutidetector CT (MDCT) technology have greatly improved the image quality of NCCT for the detection of established, relatively large, and acute ICHs. Meanwhile, the reliability of MDCT in detecting microbleeds and chronic hemorrhage, and in predicting hemorrhagic transformation needs to be further improved. The purpose of this work was to investigate the potential use of non-spectral photon counting CT (PCCT) to address these challenges in ICH imaging. Towards this goal, the NCCT protocol of an experimental PCCT system that simulates the geometry of a general-purpose MDCT was optimized. The optimization was driven by three imaging tasks: detection of a 4.0 mm intraparenchymal hemorrhage, detection of a 1.5 mm subarachnoid hemorrhage, and discrimination of a sulcus in the insular cortex from the parenchymal background. These imaging tasks were custom-built into an anthropomorphic head phantom. Under the guidance of the frequency-dependent noise equivalent quanta and the ideal observer model detectability index d' , the optimal PCD detection mode, energy threshold, and reconstruction kernel were found to be the anti-charge sharing mode, 15 keV, and an apodized ramp kernel, respectively. Compared with a clinical MDCT operated with an ICH protocol and at a matched dose level, the PCCT system provided at least 20% improvements in d' for all three ICH imaging tasks. These results demonstrated the potential benefits of non-spectral PCCT in ICH assessment.</t>
  </si>
  <si>
    <t>[Ji, Xu; Zhang, Ran; Chen, Guang-Hong; Li, Ke] Univ Wisconsin, Dept Med Phys, 1111 Highland Ave, Madison, WI 53705 USA; [Chen, Guang-Hong; Li, Ke] Univ Wisconsin, Dept Radiol, 600 Highland Ave, Madison, WI 53792 USA</t>
  </si>
  <si>
    <t>University of Wisconsin System; University of Wisconsin Madison; University of Wisconsin System; University of Wisconsin Madison</t>
  </si>
  <si>
    <t>Li, K (通訊作者)， Univ Wisconsin, Dept Med Phys, 1111 Highland Ave, Madison, WI 53705 USA.;Li, K (通訊作者)， Univ Wisconsin, Dept Radiol, 600 Highland Ave, Madison, WI 53792 USA.</t>
  </si>
  <si>
    <t>ke.li@wisc.edu</t>
  </si>
  <si>
    <t>Ji, Xu/AAM-1429-2021; Zhang, Ran/ABH-4757-2020</t>
  </si>
  <si>
    <t>Li, Ke/0000-0002-2672-2672;</t>
  </si>
  <si>
    <t>National Institute of Biomedical Imaging and Bioengineering of the National Institutes of Health [U01EB021183]</t>
  </si>
  <si>
    <t>National Institute of Biomedical Imaging and Bioengineering of the National Institutes of Health(United States Department of Health &amp; Human ServicesNational Institutes of Health (NIH) - USANIH National Institute of Biomedical Imaging &amp; Bioengineering (NIBIB))</t>
  </si>
  <si>
    <t>This work was partially supported by the National Institute of Biomedical Imaging and Bioengineering of the National Institutes of Health under Award Number U01EB021183. Opinions, interpretations, conclusions and recommendations are those of the authors; they do not necessarily represent the official views of the National Institutes of Health. The authors would like to thank Kevin Treb for his editorial assistance.</t>
  </si>
  <si>
    <t>10.1088/1361-6560/ab43a6</t>
  </si>
  <si>
    <t>JJ9RR</t>
  </si>
  <si>
    <t>WOS:000494489600001</t>
  </si>
  <si>
    <t>Jones, B; Hill, MA</t>
  </si>
  <si>
    <t>Jones, Bleddyn; Hill, Mark A.</t>
  </si>
  <si>
    <t>Physical characteristics at the turnover-points of relative biological effect (RBE) with linear energy transfer (LET)</t>
  </si>
  <si>
    <t>LET; RBE; radiobiology</t>
  </si>
  <si>
    <t>PROTON THERAPY; CELL-LINES; IN-VITRO; INACTIVATION; RADIOBIOLOGY; SURVIVAL; TRACK; IRRADIATION; DEPENDENCE; MODEL</t>
  </si>
  <si>
    <t>This paper considers the kinematic physical characteristics of ionic beams for maximum relative bio-effectiveness (RBE). RBE studies, based on heterogenous cell survival studies at different laboratories and linear energy transfer (LET) conditions for proton, helium, carbon, neon and argon ions, have been further analysed to determine the LETU values where RBE is maximal and the LET-RBE relationship has a turnover point. The SRIM stopping power software and other classical equations are used to determine the particle velocities, kinetic energies and their effective ionic charges at LETU. The estimated mean LETU values increase with atomic number (Z). Each LETU has a unique relativistic velocity, ???=??v/c, the velocity v expressed as a fraction of the speed of light, (c), and which is non-linearly proportional to Z. For ions helium and heavier ions, these velocities indicate that the effective charge Z* is around 0.99 of the full Z value at each LETU, with remarkably stable velocities of 3?4?nm fs(?1) per nucleon, or around 6?8?nm fs(?1) per unit Z. For Z??=??1, (protons and deuterium) some values fall outside these ranges but the result depends on the mix of proton and deuterium used in experiments. An alternative index of ?A/Z(2) (A is the atomic mass number), suggests an average velocity of around 15?nm fs(?1) for each particle at LETU. These distances, traversed in the time of the radiochemical process initiation, are all within the dimensions of the nucleosome. Curve fitting of the data set provides a predictive equation for LETU for any ion, as LETU??=??30.4??+?? (1?????Exp[?0.61????(Z?????1)]) when normalised to protons. These data can be extended to heavier ions such as silicon and iron and give values that are consistent with experimental data. Each ion probably has a unique LETU value. Kinematic studies show maximum bio-effectiveness occurs at particle velocities where electron stripping remains at around 99% and where the velocity per nucleon is around 3?4?nm fs(?1). This study enhances the limited prior knowledge about the physical conditions of particle beams that provide maximum bio-effectiveness, with applications in particle radiotherapy, radiation protection and space travel.</t>
  </si>
  <si>
    <t>[Jones, Bleddyn; Hill, Mark A.] Univ Oxford, Oxford Inst Radiat Oncol &amp; Biol, Gray Lab, Old Rd Campus,Res Bldg,Roosevelt Dr, Oxford OX3 7DG, England</t>
  </si>
  <si>
    <t>Jones, B (通訊作者)， Univ Oxford, Oxford Inst Radiat Oncol &amp; Biol, Gray Lab, Old Rd Campus,Res Bldg,Roosevelt Dr, Oxford OX3 7DG, England.</t>
  </si>
  <si>
    <t>Bleddyn.Jones@oncology.ox.ac.uk</t>
  </si>
  <si>
    <t>Hill, Mark/V-6041-2019</t>
  </si>
  <si>
    <t>Hill, Mark Antony/0000-0002-6894-7829</t>
  </si>
  <si>
    <t>Medical Research Council [MC_U142760473] Funding Source: researchfish; MRC [MC_U142760473] Funding Source: UKRI; Medical Research Council [MC_U142760473] Funding Source: Medline</t>
  </si>
  <si>
    <t>Medical Research Council(UK Research &amp; Innovation (UKRI)Medical Research Council UK (MRC)); MRC(UK Research &amp; Innovation (UKRI)Medical Research Council UK (MRC)); Medical Research Council(UK Research &amp; Innovation (UKRI)Medical Research Council UK (MRC))</t>
  </si>
  <si>
    <t>10.1088/1361-6560/ab52a5</t>
  </si>
  <si>
    <t>JT2GC</t>
  </si>
  <si>
    <t>WOS:000500813200001</t>
  </si>
  <si>
    <t>Vicente, E; Modiri, A; Yu, KC; Wibowo, H; Yan, YL; Timmerman, R; Sawant, A</t>
  </si>
  <si>
    <t>Vicente, Esther; Modiri, Arezoo; Yu, Kun-Chang; Wibowo, Henky; Yan, Yulong; Timmerman, Robert; Sawant, Amit</t>
  </si>
  <si>
    <t>Accounting for respiratory motion in small serial structures during radiotherapy planning: proof of concept in virtual bronchoscopy-guided lung functional avoidance radiotherapy</t>
  </si>
  <si>
    <t>motion management; airways; dose estimation; radiotherapy</t>
  </si>
  <si>
    <t>4-DIMENSIONAL COMPUTED-TOMOGRAPHY; BODY RADIATION-THERAPY; INTENSITY-MODULATED RADIOTHERAPY; PULMONARY VENTILATION; IMAGE REGISTRATION; DOSE CALCULATIONS; CANCER PATIENTS; STAGE-I; SPECT; VARIABILITY</t>
  </si>
  <si>
    <t>Respiratory motion management techniques in radiotherapy (RT) planning are primarily focused on maintaining tumor target coverage. An inadequately addressed need is accounting for motion in dosimetric estimations in smaller serial structures. Accurate dose estimations in such structures are more sensitive to motion because respiration can cause them to move completely in or out of a high dose-gradient field. In this work, we study three motion management strategies (m1?m3) to find an accurate method to estimate the dosimetry in airways. To validate these methods, we generated a ?ground truth? digital breathing model based on a 4DCT scan from a lung stereotactic ablative radiotherapy (SAbR) patient. We simulated 225 breathing cycles with??10% perturbations in amplitude, respiratory period, and time per respiratory phase. A high-resolution breath-hold CT (BHCT) was also acquired and used with a research virtual bronchoscopy software to autosegment 239 airways. Contours for planning target volume (PTV) and organs at risk (OARs) were defined on the maximum intensity projection of the 4DCT (CTMIP) and transferred to the average of the 10 4DCT phases (CTAVG). To design the motion management methods, the RT plan was recreated using different images and structure definitions. Methods m1 and m2 recreated the plan using the CTAVG image. In method m1, airways were deformed to the CTAVG. In m2, airways were deformed to each of the 4DCT phases, and union structures were transferred onto the CTAVG. In m3, the RT plan was recreated on each of the 10 phases, and the dose distribution from each phase was deformed to the BHCT and summed. Dose errors (mean [min, max]) in airways were: m1: 21% (0.001%, 93%); m2: 45% (0.1%, 179%); and m3: 4% (0.006%, 14%). Our work suggests that accurate dose estimation in moving small serial structures requires customized motion management techniques (like m3 in this work) rather than current clinical and investigational approaches.</t>
  </si>
  <si>
    <t>[Vicente, Esther; Modiri, Arezoo; Sawant, Amit] Univ Maryland, Dept Radiat Oncol, Sch Med, Baltimore, MD 21201 USA; [Yu, Kun-Chang; Wibowo, Henky] Broncus Med Inc, San Jose, CA 95134 USA; [Yan, Yulong; Timmerman, Robert] UT Southwestern Med Ctr, Dept Radiat Oncol, Dallas, TX 75390 USA</t>
  </si>
  <si>
    <t>University System of Maryland; University of Maryland Baltimore; University of Texas System; University of Texas Southwestern Medical Center</t>
  </si>
  <si>
    <t>Vicente, E (通訊作者)， Univ Maryland, Dept Radiat Oncol, Sch Med, Baltimore, MD 21201 USA.</t>
  </si>
  <si>
    <t>evicente@som.umaryland.edu</t>
  </si>
  <si>
    <t>Vicente, Esther/0000-0003-0392-5271</t>
  </si>
  <si>
    <t>National Institutes of Health [R01 CA 202761]</t>
  </si>
  <si>
    <t>This work was partially supported by the National Institutes of Health (R01 CA 202761). We would like to thank Dr Nancy Knight for helpful comments and thorough editing of this manuscript and Dr. Pranshu Mohindra for valuable discussions.</t>
  </si>
  <si>
    <t>10.1088/1361-6560/ab52a1</t>
  </si>
  <si>
    <t>JR9DE</t>
  </si>
  <si>
    <t>WOS:000499916200001</t>
  </si>
  <si>
    <t>Dorsch, S; Mann, P; Elter, A; Runz, A; Spindeldreier, CK; Klüter, S; Karger, CP</t>
  </si>
  <si>
    <t>Dorsch, S.; Mann, P.; Elter, A.; Runz, A.; Spindeldreier, C. K.; Klueter, S.; Karger, C. P.</t>
  </si>
  <si>
    <t>Measurement of isocenter alignment accuracy and image distortion of an 0.35 T MR-Linac system</t>
  </si>
  <si>
    <t>magnetic resonance (MR) guided radiotherapy (MRgRT); isocenter alignment; gel dosimetry; geometric distortions; quality assurance</t>
  </si>
  <si>
    <t>MAGNETIC-RESONANCE; POLYMER GEL; RADIATION-THERAPY; GEOMETRIC DISTORTION; COMPUTED-TOMOGRAPHY; SPATIAL DISTORTION; RADIOSURGERY; DOSIMETERS</t>
  </si>
  <si>
    <t>For hybrid devices combining magnetic resonance (MR) imaging and a linac for radiation treatment, the isocenter accuracy as well as image distortions have to be checked. This study presents a new phantom to investigate MR-Linacs in a single measurement in terms of (i) isocentricity of the irradiation and (ii) alignment of the irradiation and imaging isocenter relative to each other using polymer dosimetry gel as well as (iii) 3-dimensional (3D) geometric MR image distortions. The evaluation of the irradiated gel was performed immediately after irradiation with the imaging component of the 0.35 T MR-Linac using a T2-weighted turbo spin-echo sequence. Eight plastic grid sheets within the phantom allow for measurement of geometric distortions in 3D by comparing the positions of the grid intersections (control points) within the MR-image with their nominal position obtained from a CT-scan. The distance of irradiation and imaging isocenter in 3D was found to be (0.8 +/- 0.9) mm for measurements with 32 image acquisitions. The mean distortion over the whole phantom was (0.60 +/- 0.28) mm and 99.8% of the evaluated control points had distortions below 1.5 mm. These geometrical uncertainties have to be considered by additional safety margins.</t>
  </si>
  <si>
    <t>[Dorsch, S.; Mann, P.; Elter, A.; Runz, A.; Karger, C. P.] German Canc Res Ctr, Dept Med Phys Radiat Oncol, INF 280, D-69120 Heidelberg, Germany; [Dorsch, S.; Elter, A.] Heidelberg Univ, Fac Phys &amp; Astron, Heidelberg, Germany; [Spindeldreier, C. K.; Klueter, S.] Univ Hosp Heidelberg, Dept Radiat Oncol, INF 400, D-69120 Heidelberg, Germany; [Dorsch, S.; Mann, P.; Elter, A.; Runz, A.; Spindeldreier, C. K.; Klueter, S.; Karger, C. P.] HIRO, Natl Ctr Radiat Res Oncol NCRO, Heidelberg, Germany; [Mann, P.] HQ Imaging GmbH, Heidelberg, Germany</t>
  </si>
  <si>
    <t>Dorsch, S (通訊作者)， German Canc Res Ctr, Dept Med Phys Radiat Oncol, INF 280, D-69120 Heidelberg, Germany.;Dorsch, S (通訊作者)， Heidelberg Univ, Fac Phys &amp; Astron, Heidelberg, Germany.;Dorsch, S (通訊作者)， HIRO, Natl Ctr Radiat Res Oncol NCRO, Heidelberg, Germany.</t>
  </si>
  <si>
    <t>s.dorsch@dkfz.de</t>
  </si>
  <si>
    <t>Elter, Alina/AAK-5005-2020; Klueter, Sebastian/DRC-0812-2022</t>
  </si>
  <si>
    <t>Kluter, Sebastian/0000-0003-3139-3444; Mann, Philipp/0000-0002-2857-4861; Elter, Alina/0000-0002-0295-9931; Dorsch, Stefan/0000-0002-8185-8644</t>
  </si>
  <si>
    <t>EMPIR programme; European Union</t>
  </si>
  <si>
    <t>This work has received funding from the EMPIR programme co-financed by the Participating States and from the European Union's Horizon 2020 research and innovation programme. Additionally, the authors would like to thank Professor Dr K Kopka for providing the lab space for the production of the polymer gel. We also like to thank Philipp Hanslovsky for providing valuable input for the automated grid detection procedure. The Department of Radiation Oncology, University Hospital Heidelberg, has a research collaboration agreement with ViewRay Inc.</t>
  </si>
  <si>
    <t>10.1088/1361-6560/ab4540</t>
  </si>
  <si>
    <t>WOS:000500247900011</t>
  </si>
  <si>
    <t>Kouvati, K; Jaszczak, M; Papagiannis, P; Kadlubowski, S; Wach, R; Maras, P; Dudek, M; Kozicki, M</t>
  </si>
  <si>
    <t>Kouvati, Konstantina; Jaszczak, Malwina; Papagiannis, Panagiotis; Kadlubowski, Slawomir; Wach, Radoslaw; Maras, Piotr; Dudek, Mariusz; Kozicki, Marek</t>
  </si>
  <si>
    <t>Leuco crystal violet-Pluronic F-127 3D radiochromic gel dosimeter</t>
  </si>
  <si>
    <t>leuco crystal violet; pluronic F-127; 3D radiotherapy dosimetry; radiochromic dosimeter; LCV-pluronic</t>
  </si>
  <si>
    <t>RADIATION-DOSE DISTRIBUTIONS; IONIZING-RADIATION; POLYMER; OPTIMIZATION; HYDROGELS; MICELLIZATION; SENSITIVITY; RADIOLYSIS; COPOLYMERS; COMPONENTS</t>
  </si>
  <si>
    <t>This work reports results related to the manufacturing and optimisation of a leuco crystal violet (LCV)-Pluronic F-127 radiochromic gel dosimeter suitable for 3D radiotherapy dosimetry. A feature of this gel is that the natural gelatine polymer, which is most often used as a matrix in 3D dosimeters, is substituted with Pluronic F-127 synthetic copolymer (poly(ethylene oxide)-blockpoly(propylene oxide)-block-poly(ethylene oxide). Pluronic F-127 ensures a higher transparency than gelatine, which may be beneficial for optical computed tomography readout, and improves the thermal properties in the temperature range above similar to 30 degrees C at which the gelatine physical gel converts to a solution. The optimal composition obtained comprises 2 mM LCV, 4 mM 4-(1,1,3,3-tetramethylbutyl)phenyl-polyethylene glycol (Triton X-100),17 mM trichloroacetic acid (TCAA) and 25% Pluronic F-127. Its main dose-response features are 4-150 Gy linear dose range (150 Gy was the maximal dose applied to gels in this work), 0.0070 Gy(-1) cm(-1) dose sensitivity (derived from absorbance (600 nm) = f(dose) for 6 MeV electrons, 0.88(3) Gy s(-1) and 0.0156 Gy(-1) cm(-1) derived from optical density (Delta mu = f(dose) for 6 MV x-rays, 0.1010 Gy s(-1)), low initial colour (initial absorbance = 0.0429) and a diffusion coefficient of crystal violet (CV) in LCV-Pluronic of 0.054 +/- 0.023 mm(2) h(-1). Raman spectroscopy was used to characterize LCV-Pluronic chemical changes after irradiation. Differential scanning calorimetry (DSC) revealed that LCV-Pluronic is stable in temperatures between approximately 11 degrees C and 56 degrees C. Irradiation of LCV-Pluronic gel impacts on its first sol-gel transition temperature and the thermal effect of this process-both increased with absorbed dose, which might be related to the degradation of Pluronic. LCV-Pluronic is a promising 3D dosimeter for ionising radiation applications. Further work is needed to improve LCV-Pluronic response in the low dose region, and characterize potential effects of pH, temperature during irradiation, and radiation quality/dose rate on dose response characteristics.</t>
  </si>
  <si>
    <t>[Kouvati, Konstantina; Papagiannis, Panagiotis] Univ Athens, Med Sch, Athens, Greece; [Jaszczak, Malwina; Dudek, Mariusz] Lodz Univ Technol, Inst Mat Sci &amp; Engn, Lodz, Poland; [Kadlubowski, Slawomir; Wach, Radoslaw] Lodz Univ Technol, Inst Appl Radiat Chem, Lodz, Poland; [Maras, Piotr] Copernicus Hosp, Med Phys Dept, Lodz, Poland; [Kozicki, Marek] Lodz Univ Technol, Dept Man Made Fibres, Lodz, Poland; [Kozicki, Marek] GeVero Co, Lodz, Poland</t>
  </si>
  <si>
    <t>National &amp; Kapodistrian University of Athens; Lodz University of Technology; Lodz University of Technology; Lodz University of Technology</t>
  </si>
  <si>
    <t>marek.kozicki@p.lodz.pl</t>
  </si>
  <si>
    <t>Papagiannis, Panagiotis/I-1335-2019; Jaszczak, Malwina/Q-2691-2019; Dudek, Mariusz/O-1242-2018; Maras, Piotr/MSW-2971-2025; Wach, Radoslaw/F-6030-2017; Kadlubowski, Slawomir/Y-1740-2018; Kozicki, Marek/M-2744-2018</t>
  </si>
  <si>
    <t>Maras, Piotr/0000-0002-5821-4947; Dudek, Mariusz/0000-0003-4213-7673; Jaszczak-Kuligowska, Malwina/0000-0001-9524-0848; Wach, Radoslaw/0000-0001-7311-4525; Kozicki, Marek/0000-0002-8396-4344</t>
  </si>
  <si>
    <t>10.1088/1361-6560/ab2f5d</t>
  </si>
  <si>
    <t>WOS:000484728400002</t>
  </si>
  <si>
    <t>Lu, WZ; Onofrey, JA; Lu, YH; Shi, LY; Ma, TY; Liu, YQ; Liu, C</t>
  </si>
  <si>
    <t>Lu, Wenzhuo; Onofrey, John A.; Lu, Yihuan; Shi, Luyao; Ma, Tianyu; Liu, Yaqiang; Liu, Chi</t>
  </si>
  <si>
    <t>An investigation of quantitative accuracy for deep learning based denoising in oncological PET</t>
  </si>
  <si>
    <t>deep learning; noise reduction; oncological PET; quantitative accuracy</t>
  </si>
  <si>
    <t>CELL LUNG-CANCER; IMAGE-RECONSTRUCTION; EMISSION-TOMOGRAPHY; ALGORITHM; INFORMATION</t>
  </si>
  <si>
    <t>Reducing radiation dose is important for PET imaging. However, reducing injection doses causes increased image noise and low signal-to-noise ratio (SNR), subsequently affecting diagnostic and quantitative accuracies. Deep learning methods have shown a great potential to reduce the noise and improve the SNR in low dose PET data. In this work, we comprehensively investigated the quantitative accuracy of small lung nodules, in addition to visual image quality, using deep learning based denoising methods for oncological PET imaging. We applied and optimized an advanced deep learning method based on the U-net architecture to predict the standard dose PET image from 10% low-dose PET data. We also investigated the effect of different network architectures, image dimensions, labels and inputs for deep learning methods with respect to both noise reduction performance and quantitative accuracy. Normalized mean square error (NMSE), SNR, and standard uptake value (SUV) bias of different nodule regions of interest (ROIs) were used for evaluation. Our results showed that U-net and GAN are superior to CAE with smaller SUVmean and SUVmax bias at the expense of inferior SNR. A fully 3D U-net has optimal quantitative performance compared to 2D and 2.5D U-net with less than 15% SUVmean bias for all the ten patients. U-net outperforms Residual U-net (r-U-net) in general with smaller NMSE, higher SNR and lower SUVmax bias. Fully 3D U-net is superior to several existing denoising methods, including Gaussian filter, anatomical-guided non-local mean (NLM) filter, and MAP reconstruction with Quadratic prior and relative difference prior, in terms of superior image quality and trade-off between noise and bias. Furthermore, incorporating aligned CT images has the potential to further improve the quantitative accuracy in multi-channel U-net. We found the optimal architectures and parameters of deep learning based methods are different for absolute quantitative accuracy and visual image quality. Our quantitative results demonstrated that fully 3D U-net can both effectively reduce image noise and control bias even for sub-centimeter small lung nodules when generating standard dose PET using 10% low count down-sampled data.</t>
  </si>
  <si>
    <t>[Lu, Wenzhuo; Onofrey, John A.; Lu, Yihuan; Shi, Luyao; Liu, Chi] Yale Univ, Dept Radiol &amp; Biomed Imaging, New Haven, CT 06520 USA; [Lu, Wenzhuo; Ma, Tianyu; Liu, Yaqiang] Tsinghua Univ, Dept Engn Phys, Beijing, Peoples R China; [Lu, Wenzhuo; Ma, Tianyu; Liu, Yaqiang] Tsinghua Univ, Minist Educ, Key Lab Particle &amp; Radiat Imaging, Beijing, Peoples R China</t>
  </si>
  <si>
    <t>Yale University; Tsinghua University; Tsinghua University</t>
  </si>
  <si>
    <t>Liu, C (通訊作者)， Yale Univ, Dept Radiol &amp; Biomed Imaging, New Haven, CT 06520 USA.;Ma, TY (通訊作者)， Tsinghua Univ, Dept Engn Phys, Beijing, Peoples R China.;Ma, TY (通訊作者)， Tsinghua Univ, Minist Educ, Key Lab Particle &amp; Radiat Imaging, Beijing, Peoples R China.</t>
  </si>
  <si>
    <t>maty@mail.tsinghua.edu.cn; chi.liu@yale.edu</t>
  </si>
  <si>
    <t>Onofrey, John/T-9841-2019; ma, tianyu/KVB-0680-2024; Shi, Luyao/AAH-1342-2019</t>
  </si>
  <si>
    <t>Lu, Yihuan/0000-0002-9492-6802; Ma, Tianyu/0000-0002-2326-5760;</t>
  </si>
  <si>
    <t>NIH [R01EB025468]; National Natural Science Foundation of China [81727807, 11375096]; China Scholarship Council; NVDIA</t>
  </si>
  <si>
    <t>NIH(United States Department of Health &amp; Human ServicesNational Institutes of Health (NIH) - USA); National Natural Science Foundation of China(National Natural Science Foundation of China (NSFC)); China Scholarship Council(China Scholarship Council); NVDIA</t>
  </si>
  <si>
    <t>This work is supported by NIH grant R01EB025468, National Natural Science Foundation of China under Grant No. 81727807, No. 11375096 and China Scholarship Council. The GPU card is supported by a grant from NVDIA.</t>
  </si>
  <si>
    <t>10.1088/1361-6560/ab3242</t>
  </si>
  <si>
    <t>WOS:000482525700010</t>
  </si>
  <si>
    <t>Uneri, A; Zhang, X; Yi, T; Stayman, JW; Helm, PA; Osgood, GM; Theodore, N; Siewerdsen, JH</t>
  </si>
  <si>
    <t>Uneri, A.; Zhang, X.; Yi, T.; Stayman, J. W.; Helm, P. A.; Osgood, G. M.; Theodore, N.; Siewerdsen, J. H.</t>
  </si>
  <si>
    <t>Known-component metal artifact reduction (KC-MAR) for cone-beam CT</t>
  </si>
  <si>
    <t>metal artifact reduction; 3D-2D registration; cone-beam CT; image-guided surgery; spine surgery</t>
  </si>
  <si>
    <t>RAY COMPUTED-TOMOGRAPHY; HARDENING CORRECTION; SEGMENTATION; RECONSTRUCTION; PROJECTION; SUPPRESSION; ALGORITHM; IMPLANTS; HARDWARE</t>
  </si>
  <si>
    <t>Intraoperative cone-beam CT (CBCT) is increasingly used for surgical navigation and validation of device placement. In spinal deformity correction, CBCT provides visualization of pedicle screws and fixation rods in relation to adjacent anatomy. This work reports and evaluates a method that uses prior information regarding such surgical instrumentation for improved metal artifact reduction (MAR). The known-component MAR (KC-MAR) approach achieves precise localization of instrumentation in projection images using rigid or deformable 3D-2D registration of component models, thereby overcoming residual errors associated with segmentation-based methods. Projection data containing metal components are processed via 2D inpainting of the detector signal, followed by 3D filtered back-projection (FBP). Phantom studies were performed to identify nominal algorithm parameters and quantitatively investigate performance over a range of component material composition and size. A cadaver study emulating screw and rod placement in spinal deformity correction was conducted to evaluate performance under realistic clinical imaging conditions. KC-MAR demonstrated reduction in artifacts (standard deviation in voxel values) across a range of component types and dose levels, reducing the artifact to 5-10 HU. Accurate component delineation was demonstrated for rigid (screw) and deformable (rod) models with sub-mm registration errors, and a single-pixel dilation of the projected components was found to compensate for partial-volume effects. Artifacts associated with spine screws and rods were reduced by 40%-80% in cadaver studies, and the resulting images demonstrated markedly improved visualization of instrumentation (e.g. screw threads) within cortical margins. The KC-MAR algorithm combines knowledge of surgical instrumentation with 3D image reconstruction in a manner that overcomes potential pitfalls of segmentation. The approach is compatible with FBP-thereby maintaining simplicity in a manner that is consistent with surgical workflow-or more sophisticated model-based reconstruction methods that could further improve image quality and/or help reduce radiation dose.</t>
  </si>
  <si>
    <t>[Uneri, A.; Zhang, X.; Yi, T.; Stayman, J. W.; Siewerdsen, J. H.] Johns Hopkins Univ, Dept Biomed Engn, Baltimore, MD 21205 USA; [Helm, P. A.] Medtron, Littleton, MA 01460 USA; [Osgood, G. M.] Johns Hopkins Med, Dept Orthopaed Surg, Baltimore, MD 21287 USA; [Theodore, N.; Siewerdsen, J. H.] Johns Hopkins Med, Dept Neurosurg, Baltimore, MD 21287 USA</t>
  </si>
  <si>
    <t>Johns Hopkins University; Johns Hopkins University; Johns Hopkins Medicine; Johns Hopkins University; Johns Hopkins Medicine</t>
  </si>
  <si>
    <t>Siewerdsen, JH (通訊作者)， Johns Hopkins Univ, Dept Biomed Engn, Baltimore, MD 21205 USA.;Siewerdsen, JH (通訊作者)， Johns Hopkins Med, Dept Neurosurg, Baltimore, MD 21287 USA.</t>
  </si>
  <si>
    <t>; Zhang, Xiaoxuan/GPW-9341-2022</t>
  </si>
  <si>
    <t>Yi, Thomas/0000-0002-3632-9137; Uneri, Ali/0000-0003-3419-1805; Stayman, Joseph/0000-0003-4358-378X; Doerr, Sophia/0000-0003-0278-8439</t>
  </si>
  <si>
    <t>NIH [R01-EB-017226, T32-AR-067708]; Medtronic</t>
  </si>
  <si>
    <t>NIH(United States Department of Health &amp; Human ServicesNational Institutes of Health (NIH) - USA); Medtronic(Medtronic)</t>
  </si>
  <si>
    <t>This research was supported by NIH grants R01-EB-017226 and T32-AR-067708, and academic-industry collaboration with Medtronic. The authors thank Mr Ronn Wade (Anatomy Board, University of Maryland) for assistance with the cadaver specimen.</t>
  </si>
  <si>
    <t>10.1088/1361-6560/ab3036</t>
  </si>
  <si>
    <t>WOS:000482525700012</t>
  </si>
  <si>
    <t>Fatnassi, C; Zaidi, H</t>
  </si>
  <si>
    <t>Fatnassi, Chemseddine; Zaidi, Habib</t>
  </si>
  <si>
    <t>Fast and accurate pseudo multispectral technique for whole-brain MRI tissue classification</t>
  </si>
  <si>
    <t>MRI; segmentation; brain tissue classification; color spaces; contrast enhancement</t>
  </si>
  <si>
    <t>SEGMENTATION ALGORITHMS; AUTOMATIC SEGMENTATION; IMAGES; NORMALIZATION; ENHANCEMENT; VOLUME; ATLAS</t>
  </si>
  <si>
    <t>Numerous strategies have been proposed to classify brain tissues into gray matter (GM), white matter (WM) and cerebrospinal fluid (CSF). However, many of them fail when classifying specific regions with low contrast between tissues. In this work, we propose an alternative pseudo multispectral classification (PMC) technique using CIE LAB spaces instead of gray scale T1-weighted MPRAGE images, combined with a new preprocessing technique for contrast enhancement and an optimized iterative K-means clustering. To improve the accuracy of the classification process, gray scale images were converted to multispectral CIE LAB data by applying several transformation matrices. Thus, the amount of information associated with each image voxel was increased. The image contrast was then enhanced by applying a real time function that separates brain tissue distributions and improve image contrast in certain brain regions. The data were then classified using an optimized iterative and convergent K-means classifier. The performance of the proposed approach was assessed using simulation and in vivo human studies through comparison with three common software packages used for brain MR image segmentation, namely FSL, SPM8 and K-means clustering. In the presence of high SNR, the results showed that the four algorithms achieve a good classification. Conversely, in the presence of low SNR, PMC was shown to outperform the other methods by accurately recovering all tissue volumes. The quantitative assessment of brain tissue classification for simulated studies showed that the PMC algorithm resulted in a mean Jaccard index (JI) of 0.74 compared to 0.75 for FSL, 0.7 for SPM and 0.8 for K-means. The in vivo human studies showed that the PMC algorithm resulted in a mean JI of 0.92, which reflects a good spatial overlap between segmented and actual volumes, compared to 0.84 for FSL, 0.78 for SPM and 0.66 for K-means. The proposed algorithm presents a high potential for improving the accuracy of automatic brain tissues classification and was found to be accurate even in the presence of high noise level.</t>
  </si>
  <si>
    <t>[Fatnassi, Chemseddine; Zaidi, Habib] Geneva univ Hosp, Div Nucl Med &amp; Mol Imaging, CH-1211 Geneva, Switzerland; [Zaidi, Habib] Univ Geneva, Geneva Univ Neuroctr, CH-1205 Geneva, Switzerland; [Zaidi, Habib] Univ Groningen, Univ Med Ctr Groningen, Dept Nucl Med &amp; Mol Imaging, NL-9700 RB Groningen, Netherlands; [Zaidi, Habib] Univ Southern Denmark, Dept Nucl Med, DK-500 Odense, Denmark</t>
  </si>
  <si>
    <t>University of Geneva; University of Geneva; University of Groningen; University of Southern Denmark</t>
  </si>
  <si>
    <t>Zaidi, H (通訊作者)， Geneva univ Hosp, Div Nucl Med &amp; Mol Imaging, CH-1211 Geneva, Switzerland.;Zaidi, H (通訊作者)， Univ Geneva, Geneva Univ Neuroctr, CH-1205 Geneva, Switzerland.;Zaidi, H (通訊作者)， Univ Groningen, Univ Med Ctr Groningen, Dept Nucl Med &amp; Mol Imaging, NL-9700 RB Groningen, Netherlands.;Zaidi, H (通訊作者)， Univ Southern Denmark, Dept Nucl Med, DK-500 Odense, Denmark.</t>
  </si>
  <si>
    <t>habib.zaidi@hcuge.ch</t>
  </si>
  <si>
    <t>Zaidi, Habib/I-4669-2017</t>
  </si>
  <si>
    <t>Zaidi, Habib/0000-0001-7559-5297</t>
  </si>
  <si>
    <t>Swiss National Science Foundation [SNFN 320030_176052]; Swiss Cancer Research Foundation [KFS-3855-02-2016]</t>
  </si>
  <si>
    <t>Swiss National Science Foundation(Swiss National Science Foundation (SNSF)); Swiss Cancer Research Foundation</t>
  </si>
  <si>
    <t>This work was supported by the Swiss National Science Foundation under grant SNFN 320030_176052 and the Swiss Cancer Research Foundation under Grant KFS-3855-02-2016.</t>
  </si>
  <si>
    <t>10.1088/1361-6560/ab239e</t>
  </si>
  <si>
    <t>WOS:000475378800005</t>
  </si>
  <si>
    <t>Pedrosa, J; Duchenne, J; Queirós, S; Degtiarova, G; Gheysens, O; Claus, P; Voigt, JU; D'hooge, J</t>
  </si>
  <si>
    <t>Pedrosa, Joao; Duchenne, Jurgen; Queiros, Sandro; Degtiarova, Ganna; Gheysens, Olivier; Claus, Piet; Voigt, Jens-Uwe; D'hooge, Jan</t>
  </si>
  <si>
    <t>Non-invasive myocardial performance mapping using 3D echocardiographic stress-strain loops</t>
  </si>
  <si>
    <t>real-time 3D echocardiography; performance mapping; myocardial work; B-spline explicit active surfaces</t>
  </si>
  <si>
    <t>OXYGEN-CONSUMPTION; SEGMENTATION; PRESSURE; AREA; REGISTRATION; VALIDATION; INFARCTION; HEART</t>
  </si>
  <si>
    <t>Regional contribution to left ventricular (LV) ejection is of much clinical importance but its assessment is notably challenging. While deformation imaging is often used, this does not take into account loading conditions. Recently, a method for intraventricular pressure estimation was proposed, thus allowing for loading conditions to be taken into account in a non-invasive way. In this work, a method for 3D automatic myocardial performance mapping in echocardiography is proposed by performing 3D myocardial segmentation and tracking, thus giving access to local geometry and strain. This is then used to assess local LV stress-strain relationships which can be seen as a measure of local myocardial work. The proposed method was validated against F-18-fluorodeoxyglucose positron emission tomography, the reference method to clinically assess local metabolism. Averaged over all patients, the mean correlation between FDG-PET and the proposed method was 0.67 +/- 0.18. In conclusion, stress-strain loops were, for the first time, estimated from 3D echocardiography and correlated to the clinical gold standard for local metabolism, showing the future potential of real-time 3D echocardiography ( RT3DE) for the assessment of local metabolic activity of the heart.</t>
  </si>
  <si>
    <t>[Pedrosa, Joao; Queiros, Sandro; Claus, Piet; D'hooge, Jan] Katholieke Univ Leuven, Lab Cardiovasc Imaging &amp; Dynam, Dept Cardiovasc Sci, Leuven, Belgium; [Voigt, Jens-Uwe] Katholieke Univ Leuven, Dept Cardiovasc Sci, Clin Cardiol, Leuven, Belgium; [Duchenne, Jurgen; Queiros, Sandro] ICVS 3Bs PT Govt Associate Lab, Braga, Portugal; [Queiros, Sandro] Univ Minho, Sch Med, Life &amp; Hlth Sci Res Inst ICVS, Braga, Portugal; [Degtiarova, Ganna; Gheysens, Olivier] Katholieke Univ Leuven, Dept Nucl Med &amp; Mol Imaging, Leuven, Belgium</t>
  </si>
  <si>
    <t>KU Leuven; KU Leuven; Laboratorio Associado ICVS 3B's; Universidade do Minho; KU Leuven</t>
  </si>
  <si>
    <t>D'hooge, J (通訊作者)， Katholieke Univ Leuven, Lab Cardiovasc Imaging &amp; Dynam, Dept Cardiovasc Sci, Leuven, Belgium.</t>
  </si>
  <si>
    <t>jan.dhooge@kuleuven.be</t>
  </si>
  <si>
    <t>; Voigt, Jörg/W-4614-2019; Queiros, Sandro/T-5284-2018; Duchenne, Jürgen/JXY-4716-2024; Queirós, Sandro/T-5284-2018; Claus, Piet/ABB-5756-2021</t>
  </si>
  <si>
    <t>Voigt, Jens-Uwe/0000-0002-0575-1888; D'hooge, Jan/0000-0002-2346-142X; Queiros, Sandro/0000-0001-5259-1891; Pedrosa, Joao/0000-0002-7588-8927</t>
  </si>
  <si>
    <t>European Research Council under the European Union [281748]; European Research Council (ERC) [281748] Funding Source: European Research Council (ERC)</t>
  </si>
  <si>
    <t>European Research Council under the European Union(European Research Council (ERC)); European Research Council (ERC)(European Research Council (ERC))</t>
  </si>
  <si>
    <t>This work was made possible through funding from the European Research Council under the European Union's Seventh Framework Program (HeartMAPAS; FP7/2007-2013/ERC Grant Agreement No. 281748).</t>
  </si>
  <si>
    <t>10.1088/1361-6560/ab21f8</t>
  </si>
  <si>
    <t>WOS:000470808600001</t>
  </si>
  <si>
    <t>Akamatsu, G; Tashima, H; Iwao, Y; Wakizaka, H; Maeda, T; Mohammadi, A; Takyu, S; Nitta, M; Nishikido, F; Rutherford, H; Chacon, A; Safavi-Naeini, M; Yoshida, E; Yamaya, T</t>
  </si>
  <si>
    <t>Akamatsu, Go; Tashima, Hideaki; Iwao, Yuma; Wakizaka, Hidekatsu; Maeda, Takamasa; Mohammadi, Akram; Takyu, Sodai; Nitta, Munetaka; Nishikido, Fumihiko; Rutherford, Harley; Chacon, Andrew; Safavi-Naeini, Mitra; Yoshida, Eiji; Yamaya, Taiga</t>
  </si>
  <si>
    <t>Performance evaluation of a whole-body prototype PET scanner with four-layer DOI detectors</t>
  </si>
  <si>
    <t>PET; DOI; whole-body; NEMA NU 2</t>
  </si>
  <si>
    <t>OF-FLIGHT PET/CT; AXIAL-FIELD; RESOLUTION; CRYSTALS; SYSTEM; DESIGN; IMPACT; VIEW; PMT</t>
  </si>
  <si>
    <t>Parallax error caused by the detector crystal thickness degrades spatial resolution at the peripheral regions of the field-of-view (FOV) of a scanner. To resolve this issue, depth-of-interaction (DOI) measurement is a promising solution to improve the spatial resolution and its uniformity over the entire FOV. Even though DOI detectors have been used in dedicated systems with a small ring diameter such as for the human brain, breast and small animals, the use of DOI detectors for a large bore whole-body PET system has not been demonstrated yet. We have developed a four-layered DOI detector, and its potential for a brain dedicated system has been proven in our previous development. In the present work, we investigated the use of the four-layer DOI detector for a large bore PET system by developing the world's first whole-body prototype. We evaluated its performance characteristics in accordance with the NEMA NU 2 standard. Furthermore, the impact of incorporating DOI information was evaluated with the NEMA NU 4 image quality phantom. Point source images were reconstructed with a filtered back projection (FBP), and an average spatial resolution of 5.2 +/- 0.7 mm was obtained. For the FBP image, the four-layer DOI information improved the radial spatial resolution by 48% at the 20 cm offset position. The peak noise-equivalent count rate (NECR) was 22.9 kcps at 7.4 kBq ml(-1) and the scatter fraction was 44%. The system sensitivity was 5.9 kcps MBq(-1). For the NEMA NU 2 image quality phantom, the 10 mm sphere was clearly visualized without any artifacts. For the NEMA NU 4 image quality phantom, we measured the phantom at 0, 10 and 20 cm offset positions. As a result, we found the image with four-layer DOI could visualize the 2 mm-diameter hot cylinder although it could not be recognized on the image without DOI. The average improvements in the recovery coefficients for the five hot rods (1-5 mm) were 0.3%, 4.4% and 26.3% at the 0, 10 and 20 cm offset positions, respectively (except for the 1 mm-diameter rod at the 20 cm offset position). Although several practical issues (such as adding end-shields) remain to be addressed before the scanner is ready for clinical use, we showed that the four-layer DOI technology provided higher and more uniform spatial resolution over the FOV and improved contrast for small uptake regions located at the peripheral FOV, which could improve detectability of small and distal lesions such as nodal metastases, especially in obese patients.</t>
  </si>
  <si>
    <t>[Akamatsu, Go; Tashima, Hideaki; Iwao, Yuma; Wakizaka, Hidekatsu; Maeda, Takamasa; Mohammadi, Akram; Takyu, Sodai; Nitta, Munetaka; Nishikido, Fumihiko; Yoshida, Eiji; Yamaya, Taiga] Natl Inst Quantum &amp; Radiol Sci &amp; Technol QST, NIRS, Chiba, Japan; [Rutherford, Harley; Chacon, Andrew] Univ Wollongong, Ctr Med Radiat Phys, Wollongong, NSW, Australia; [Rutherford, Harley; Chacon, Andrew; Safavi-Naeini, Mitra] ANSTO, Sydney, NSW, Australia</t>
  </si>
  <si>
    <t>National Institutes for Quantum Science &amp; Technology; University of Wollongong; Australian Nuclear Science &amp; Technology Organisation</t>
  </si>
  <si>
    <t>Akamatsu, G (通訊作者)， Natl Inst Quantum &amp; Radiol Sci &amp; Technol QST, NIRS, Chiba, Japan.</t>
  </si>
  <si>
    <t>akamatsu.go@qst.go.jp</t>
  </si>
  <si>
    <t>; Hamato, Akram/V-7081-2019; Safavi-Naeini, Mitra/AAY-6976-2020; Tashima, Hideaki/ABB-7337-2020; Akamatsu, Go/AAG-1059-2020</t>
  </si>
  <si>
    <t>Akamatsu, Go/0000-0001-9686-8901; Hamato, Akram/0000-0002-3274-4261; Rutherford, Harley/0000-0001-5044-9365; Chacon, Andrew/0000-0003-3939-0862; Safavi-Naeini, Mitra/0000-0002-6975-9563</t>
  </si>
  <si>
    <t>10.1088/1361-6560/ab18b2</t>
  </si>
  <si>
    <t>WOS:000466572600001</t>
  </si>
  <si>
    <t>Makris, DN; Pappas, EP; Zoros, E; Papanikolaou, N; Saenz, DL; Kalaitzakis, G; Zourari, K; Efstathopoulos, E; Maris, TG; Pappas, E</t>
  </si>
  <si>
    <t>Makris, D. N.; Pappas, E. P.; Zoros, E.; Papanikolaou, N.; Saenz, D. L.; Kalaitzakis, G.; Zourari, K.; Efstathopoulos, E.; Maris, T. G.; Pappas, E.</t>
  </si>
  <si>
    <t>Characterization of a novel 3D printed patient specific phantom for quality assurance in cranial stereotactic radiosurgery applications</t>
  </si>
  <si>
    <t>patient-specific QA; end-to-end QA; 3D printing; head phantom; stereotactic radiosurgery; stereotactic radiotherapy; SRS</t>
  </si>
  <si>
    <t>RADIOCHROMIC FILM DOSIMETRY; MULTIPLE BRAIN METASTASES; DOSE RECONSTRUCTION; ENERGY-DEPENDENCE; BEAM; RADIOTHERAPY; BRACHYTHERAPY; VERIFICATION; SENSITIVITY; FABRICATION</t>
  </si>
  <si>
    <t>In single-isocenter stereotactic radiosurgery/radiotherapy (SRS/SRT) intracranial applications, multiple targets are being treated concurrently, often involving non-coplanar arcs, small photon beams and steep dose gradients. In search for more rigorous quality assurance protocols, this work presents and evaluates a novel methodology for patient-specific pre-treatment plan verification, utilizing 3D printing technology. In a patient's planning CT scan, the external contour and bone structures were segmented and 3D-printed using high-density bone-mimicking material. The resulting head phantom was filled with water while a film dosimetry insert was incorporated. Patient and phantom CT image series were fused and inspected for anatomical coherence. HUs and corresponding densities were compared in several anatomical regions within the head. Furthermore, the level of patient-to-phantom dosimetric equivalence was evaluated both computationally and experimentally. A single-isocenter multi-focal SRS treatment plan was prepared, while dose distributions were calculated on both CT image series, using identical calculation parameters. Phantom- and patient-derived dose distributions were compared in terms of isolines, DVHs, dose-volume metrics and 3D gamma index (GI) analysis. The phantom was treated as if the real patient and film measurements were compared against the patient-derived calculated dose distribution. Visual inspection of the fused CT images suggests excellent geometric similarity between phantom and patient, also confirmed using similarity indices. HUs and densities agreed within one standard deviation except for the skin (modeled as 'bone') and sinuses (water-filled). GI comparison between the calculated distributions resulted in passing rates better than 97% (1%/1 mm). DVHs and dose-volume metrics were also in satisfying agreement. In addition to serving as a feasibility proof-of-concept, experimental absolute film dosimetry verified the computational study results. GI passing rates were above 90%. Results of this work suggest that employing the presented methodology, patient-equivalent phantoms (except for the skin and sinuses areas) can be produced, enabling literally patient-specific pre-treatment plan verification in intracranial applications.</t>
  </si>
  <si>
    <t>[Makris, D. N.; Pappas, E. P.; Zoros, E.; Zourari, K.] Univ Athens, Med Sch, Med Phys Lab, Athens 11527, Greece; [Papanikolaou, N.; Saenz, D. L.] Univ Texas Hlth San Antonio, Dept Radiat Oncol, 7979 Wurzbach Rd, San Antonio, TX 78229 USA; [Kalaitzakis, G.; Maris, T. G.] Univ Crete, Dept Med Phys, Iraklion, Greece; [Efstathopoulos, E.] Univ Athens, Med Sch, Dept Radiol 2, Athens, Greece; [Pappas, E.] Univ West Attica, Dept Biomed Sci, Radiol &amp; Radiotherapy Sect, Athens, Greece</t>
  </si>
  <si>
    <t>National &amp; Kapodistrian University of Athens; University of Texas System; University of Texas Health Science Center at San Antonio; University of Crete; National &amp; Kapodistrian University of Athens; University of West Attica</t>
  </si>
  <si>
    <t>Pappas, EP (通訊作者)， Univ Athens, Med Sch, Med Phys Lab, Athens 11527, Greece.</t>
  </si>
  <si>
    <t>elepappas@phys.uoa.gr</t>
  </si>
  <si>
    <t>Pappas, Evangelos/AAN-3950-2020; Pappas, Eleftherios/S-9920-2019; Kalaitzakis, Georgios/AAX-6526-2020; Maris, Thomas/AAJ-6208-2020</t>
  </si>
  <si>
    <t>PAPPAS, EVANGELOS/0000-0001-8052-6392; Zoros, Emmanouil/0000-0002-4579-7725; Saenz, Daniel/0000-0002-9372-992X; Pappas, Eleftherios/0000-0003-4030-2241; Zourari, Kyveli/0000-0003-0048-3973; Kalaitzakis, Georgios/0000-0003-4409-6983</t>
  </si>
  <si>
    <t>program of Industrial Scholarships of Stavros Niarchos Foundation</t>
  </si>
  <si>
    <t>This Publication is supported by the program of Industrial Scholarships of Stavros Niarchos Foundation. The presented methodology is already being commercialized by RTsafe P.C., Athens, Greece. DM, EPP, EZ, GK, KZ, TGM and EP also collaborate with the R&amp;D department of RTsafe P.C.</t>
  </si>
  <si>
    <t>10.1088/1361-6560/ab1758</t>
  </si>
  <si>
    <t>WOS:000467702500004</t>
  </si>
  <si>
    <t>Moradi, F; Ung, NM; Mahdiraji, GA; Khandaker, MU; See, MH; Taib, NA; Bradley, DA</t>
  </si>
  <si>
    <t>Moradi, F.; Ung, N. M.; Mahdiraji, G. A.; Khandaker, M. U.; See, M. H.; Taib, N. A.; Bradley, D. A.</t>
  </si>
  <si>
    <t>Evaluation of Ge-doped silica fibre TLDs for in vivo dosimetry during intraoperative radiotherapy</t>
  </si>
  <si>
    <t>Ge-doped silica fibre; intraoperative radiotherapy; thermoluminescent dosimeter; skin dose; Monte Carlo simulation</t>
  </si>
  <si>
    <t>MONTE-CARLO-SIMULATION; X-RAY SOURCE; OPTICAL-FIBER; RADIATION-THERAPY; DOSE-RATE; MINIATURE; RADIOSURGERY; DEPENDENCE; SKIN</t>
  </si>
  <si>
    <t>Ge-doped silica fibre (GDSF) thermoluminescence dosimeters (TLD) are non-hygroscopic spatially high-resolution radiation sensors with demonstrated potential for radiotherapy dosimetry applications. The INTRABEAM (R) system with spherical applicators, one of a number of recent electronic brachytherapy sources designed for intraoperative radiotherapy (IORT), presents a representative challenging dosimetry situation, with a low keV photon beam and a desired rapid dose-rate fall-off close-up to the applicator surface. In this study, using the INTRABEAM (R) system, investigations were made into the potential application of GDSF TLDs for in vivo IORT dosimetry. The GDSFs were calibrated over the respective dose- and depth-range 1 to 20 Gy and 3 to 45 mm from the x-ray probe. The effect of different sizes of spherical applicator on TL response of the fibres was also investigated. The results show the GDSF TLDs to be applicable for IORT dose assessment, with the important incorporated correction for beam quality effects using different spherical applicator sizes. The total uncertainty in use of this type of GDSF for dosimetry has been found to range between 9.5% to 12.4%. Subsequent in vivo measurement of skin dose for three breast patients undergoing IORT were performed, the measured doses being below the tolerance level for acute radiation toxicity.</t>
  </si>
  <si>
    <t>[Moradi, F.; Khandaker, M. U.] Univ Malaya, Dept Phys, Kuala Lumpur, Malaysia; [Ung, N. M.] Univ Malaya, Fac Med, Clin Oncol Unit, Kuala Lumpur, Malaysia; [Mahdiraji, G. A.] Taylors Univ, Sch Engn, Subang Jaya 47500, Selangor, Malaysia; [Mahdiraji, G. A.] Univ Malaya, Flexilicate Sdn Bhd, Kuala Lumpur 50603, Malaysia; [See, M. H.; Taib, N. A.] Univ Malaya, Fac Med, Dept Surg, Kuala Lumpur, Malaysia; [Khandaker, M. U.; Bradley, D. A.] Sunway Univ, Sch Healthcare &amp; Med Sci, Bandar Sunway 47500, Malaysia; [Bradley, D. A.] Univ Surrey, Dept Phys, Guildford, Surrey, England</t>
  </si>
  <si>
    <t>Universiti Malaya; Universiti Malaya; Taylor's University; Universiti Malaya; Universiti Malaya; Sunway University; University of Surrey</t>
  </si>
  <si>
    <t>Moradi, F (通訊作者)， Univ Malaya, Dept Phys, Kuala Lumpur, Malaysia.;Ung, NM (通訊作者)， Univ Malaya, Fac Med, Clin Oncol Unit, Kuala Lumpur, Malaysia.</t>
  </si>
  <si>
    <t>nm_ung@um.edu.my</t>
  </si>
  <si>
    <t>Taib, Nur/B-2370-2010; Moradi, Farhad/A-9062-2019; See, Mee Hoong/P-8440-2014; UNG, NGIE MIN/B-9986-2010; Khandaker, Mayeen/F-5376-2011; Moradi, Farhad/O-4514-2019; See, Mee/P-8440-2014; Taib, Nur Aishah/B-2370-2010</t>
  </si>
  <si>
    <t>Moradi, Farhad/0000-0002-9102-2533; See, Mee Hoong/0000-0002-3966-3368; Ung, Ngie Min/0000-0001-5700-3809; Khandaker, Mayeen/0000-0003-3772-294X; Taib, Nur Aishah/0000-0001-8419-0478</t>
  </si>
  <si>
    <t>University of Malaya Research Grant UMRG [RP046C-15HTM, FRGS/1/2016/TK04/UM/01/3]</t>
  </si>
  <si>
    <t>University of Malaya Research Grant UMRG</t>
  </si>
  <si>
    <t>The authors wish to thank the University of Malaya Research Grant UMRG (RP046C-15HTM) and FRGS/1/2016/TK04/UM/01/3 for providing support to this work. The assistance of medical physicists at the University of Malaya Medical Centre during this work is highly appreciated.</t>
  </si>
  <si>
    <t>08NT04</t>
  </si>
  <si>
    <t>10.1088/1361-6560/ab0d4e</t>
  </si>
  <si>
    <t>HT3HJ</t>
  </si>
  <si>
    <t>WOS:000464454600002</t>
  </si>
  <si>
    <t>Cho, YB; Alasti, H; Kong, V; Catton, C; Berlin, A; Chung, P; Bayley, A; Jaffray, D</t>
  </si>
  <si>
    <t>Cho, Young-Bin; Alasti, Hamideh; Kong, Vickie; Catton, Charles; Berlin, Alejandro; Chung, Peter; Bayley, Andrew; Jaffray, David</t>
  </si>
  <si>
    <t>Impact of high dose volumetric CT on PTV margin reduction in VMAT prostate radiotherapy</t>
  </si>
  <si>
    <t>prostate radiotherapy; target volume in agreement; CT image quality enhancement; inter-observer variability; planning target margin</t>
  </si>
  <si>
    <t>IMAGE-GUIDED RADIOTHERAPY; INTEROBSERVER VARIABILITY</t>
  </si>
  <si>
    <t>The aim of the study is to determine PTV margin for inter-observer variability in the volumetric modulated arc therapy (VMAT) prostate radiotherapy with high-dose volumetric CT (HDVCT) and conventional helical CT (CCT) for planning. Secondly to investigate the impact of geometric (PTV expansion) and dosimetric (conformity) imperfection of planning process on the PTV margin analysis. Prostate gland of ten patients were scanned with CCT and HDVCT techniques consecutively on a 320 slice volumetric CT scanner with wide field detector of 16 cm. Five radiation oncologists delineated CTV of the prostate. VMAT plans were developed with PTV margin of 4 mm and 6 mm (totaling 200 plans) and target coverage of each plan was evaluated on the target volume in agreement determined by shared voxels with three or more from 5 observers. Dosimetry on 200 VMAT plans showed that PTV margin for inter-observer variability were 6 mm and 4 mm for CCT and HDVCT techniques, respectively. It is about 3 mm smaller than our estimation from the previous study (8.8 mm and 7.3 mm) based on the inter-observer variability. This difference is mainly due to the accuracy of PTV volume expansion and limited dose conformity to guarantee target coverage. PTVs were measured 2 mm larger on average than the assigned margin. Planning iso-dose volume was found to be 2 mm larger than PTV. Regardless these limitations, enhanced image quality of HDVCT reduces PTV margin by 2 mm compared to CCT. PTV reduction of 2 mm potentially leads to 15% reduction in D30% of rectal and bladder wall maintaining the same target coverage. Interobserver variability remains a source of systematic uncertainty. HDVCT for treatment planning demonstrated reduction of the uncertainty and the PTV margin by 2 mm. It is important to consider the over-expanded PTV volume and generous iso-dose volume after optimization in the process of radiotherapy planning in the determination of PTV margin.</t>
  </si>
  <si>
    <t>[Cho, Young-Bin; Alasti, Hamideh; Kong, Vickie; Catton, Charles; Berlin, Alejandro; Chung, Peter; Bayley, Andrew; Jaffray, David] Univ Hlth Network, Princess Margaret Hosp, Radiat Med Program, Toronto, ON, Canada; [Cho, Young-Bin; Alasti, Hamideh; Kong, Vickie; Catton, Charles; Berlin, Alejandro; Chung, Peter; Bayley, Andrew; Jaffray, David] Univ Toronto, Dept Radiat Oncol, Toronto, ON, Canada; [Jaffray, David] Univ Toronto, Inst Biomat &amp; Biomed Engn, Toronto, ON, Canada; [Jaffray, David] Univ Toronto, Dept Med Biophys, Toronto, ON, Canada</t>
  </si>
  <si>
    <t>University of Toronto; University Health Network Toronto; Princess Margaret Cancer Centre; University of Toronto; University of Toronto; University of Toronto</t>
  </si>
  <si>
    <t>Cho, YB (通訊作者)， Univ Hlth Network, Princess Margaret Hosp, Radiat Med Program, Toronto, ON, Canada.;Cho, YB (通訊作者)， Univ Toronto, Dept Radiat Oncol, Toronto, ON, Canada.</t>
  </si>
  <si>
    <t>Young-Bin.Cho@rmp.uhn.on.ca</t>
  </si>
  <si>
    <t>Berlin, Alejandro/0000-0002-1880-6905; Jaffray, David/0000-0001-7378-7543; CHO, YOUNG-BIN/0000-0002-0072-9665</t>
  </si>
  <si>
    <t>10.1088/1361-6560/ab050f</t>
  </si>
  <si>
    <t>WOS:000461426500002</t>
  </si>
  <si>
    <t>Johnson, LC; Guerraty, MA; Moore, SC; Metzler, SD</t>
  </si>
  <si>
    <t>Johnson, Lindsay C.; Guerraty, Marie A.; Moore, Stephen C.; Metzler, Scott D.</t>
  </si>
  <si>
    <t>Quantification of myocardial uptake rate constants in dynamic small-animal SPECT using a cardiac phantom</t>
  </si>
  <si>
    <t>SPECT; cardiac imaging; phantom; kinetic modeling</t>
  </si>
  <si>
    <t>POSITRON-EMISSION-TOMOGRAPHY; BLOOD-FLOW; PROGNOSTIC VALUE; RESERVE</t>
  </si>
  <si>
    <t>Myocardial blood flow and myocardial blood flow reserve (MBFR) measurements are often used clinically to quantify coronary microvascular function. Developing imaging-based methods to measure MBFR for research in mice would be advantageous for evaluating new treatment methods for coronary microvascular disease (CMVD), yet this is more challenging in mice than in humans. This work investigates microSPECT's quantitative capabilities of cardiac imaging by utilizing a multi-part cardiac phantom and applying a known kinetic model to synthesize kinetic data from static data, allowing for assessment of kinetic modeling accuracy. The phantom was designed with four main components: two left-ventricular (LV) myocardial sections and two LV blood-pool sections, sized for end-systole (ES) and end-diastole (ED). Each section of the phantom was imaged separately while acquiring list-mode data. These static, separate-compartment data were manipulated into synthetic dynamic data using a kinetic model representing the myocardium and blood-pool activity concentrations over time and then combined into a set of dynamic image frames and reconstructed. Regions of interest were drawn on the resulting images, and kinetic parameters were estimated. This process was performed for three tracer uptake values (K-1), three myocardial wall thicknesses, ten filter parameters, and 20 iterations for 25 noise ensembles. The degree of filtering and iteration number were optimized to minimize the root mean-squared error (RMSE) of K-1 values, with the largest number of iterations and minimal filtering yielding the lowest error. Using the optimized parameters, K-1 was determined with reasonable error (similar to 3% RMSE) over all wall thicknesses and K-1 input values. This work demonstrates that accurate and precise measurements of K-1 are possible for the U-SPECT+ system used in this study, for several different uptake rates and LV dimensions. Additionally, it allows for future investigation utilizing other imaging systems, including PET studies with any radiotracer, as well as with additional phantom parts containing lesions.</t>
  </si>
  <si>
    <t>[Johnson, Lindsay C.; Moore, Stephen C.; Metzler, Scott D.] Univ Penn, Dept Radiol, Perelman Sch Med, Philadelphia, PA 19104 USA; [Guerraty, Marie A.] Univ Penn, Dept Med, Div Cardiovasc Med, Perelman Sch Med, Philadelphia, PA 19104 USA</t>
  </si>
  <si>
    <t>University of Pennsylvania; University of Pennsylvania</t>
  </si>
  <si>
    <t>Johnson, LC (通訊作者)， Univ Penn, Dept Radiol, Perelman Sch Med, Philadelphia, PA 19104 USA.</t>
  </si>
  <si>
    <t>lindsjo@pennmedicine.upenn.edu</t>
  </si>
  <si>
    <t>National Heart, Lung, and Blood Institute (NHLBI) of the National Institutes of Health (NIH) [R01-HL-111883, T32HL007954, K08HL136890]; University of Pennsylvania Institute for Translational Medicine and Therapeutics' (ITMAT) Translational Bio-Imaging Center, as part of the National Center for Advancing Translational Sciences of the National Institutes of Health [UL1TR001878]</t>
  </si>
  <si>
    <t>National Heart, Lung, and Blood Institute (NHLBI) of the National Institutes of Health (NIH)(United States Department of Health &amp; Human ServicesNational Institutes of Health (NIH) - USANIH National Heart Lung &amp; Blood Institute (NHLBI)); University of Pennsylvania Institute for Translational Medicine and Therapeutics' (ITMAT) Translational Bio-Imaging Center, as part of the National Center for Advancing Translational Sciences of the National Institutes of Health</t>
  </si>
  <si>
    <t>The authors would like to thank David Matej for creating the CAD designs of the phantom and Eric Blankemeyer for help with phantom filling and SPECT acquisitions. This work was supported in part by the National Heart, Lung, and Blood Institute (NHLBI) of the National Institutes of Health (NIH) under grant R01-HL-111883 (S D M), T32HL007954 (L C J), and K08HL136890 (M A G). Research reported in this publication was supported by University of Pennsylvania Institute for Translational Medicine and Therapeutics' (ITMAT) Translational Bio-Imaging Center, as part of the National Center for Advancing Translational Sciences of the National Institutes of Health under Award Number UL1TR001878. The content is solely the responsibility of the authors and does not necessarily represent the official views of the NIH.</t>
  </si>
  <si>
    <t>10.1088/1361-6560/ab0472</t>
  </si>
  <si>
    <t>WOS:000461426500003</t>
  </si>
  <si>
    <t>Song, C; Yang, YY; Wernick, MN; Pretorius, PH; Slomka, PJ; King, MA</t>
  </si>
  <si>
    <t>Song, Chao; Yang, Yongyi; Wernick, Miles N.; Pretorius, P. Hendrik; Slomka, Piotr J.; King, Michael A.</t>
  </si>
  <si>
    <t>Cardiac motion correction for improving perfusion defect detection in cardiac SPECT at standard and reduced doses of activity</t>
  </si>
  <si>
    <t>Cardiac motion correction; cardiac SPECT; perfusion defect detection</t>
  </si>
  <si>
    <t>CORONARY-ARTERY-DISEASE; MYOCARDIAL-INFARCTION; EMISSION TOMOGRAPHY; RECONSTRUCTION; QUANTIFICATION; RADIATION; TL-201; TIME</t>
  </si>
  <si>
    <t>In cardiac SPECT perfusion imaging, cardiac motion can lead to motion blurring of anatomical detail and perfusion defects in the reconstructed myocardium. In this study, we investigated the potential benefit of cardiac motion correction for improving the detectability of perfusion defects. We considered a post-reconstruction motion correction (PMC) approach in which the image motion between two cardiac gates is obtained with optical flow estimation. In the experiments, we demonstrated the proposed post-reconstruction motion correction with optical flow estimation (PMC-OFE) approach on a set of clinical acquisitions from 194 subjects. We quantified the detectability of perfusion defects in the reconstructed images by using the total perfusion deficit scores, calculated by the clinical software tool QPS, and conducted a receiveroperating-characteristic (ROC) study to obtain the detection performance. Besides imaging with conventional standard dose, we also evaluated the approach for reduced dose SPECT imaging where the imaging dose was retrospectively reduced to 50%, 25%, and 12.5% of the standard dose. The proposed PMC-OFE approach achieved at each dose level higher area-under-the-ROC-curve (AUC) for perfusion defect detection than the traditional approach of using ungated data (Non-MC) (p-value &lt; 0.05); in particular, with half dose, PMC-OFE achieved AUC = 0.813, which is comparable to Non-MC with standard dose (AUC = 0.795). Moreover, the proposed PMC-OFE approach also outperformed the 'Motion Frozen' (MF) method implemented in the clinical quantitative gated SPECT (QGS) software. In particular, at 25% and 12.5% of standard dose, the AUC values obtained by PMC-OFE are 0.788 and 0.779, respectively, compared to 0.758 and 0.731 for MF (p-value &lt; 0.05).</t>
  </si>
  <si>
    <t>[Song, Chao; Yang, Yongyi; Wernick, Miles N.] IIT, Med Imaging Res Ctr, Chicago, IL 60616 USA; [Song, Chao; Yang, Yongyi; Wernick, Miles N.] IIT, Dept Elect &amp; Comp Engn, Chicago, IL 60616 USA; [Pretorius, P. Hendrik; King, Michael A.] Univ Massachusetts, Med Sch, Dept Radiol, Worcester, MA 01605 USA; [Slomka, Piotr J.] Cedars Sinai Med Ctr, Dept Med, Los Angeles, CA 90048 USA</t>
  </si>
  <si>
    <t>Illinois Institute of Technology; Illinois Institute of Technology; University of Massachusetts System; University of Massachusetts Worcester; Cedars Sinai Medical Center</t>
  </si>
  <si>
    <t>Yang, YY (通訊作者)， IIT, Med Imaging Res Ctr, Chicago, IL 60616 USA.;Yang, YY (通訊作者)， IIT, Dept Elect &amp; Comp Engn, Chicago, IL 60616 USA.</t>
  </si>
  <si>
    <t>yangyo@iit.edu</t>
  </si>
  <si>
    <t>song, chao/HTO-8527-2023; Slomka, Piotr/GRX-0855-2022; Wernick, Miles/J-8394-2013; King, Michael/JJE-6777-2023</t>
  </si>
  <si>
    <t>Slomka, Piotr/0000-0002-6110-938X;</t>
  </si>
  <si>
    <t>National Heart, Lung, and Blood Institute of the National Institutes of Health [R01HL122484]; National Heart, Lung, and Blood Institute [5R01HL089765]</t>
  </si>
  <si>
    <t>National Heart, Lung, and Blood Institute of the National Institutes of Health(United States Department of Health &amp; Human ServicesNational Institutes of Health (NIH) - USANIH National Heart Lung &amp; Blood Institute (NHLBI)); National Heart, Lung, and Blood Institute(United States Department of Health &amp; Human ServicesNational Institutes of Health (NIH) - USANIH National Heart Lung &amp; Blood Institute (NHLBI))</t>
  </si>
  <si>
    <t>Research reported in this publication was supported by the National Heart, Lung, and Blood Institute of the National Institutes of Health under Award Number R01HL122484. Piotr Slomka was also supported by National Heart, Lung, and Blood Institute Award number 5R01HL089765. The content is solely the responsibility of the authors and does not necessarily represent the official views of the National Institutes of Health.</t>
  </si>
  <si>
    <t>10.1088/1361-6560/aafefe</t>
  </si>
  <si>
    <t>WOS:000459325000005</t>
  </si>
  <si>
    <t>Koljonen, V; Koskela, O; Montonen, T; Rezaei, A; Belay, B; Figueiras, E; Hyttinen, J; Pursiainen, S</t>
  </si>
  <si>
    <t>Koljonen, Ville; Koskela, Olli; Montonen, Toni; Rezaei, Atena; Belay, Birhanu; Figueiras, Edite; Hyttinen, Jari; Pursiainen, Sampsa</t>
  </si>
  <si>
    <t>A mathematical model and iterative inversion for fluorescent optical projection tomography</t>
  </si>
  <si>
    <t>optical projection tomography; fluorescence tomography; beam modelling; weighted Radon transform; iterative reconstruction</t>
  </si>
  <si>
    <t>IMAGE-RECONSTRUCTION; FIXED-POINT; ROTATION; MICROSCOPY; TOOL</t>
  </si>
  <si>
    <t>Solving the fluorophore distribution in a tomographic setting has been difficult because of the lack of physically meaningful and computationally applicable propagation models. This study concentrates on the direct modelling of fluorescence signals in optical projection tomography (OPT), and on the corresponding inverse problem. The reconstruction problem is solved using emission projections corresponding to a series of rotational imaging positions of the sample. Similarly to the bright field OPT bearing resemblance with the transmission x-ray computed tomography, the fluorescent mode OPT is analogous to x-ray fluorescence tomography (XFCT). As an improved direct model for the fluorescent OPT, we derive a weighted Radon transform based on the XFCT literature. Moreover, we propose a simple and fast iteration scheme for the slice-wise reconstruction of the sample. The developed methods are applied in both numerical experiments and inversion of fluorescent OPT data from a zebrafish embryo. The results demonstrate the importance of propagation modelling and our analysis provides a flexible modelling framework for fluorescent OPT that can easily be modified to adapt to different imaging setups.</t>
  </si>
  <si>
    <t>[Koljonen, Ville; Rezaei, Atena; Pursiainen, Sampsa] Tampere Univ, Fac Informat Technol &amp; Commun Sci, Tampere, Finland; [Koljonen, Ville; Koskela, Olli; Montonen, Toni; Belay, Birhanu; Hyttinen, Jari] Tampere Univ, BioMediTech Inst, Tampere, Finland; [Koljonen, Ville; Koskela, Olli; Montonen, Toni; Belay, Birhanu; Hyttinen, Jari] Tampere Univ, Fac Med &amp; Hlth Technol, Tampere, Finland; [Figueiras, Edite] Champalimaud Fdn, Champalimaud Res, Lisbon, Portugal</t>
  </si>
  <si>
    <t>Tampere University; Tampere University; Tampere University; Fundacao Champalimaud</t>
  </si>
  <si>
    <t>Koljonen, V (通訊作者)， Tampere Univ, Fac Informat Technol &amp; Commun Sci, Tampere, Finland.;Koljonen, V (通訊作者)， Tampere Univ, BioMediTech Inst, Tampere, Finland.;Koljonen, V (通訊作者)， Tampere Univ, Fac Med &amp; Hlth Technol, Tampere, Finland.</t>
  </si>
  <si>
    <t>ville.koljonen@tuni.fi</t>
  </si>
  <si>
    <t>; Figueiras, Edite/N-6282-2018; Koskela, Olli/B-5712-2016; Hyttinen, Jari/G-4280-2014; Pursiainen, Sampsa/HZK-1893-2023; Koskela, Olli/AAE-2566-2019; Figueiras, Edite/HRA-6848-2023</t>
  </si>
  <si>
    <t>Pursiainen, Sampsa/0000-0002-9131-9070; Figueiras, Edite/0000-0002-9824-3507; Koskela, Olli/0000-0002-3424-9969; Belay, Birhanu/0000-0002-1200-6501; Hyttinen, Jari/0000-0003-1850-3055; Montonen, Toni/0000-0003-3784-0890; Koljonen, Ville/0000-0002-1132-6087; Rezaei, atena/0000-0002-8787-3984</t>
  </si>
  <si>
    <t>Finnish Centre of Excellence for Inverse Modelling and Imaging; Academy of Finland Centre of Excellence in Body-on-Chip Research; Jane and Aatos Erkko Foundation; Jenny and Antti Wihuri Foundation; Academy of Finland [EPIPHYS 298638]; Tekes Human Spare Parts programme</t>
  </si>
  <si>
    <t>Finnish Centre of Excellence for Inverse Modelling and Imaging; Academy of Finland Centre of Excellence in Body-on-Chip Research; Jane and Aatos Erkko Foundation; Jenny and Antti Wihuri Foundation; Academy of Finland(Research Council of Finland); Tekes Human Spare Parts programme</t>
  </si>
  <si>
    <t>VK, AR and SP were funded by the Finnish Centre of Excellence for Inverse Modelling and Imaging. VK and JH were funded by the Academy of Finland Centre of Excellence in Body-on-Chip Research. OK was funded by Jane and Aatos Erkko Foundation and by Jenny and Antti Wihuri Foundation. TM and BB were funded by Academy of Finland project EPIPHYS 298638. The authors acknowledge the Tampere Zebrafish Laboratory for their service. Hardware of this work was funded by Tekes Human Spare Parts programme. The authors would also like to express their gratitude to the reviewers for their invaluably helpful comments.</t>
  </si>
  <si>
    <t>10.1088/1361-6560/aafd63</t>
  </si>
  <si>
    <t>WOS:000459135900005</t>
  </si>
  <si>
    <t>Tao, S; Shu, YH; Trzasko, JD; Huston, J; Bernstein, MA</t>
  </si>
  <si>
    <t>Tao, Shengzhen; Shu, Yunhong; Trzasko, Joshua D.; Huston, John, III; Bernstein, Matt A.</t>
  </si>
  <si>
    <t>Partial fourier shells trajectory for non-cartesian MRI</t>
  </si>
  <si>
    <t>MRI; partial Fourier; non-cartesian MRI; homodyne reconstruction; shells trajectory</t>
  </si>
  <si>
    <t>IMAGE-RECONSTRUCTION; SPATIAL-RESOLUTION; RESONANCE</t>
  </si>
  <si>
    <t>Non-Cartesian MRI acquisition has demonstrated various advantages in many clinical applications. The shells trajectory is a 3D non-Cartesian MRI acquisition technique that samples the k-space using a series of concentric shells to achieve efficient 3D isotropic acquisition. Partial Fourier acquisition is an acceleration technique that is widely used in Cartesian MRI. It exploits the conjugate symmetry of k-space measurement to reduce the number of k-space samples compared to full-k-space acquisition, without loss of spatial resolution. For a Cartesian MRI acquisition, the direction of partial Fourier acceleration is aligned either with the phase encoded or frequency encoded direction. In those cases, the underlying image matrix can be reconstructed from the undersampled k-space data using a non-iterative, homodyne reconstruction framework. However, designing a non-Cartesian acquisition trajectory that is compatible with non-iterative homodyne reconstruction is not nearly as straightforward as in the Cartesian case. One reason is the non-iterative homodyne reconstruction requires (slightly over) half of the k-space to be fully sampled. Since the direction of partial Fourier acceleration varies throughout the acquisition in the non-Cartesian trajectory, directly applying the same partial Fourier acquisition pattern (as in Cartesian acquisitions) to a non-Cartesian trajectory does not necessarily yield a continuous, physically-achievable trajectory. In this work, we develop an asymmetric shells trajectory with fully-automated trajectory and gradient waveform design to achieve partial Fourier acquisition for the shells trajectory. We then demonstrate a non-iterative image reconstruction framework for the proposed trajectory. Phantom and in vivo brain scans based on spoiled gradient echo (SPGR) shells and magnetization-prepared shells (MP-shells) were performed to test the proposed trajectory design and reconstruction method. Our phantom and in vivo results demonstrate that the proposed partial Fourier shells trajectory maintains the desirable image contrast and high sampling efficiency from the fully sampled shells, while further reducing data acquisition time.</t>
  </si>
  <si>
    <t>[Tao, Shengzhen; Shu, Yunhong; Trzasko, Joshua D.; Huston, John, III; Bernstein, Matt A.] Mayo Clin, Dept Radiol, Rochester, MN 55905 USA; [Tao, Shengzhen; Shu, Yunhong; Trzasko, Joshua D.; Huston, John, III; Bernstein, Matt A.] Mayo Clin, 200 First St SW, Rochester, MN 55905 USA</t>
  </si>
  <si>
    <t>Mayo Clinic; Mayo Clinic</t>
  </si>
  <si>
    <t>Shu, YH (通訊作者)， Mayo Clin, Dept Radiol, Rochester, MN 55905 USA.;Shu, YH (通訊作者)， Mayo Clin, 200 First St SW, Rochester, MN 55905 USA.</t>
  </si>
  <si>
    <t>she.yunhong@mayo.edu</t>
  </si>
  <si>
    <t>National Institutes of Health [R01EB010065, U01-EB024450, 1C06RR18898-01]</t>
  </si>
  <si>
    <t>This project was partly supported by grants R01EB010065, U01-EB024450, 1C06RR18898-01 from the National Institutes of Health.</t>
  </si>
  <si>
    <t>04NTO1</t>
  </si>
  <si>
    <t>10.1088/1361-6560/aafcc5</t>
  </si>
  <si>
    <t>HK5YC</t>
  </si>
  <si>
    <t>WOS:000458044500001</t>
  </si>
  <si>
    <t>Log file based Monte Carlo calculations for proton pencil beam scanning therapy</t>
  </si>
  <si>
    <t>proton therapy; pencil beam scanning; Monte Carlo simulation; log file analysis; quality assurance</t>
  </si>
  <si>
    <t>QUALITY-ASSURANCE; DOSE CALCULATIONS; SYSTEM; IMPACT</t>
  </si>
  <si>
    <t>Patient specific quality assurance is crucial to guarantee safety in proton pencil beam scanning. In current clinical practice, this requires extensive, time consuming measurements. Additionally, these measurements do not consider the influence of density heterogeneities in the patient and are insensitive to delivery errors. In this work, we investigate the use of log file based Monte Carlo calculations for dose reconstructions in the patient CT, which takes the combined influence of calculational and delivery errors into account. For one example field, 87%190% of the voxels agree within +/- 3% when taking either calculational or delivery uncertainties into account (analytical versus Monte Carlo calculation/Monte Carlo from planned versus Monte Carlo from log file). 78% agree when considering both uncertainties simultaneously (nominal field versus Monte Carlo from log files). We then show the application of the log file based Monte Carlo calculations as a patient specific quality assurance tool for a set of five patients (16 fields) treated for different indications. For all fields, absolute dose scaling factors based on the log file Monte Carlo agree within +/- 3% to the measurement based absolute dose scaling. Relative comparison shows that more than 90% of the voxels agree within +/- 5% between the analytical calculated plan and the Monte Carlo based on log files. The log file based Monte Carlo approach is an end-to-end test incorporating all requirements of patient specific quality assurance. It has the potential to reduce the workload and therefore to increase the patient throughput, while simultaneously enabling more accurate dose verification directly in the patient geometry.</t>
  </si>
  <si>
    <t>[Winterhalter, Carla; Meier, Gabriel; Oxley, David; Weber, Damien C.; Lomax, Antony J.; Safai, Sairos] Paul Scherrer Inst, Ctr Proton Therapy, Villigen, Switzerland; [Winterhalter, Carla; Lomax, Antony J.] Swiss Fed Inst Technol, Dept Phys, Zurich, Switzerland; [Weber, Damien C.] Univ Hosp Bern, Radiat Oncol Dept, Bern, Switzerland; [Weber, Damien C.] Univ Hosp Zurich, Radiat Oncol Dept, Zurich, Switzerland</t>
  </si>
  <si>
    <t>Lomax, Tony/0000-0002-0666-425X; Winterhalter, Carla/0009-0008-4289-984X; Safai, Sairos/0000-0002-0459-4534</t>
  </si>
  <si>
    <t>10.1088/1361-6560/aaf82d</t>
  </si>
  <si>
    <t>WOS:000457182500003</t>
  </si>
  <si>
    <t>Antolak, AG; Jackson, EF</t>
  </si>
  <si>
    <t>Antolak, Alexander G.; Jackson, Edward F.</t>
  </si>
  <si>
    <t>Development and evaluation of an arterial spin-labeling digital reference object for quality control and comparison of data analysis applications</t>
  </si>
  <si>
    <t>digital phantom; digital reference object; ASL MRI; quantitative imaging</t>
  </si>
  <si>
    <t>QUANTITATIVE IMAGING BIOMARKERS; STATISTICAL-METHODS; PERFUSION; MODEL; MRI</t>
  </si>
  <si>
    <t>Longitudinal assessment of quantitative imaging biomarkers (QIBs) requires a comprehensive quality control (QC) program to minimize bias and variance in measurement results. In addition, the availability of data analysis software from multiple vendors emphasizes the need for a means of quantitatively comparing the computed QIB measures produced by the applications. The purpose of this work is to describe a digital reference object (DRO) that has been developed for the evaluation of arterial spin-labeling (ASL) measurement results. The ASL DRO is a synthetic data set consisting of 10 x 10 voxel square blocks with a range of ASL control image signal-to-noise ratio (SNRControl), blood flow (BF), and proton density (PD) image SNR values (SNRControl: 1-100, BF:10-210 ml/100 g min(-1), SNRPD:10-100). A pseudo-continuous ASL sequence was simulated with acquisition parameters and modeled signal intensities defined according to those typically associated with clinically-acquired ASL images. ASL parameters were estimated using the commercially-available nordicICE software package (NordicNeuroLab, Inc, Milwaukee, WI). Percent bias measures and Bland-Altman analyses demonstrated decreased bias and variance with increasing SNRControl and BF values. Excellent agreement with reference values was seen for all BF values above an SNRControl of 5 (concordance correlation coefficient greater than 0.92 for all SNRPD values). The ASL DRO developed in this work allows for the evaluation of software bias and variance across physiologically-meaningful BF and SNRControl values. Such studies are essential to the transition of quantitative ASL-based BF measurements into widespread clinical research applications, and ultimately, routine clinical care.</t>
  </si>
  <si>
    <t>[Antolak, Alexander G.; Jackson, Edward F.] Univ Wisconsin, Dept Med Phys, Sch Med &amp; Publ Hlth, 1111 Highland Ave, Madison, WI 53705 USA</t>
  </si>
  <si>
    <t>University of Wisconsin System; University of Wisconsin Madison</t>
  </si>
  <si>
    <t>Jackson, EF (通訊作者)， Univ Wisconsin, Dept Med Phys, Sch Med &amp; Publ Hlth, 1111 Highland Ave, Madison, WI 53705 USA.</t>
  </si>
  <si>
    <t>efjackson@wisc.edu</t>
  </si>
  <si>
    <t>Jackson, Edward/L-5159-2013</t>
  </si>
  <si>
    <t>National Cancer Institute of the National Institutes of Health [T32CA009206]</t>
  </si>
  <si>
    <t>National Cancer Institute of the National Institutes of Health(United States Department of Health &amp; Human ServicesNational Institutes of Health (NIH) - USANIH National Cancer Institute (NCI))</t>
  </si>
  <si>
    <t>lResearch reported in this publication was supported in part by the National Cancer Institute of the National Institutes of Health under Award Number T32CA009206. The content is solely the responsibility of the authors and does not necessarily represent the official views of the National Institutes of Health.</t>
  </si>
  <si>
    <t>02NT01</t>
  </si>
  <si>
    <t>10.1088/1361-6560/aaf83b</t>
  </si>
  <si>
    <t>HH6FA</t>
  </si>
  <si>
    <t>WOS:000455823500001</t>
  </si>
  <si>
    <t>Zhu, ZY; Katsevich, A; Pang, S</t>
  </si>
  <si>
    <t>Zhu, Zheyuan; Katsevich, Alexander; Pang, Shuo</t>
  </si>
  <si>
    <t>Interior x-ray diffraction tomography with low-resolution exterior information</t>
  </si>
  <si>
    <t>computed tomography; interior problem; x-ray diffraction; x-ray diffraction tomography</t>
  </si>
  <si>
    <t>COHERENT-SCATTER; ALGORITHM; PHASE</t>
  </si>
  <si>
    <t>X-ray diffraction tomography (XDT) resolves spatially-variant XRD profiles within macroscopic objects, and provides improved material contrast compared to the conventional transmission-based computed tomography (CT). However, due to the small diffraction cross-section, XDT suffers from long imaging acquisition time, which could take tens of hours for a full scan using a table-top x-ray tube. In medical and industrial imaging applications, oftentimes only the XRD measurement within a region-of-interest (ROI) is required, which, together with the demand to reduce imaging time and radiation dose to the sample, motivates the development of interior XDT systems that scan and reconstruct only an internal region within the sample. The interior problem does not have a unique solution, and a direct inversion on the truncated projection data often leads to large reconstruction errors in ROI. To reduce the truncation artifacts, conventional attenuation-based interior reconstruction problems rely on a known region or piecewise constant constraint within the ROI. Here we propose a quasi-interior XDT scheme that incorporates a small fraction of projection information from the exterior region to assist ROI reconstruction. In the phantom simulation, a small amount (17% of exterior region) of added exterior projection data improves the reconstruction quality by similar to 50%. The addition of exterior samplings in the experiment demonstrates improved spatial and XRD profile reconstructions compared to total-variation-based reconstruction or sinogram extrapolation. We expect our quasi-interior XDT to obviate the requirement on prior knowledge of the object or its support, and to allow the ROI reconstruction to be performed with the fast, widely-used filtered back-projection algorithm for easy integration into real-time XDT imaging modules.</t>
  </si>
  <si>
    <t>[Zhu, Zheyuan; Pang, Shuo] Univ Cent Florida, Coll Opt &amp; Photon, CREOL, Orlando, FL 32816 USA; [Katsevich, Alexander] Univ Cent Florida, Dept Math, Orlando, FL 32816 USA</t>
  </si>
  <si>
    <t>State University System of Florida; University of Central Florida; State University System of Florida; University of Central Florida</t>
  </si>
  <si>
    <t>Zhu, ZY (通訊作者)， Univ Cent Florida, Coll Opt &amp; Photon, CREOL, Orlando, FL 32816 USA.</t>
  </si>
  <si>
    <t>zyzhu@knights.ucf.edu</t>
  </si>
  <si>
    <t>Zhu, Zheyuan/IUP-1907-2023; Pang, Shuo/JKJ-5116-2023</t>
  </si>
  <si>
    <t>Zhu, Zheyuan/0000-0001-9992-135X</t>
  </si>
  <si>
    <t>National Science Foundation [DMS-1615124]</t>
  </si>
  <si>
    <t>National Science Foundation(National Science Foundation (NSF))</t>
  </si>
  <si>
    <t>The authors acknowledge the support from National Science Foundation under the grant number DMS-1615124.</t>
  </si>
  <si>
    <t>10.1088/1361-6560/aaf819</t>
  </si>
  <si>
    <t>WOS:000455823300006</t>
  </si>
  <si>
    <t>Yang, BJ; Wu, YJ; Zhou, ZG; Li, SL; Qin, GG; Chen, LY; Wang, J</t>
  </si>
  <si>
    <t>Yang, Benjuan; Wu, Yingjiang; Zhou, Zhiguo; Li, Shulong; Qin, Genggeng; Chen, Liyuan; Wang, Jing</t>
  </si>
  <si>
    <t>A collection input based support tensor machine for lesion malignancy classification in digital breast tomosynthesis</t>
  </si>
  <si>
    <t>support tensor machine; Lesion malignancy classification; digital breast tomosynthesis</t>
  </si>
  <si>
    <t>COMPUTER-AIDED DETECTION; MASS DETECTION; PREDICTION; RADIOMICS; SYSTEM</t>
  </si>
  <si>
    <t>Digital breast tomosynthesis (DBT) with improved lesion conspicuity and characterization has been adopted in screening practice. DBT-based diagnosis strongly depends on physicians' experience, so an automatic lesion malignancy classification model using DBT could improve the consistency of diagnosis among different physicians. Tensor-based approaches that use the original imaging data as input have shown promising results for many classification tasks. However, DBT data are pseudo-3D volumetric imaging as the slice spacing of DBT is much coarser than that of the in-plane resolution. Thus, directly constructing DBT as the third-order tensor in a conventional tensor-based classifier with introducing additional information to the original DBT data along the slice-spacing dimension will lead to inconsistency across all three dimensions. To avoid such inconsistency, we introduce a collection input based support tensor machine (CISTM)-based classifier that uses the tensor collection as input for classifying lesion malignancy in DBT. In CISTM, instead of introducing the third dimension directly into the geometry construction, the third-dimension structural relationship is related by weight parameters in the decision function, which is dynamically and automatically constructed during the classifier training process and is more consistent with the pseudo-3D nature of DBT. We tested our method on a DBT dataset of 926 images among which 262 were malignant and 664 were benign. We compared our method with the latest tensor-based method, KSTM (kernelled support tensor machine), which does not consider the unique non-uniform resolution property of DBT. Experimental results illustrate that the CISTM-based classifier is effective for classifying breast lesion malignancy in DBT and that it outperforms the KSTM-based classifier.</t>
  </si>
  <si>
    <t>[Yang, Benjuan] Guizhou Normal Univ, Sch Math &amp; Sci, Guiyang 50001, Peoples R China; [Wu, Yingjiang] Guangdong Med Univ, Sch Informat Engn, Dongguan 523808, Peoples R China; [Zhou, Zhiguo; Chen, Liyuan; Wang, Jing] Univ Texas Southwestern Med Ctr Dallas, Dept Radiat Oncol, Dallas, TX 75235 USA; [Yang, Benjuan; Zhou, Zhiguo; Chen, Liyuan; Wang, Jing] Univ Texas Southwestern Med Ctr Dallas, Med Artificial Intelligence &amp; Automat MAIA Lab, Dallas, TX 75390 USA; [Li, Shulong; Qin, Genggeng] Southern Med Univ, Sch Biomed Engn, Guangzhou 510515, Peoples R China; [Zhou, Zhiguo] Univ Cent Missouri, Sch Comp Sci &amp; Math, Warrensburg, MO 64093 USA</t>
  </si>
  <si>
    <t>Guizhou Normal University; Guangdong Medical University; University of Texas System; University of Texas Southwestern Medical Center; University of Texas System; University of Texas Southwestern Medical Center; Southern Medical University - China; University Central Missouri</t>
  </si>
  <si>
    <t>Jing.Wang@UTSouthwestern.edu</t>
  </si>
  <si>
    <t>Zhou, Zhiguo/S-4260-2018; Qin, Genggeng/ABC-8430-2020; Li, Shulong/AAK-9054-2020; Wang, Jing/N-7332-2019</t>
  </si>
  <si>
    <t>Wu, Yingjiang/0000-0003-2221-7932; Wang, Jing/0000-0002-8491-4146; Qin, Genggeng/0000-0002-7563-3924; Li, Shulong/0000-0002-7466-4366;</t>
  </si>
  <si>
    <t>Doctor Start-up Fund of Guizhou Normal University [NIH R01 EB020366]</t>
  </si>
  <si>
    <t>Doctor Start-up Fund of Guizhou Normal University</t>
  </si>
  <si>
    <t>This work was supported in part by (NIH R01 EB020366) and the Doctor Start-up Fund of Guizhou Normal University (2016). The authors thank Dr. Jonathan Feinberg for editing the manuscript.</t>
  </si>
  <si>
    <t>10.1088/1361-6560/ab553d</t>
  </si>
  <si>
    <t>WOS:000518764900001</t>
  </si>
  <si>
    <t>Eulitz, J; Lutz, B; Wohlfahrt, P; Dutz, A; Enghardt, W; Karpowitz, C; Krause, M; Troost, EGC; Lühr, A</t>
  </si>
  <si>
    <t>Eulitz, J.; Lutz, B.; Wohlfahrt, P.; Dutz, A.; Enghardt, W.; Karpowitz, C.; Krause, M.; Troost, E. G. C.; Luehr, A.</t>
  </si>
  <si>
    <t>A Monte Carlo based radiation response modelling framework to assess variability of clinical RBE in proton therapy</t>
  </si>
  <si>
    <t>proton therapy; clinical RBE; Monte Carlo; passive scattering</t>
  </si>
  <si>
    <t>BIOLOGICAL EFFECTIVENESS; BEAM; NECROSIS; IMPLEMENTATION; CNS; CT</t>
  </si>
  <si>
    <t>The clinical implementation of a variable relative biological effectiveness (RBE) in proton therapy is currently controversially discussed. Initial clinical evidence indicates a variable proton RBE, which needs to be verified. In this study, a radiation response modelling framework for assessing clinical RBE variability is established. It was applied to four selected glioma patients (grade III) treated with adjuvant radio(chemo)therapy and who developed late morphological image changes on T1-weighted contrast-enhanced (T1w-CE) magnetic resonance (MR) images within approximately two years of recurrence-free follow-up. The image changes were correlated voxelwise with dose and linear energy transfer (LET) values using univariable and multivariable logistic regression analysis. The regression models were evaluated by the area-under-the-curve (AUC) method performing a leave-one-out cross validation. The tolerance dose TD50 at which 50% of patient voxels experienced toxicity was interpolated from the models. A Monte Carlo (MC) model was developed to simulate dose and LET distributions, which includes variance reduction (VR) techniques to decrease computation time. Its reliability and accuracy were evaluated based on dose calculations of the clinical treatment planning system (TPS) as well as absolute dose measurements performed in the patient specific quality assurance. Morphological image changes were related to a combination of dose and LET. The multivariable models revealed cross-validated AUC values of up to 0.88. The interpolated TD50 curves decreased with increasing LET indicating an increase in biological effectiveness. The MC model reliably predicted average TPS dose within the clinical target volume as well as absolute water phantom dose measurements within 2% accuracy using dedicated VR settings. The observed correlation of dose and LET with late brain tissue damage suggests considering RBE variability for predicting chronic radiation-induced brain toxicities. The MC model simulates radiation fields in patients precisely and time-efficiently. Hence, this study encourages and enables in-depth patient evaluation to assess the variability of clinical proton RBE.</t>
  </si>
  <si>
    <t>[Eulitz, J.; Wohlfahrt, P.; Dutz, A.; Enghardt, W.; Karpowitz, C.; Krause, M.; Troost, E. G. C.; Luehr, A.] Tech Univ Dresden, Helmholtz Zentrum Dresden Rossendorf, OncoRay Natl Ctr Radiat Res Oncol, Fac Med, Dresden, Germany; [Eulitz, J.; Wohlfahrt, P.; Dutz, A.; Enghardt, W.; Karpowitz, C.; Krause, M.; Troost, E. G. C.; Luehr, A.] Tech Univ Dresden, Helmholtz Zentrum Dresden Rossendorf, OncoRay Natl Ctr Radiat Res Oncol, Univ Hosp Carl Gustav Carus, Dresden, Germany; [Eulitz, J.; Enghardt, W.; Karpowitz, C.; Krause, M.; Troost, E. G. C.] Tech Univ Dresden, Dept Radiotherapy &amp; Radiat Oncol, Fac Med, Dresden, Germany; [Eulitz, J.; Enghardt, W.; Karpowitz, C.; Krause, M.; Troost, E. G. C.] Tech Univ Dresden, Dept Radiotherapy &amp; Radiat Oncol, Univ Hosp Carl Gustav Carus, Dresden, Germany; [Eulitz, J.; Wohlfahrt, P.; Dutz, A.; Enghardt, W.; Krause, M.; Troost, E. G. C.; Luehr, A.] Helmholtz Zentrum Dresden Rossendorf, Inst Radiooncol OncoRay, Dresden, Germany; [Lutz, B.] Helmholtz Zentrum Dresden Rossendorf, Inst Radiat Phys, Dresden, Germany; [Enghardt, W.; Karpowitz, C.; Krause, M.; Troost, E. G. C.] Natl Ctr Tumor Dis NCI, Partner Site Dresden, Dresden, Germany; [Enghardt, W.; Karpowitz, C.; Krause, M.; Troost, E. G. C.] German Canc Res Ctr, Heidelberg, Germany; [Enghardt, W.; Karpowitz, C.; Krause, M.; Troost, E. G. C.] Tech Univ Dresden, Fac Med, Dresden, Germany; [Enghardt, W.; Karpowitz, C.; Krause, M.; Troost, E. G. C.] Tech Univ Dresden, Univ Hosp Carl Gustav Carus, Dresden, Germany; [Enghardt, W.; Karpowitz, C.; Krause, M.; Troost, E. G. C.] Helmholtz Zentrum Dresden Rossendorf HZDR, Helmholtz Assoc, Dresden, Germany; [Krause, M.; Troost, E. G. C.; Luehr, A.] German Canc Consortium DKTK, Partner Site Dresden, Heidelberg, Germany</t>
  </si>
  <si>
    <t>Helmholtz Association; Helmholtz-Zentrum Dresden-Rossendorf (HZDR); Technische Universitat Dresden; Technische Universitat Dresden; Carl Gustav Carus University Hospital; Helmholtz Association; Helmholtz-Zentrum Dresden-Rossendorf (HZDR); Technische Universitat Dresden; Technische Universitat Dresden; Carl Gustav Carus University Hospital; Helmholtz Association; Helmholtz-Zentrum Dresden-Rossendorf (HZDR); Helmholtz Association; Helmholtz-Zentrum Dresden-Rossendorf (HZDR); Helmholtz Association; German Cancer Research Center (DKFZ); Technische Universitat Dresden; Technische Universitat Dresden; Carl Gustav Carus University Hospital; Helmholtz Association; Helmholtz-Zentrum Dresden-Rossendorf (HZDR); Helmholtz Association; German Cancer Research Center (DKFZ)</t>
  </si>
  <si>
    <t>Eulitz, J (通訊作者)， Tech Univ Dresden, Helmholtz Zentrum Dresden Rossendorf, OncoRay Natl Ctr Radiat Res Oncol, Fac Med, Dresden, Germany.;Eulitz, J (通訊作者)， Tech Univ Dresden, Helmholtz Zentrum Dresden Rossendorf, OncoRay Natl Ctr Radiat Res Oncol, Univ Hosp Carl Gustav Carus, Dresden, Germany.;Eulitz, J (通訊作者)， Tech Univ Dresden, Dept Radiotherapy &amp; Radiat Oncol, Fac Med, Dresden, Germany.;Eulitz, J (通訊作者)， Tech Univ Dresden, Dept Radiotherapy &amp; Radiat Oncol, Univ Hosp Carl Gustav Carus, Dresden, Germany.;Eulitz, J (通訊作者)， Helmholtz Zentrum Dresden Rossendorf, Inst Radiooncol OncoRay, Dresden, Germany.</t>
  </si>
  <si>
    <t>Jan.Eulitz@uniklinikum-dresden.de</t>
  </si>
  <si>
    <t>; Krause, Mechthild/KJL-8552-2024; Lutz, Benjamin/U-4283-2017</t>
  </si>
  <si>
    <t>Wohlfahrt, Patrick/0000-0002-2121-0934; Lutz, Benjamin/0000-0003-3057-7831; Krause, Mechthild/0000-0003-1776-9556; Luhr, Armin/0000-0002-9450-6859;</t>
  </si>
  <si>
    <t>10.1088/1361-6560/ab3841</t>
  </si>
  <si>
    <t>JT9LF</t>
  </si>
  <si>
    <t>WOS:000501302100001</t>
  </si>
  <si>
    <t>Li, X; Tao, L; Levin, CS; Furenlid, LR</t>
  </si>
  <si>
    <t>Li, Xin; Tao, Li; Levin, Craig S.; Furenlid, Lars R.</t>
  </si>
  <si>
    <t>Fast gamma-ray interaction-position estimation using k-d tree search</t>
  </si>
  <si>
    <t>photon counting; detector; gamma ray; k-d tree; estimation</t>
  </si>
  <si>
    <t>We have developed a fast gamma-ray interaction-position estimation method using k-d tree search, which can be combined with various kinds of closeness metrics such as Euclidean distance, maximum likelihood estimation, etc. Compared with traditional search strategies, this method can achieve both speed and accuracy at the same time using the k-d tree data structure. The k-d tree search method has a time complexity of O(log(2)(N)), where N is the number of entries in the reference data set, which means large reference datasets can be used to efficiently estimate each event's interaction position. This method's accuracy was found to be equal to that of the exhaustive search method, yielding the highest achievable accuracy. Most importantly, this method has no restriction on the data structure of the reference dataset and can still work with complicated mean-detector-response functions (MURFs), meaning that it is more robust than other popular methods such as contracting-grid-search (CG) or vector-search (VS) methods that could yield locally optimal instead of globally optimal results.</t>
  </si>
  <si>
    <t>[Li, Xin; Furenlid, Lars R.] Univ Arizona, Ctr Gamma Ray Imaging, Tucson, AZ 85721 USA; [Li, Xin; Furenlid, Lars R.] Univ Arizona, Coll Opt Sci, Tucson, AZ 85721 USA; [Tao, Li; Levin, Craig S.] Stanford Univ, Mol Imaging Instrumentat Lab, Stanford, CA 94305 USA</t>
  </si>
  <si>
    <t>University of Arizona; University of Arizona; Stanford University</t>
  </si>
  <si>
    <t>Li, X (通訊作者)， Univ Arizona, Ctr Gamma Ray Imaging, Tucson, AZ 85721 USA.;Li, X (通訊作者)， Univ Arizona, Coll Opt Sci, Tucson, AZ 85721 USA.</t>
  </si>
  <si>
    <t>xli@optics.arizona.edu; ltao2@stanford.edu; cslevin@stanford.edu; furen@radiology.arizona.edu</t>
  </si>
  <si>
    <t>; TAO, Li/HIR-4254-2022</t>
  </si>
  <si>
    <t>Levin, Craig/0000-0002-4575-5074;</t>
  </si>
  <si>
    <t>NIH/NIBIB [P41-EB002035, 5R01EB000803]</t>
  </si>
  <si>
    <t>NIH/NIBIB(United States Department of Health &amp; Human ServicesNational Institutes of Health (NIH) - USANIH National Institute of Biomedical Imaging &amp; Bioengineering (NIBIB))</t>
  </si>
  <si>
    <t>This work was partially supported by NIH/NIBIB grants P41-EB002035 'The Center for Gamma-Ray Imaging' and 5R01EB000803.</t>
  </si>
  <si>
    <t>10.1088/1361-6560/ab0da6</t>
  </si>
  <si>
    <t>WOS:000480292700013</t>
  </si>
  <si>
    <t>Mohammadi, A; Tashima, H; Iwao, Y; Takyu, S; Akamatsu, G; Nishikido, F; Yoshida, E; Kitagawa, A; Parodi, K; Yamaya, T</t>
  </si>
  <si>
    <t>Mohammadi, Akram; Tashima, Hideaki; Iwao, Yuma; Takyu, Sodai; Akamatsu, Go; Nishikido, Furnihiko; Yoshida, Eiji; Kitagawa, Atsushi; Parodi, Katia; Yamaya, Taiga</t>
  </si>
  <si>
    <t>Range verification of radioactive ion beams of 11C and 15O using in-beam PET imaging</t>
  </si>
  <si>
    <t>heavy ion therapy; radioactive ion beam; in-beam PET imaging</t>
  </si>
  <si>
    <t>POSITRON-EMISSION-TOMOGRAPHY; TRANSPORT CODE SYSTEM; MONTE-CARLO; RADIATION-THERAPY; PHITS; DELIVERY; PARTICLE; DESIGN; CARBON</t>
  </si>
  <si>
    <t>In advanced ion therapy, the visualization of the range of incident ions in a patient's body is important for exploiting the advantages of this type of therapy. It is ideal to use radioactive ion beams for in-beam positron emission tomography (PET) imaging in particle therapy due to the high quality of PET images caused by the high signal-to-noise ratio. We have shown the feasibility of this idea through an in-beam PET study for C-11 and O-15 ion beams using the dedicated OpenPET system. In this work, we investigate the potential difference between the Bragg peak position and the position of the maximum detected positron-emitting fragments by a PET system for the radioactive beams of C-11 and O-15. For this purpose, we measured the depth dose in a water phantom and performed PET scans of an irradiated PMMA phantom for the available beams of C-11 and O-15 at the Heavy Ion Medical Accelerator in Chiba (HIMAC). Then, we simulated the depth dose profiles in the water phantom and the yield of the positron-emitting fragments in a PMMA phantom for both available beams using the Monte Carlo code PHITS. The positions of the Bragg peak and maximum positron-emitting fragments from the measurements were well reproduced by simulation. The effect of beam energy broadening on the positional differences between two peaks was studied by simulating an irradiated PMMA phantom. The differences in position between the Bragg peak and the maximum positron-emitting fragments increased when the beam energy spread was broadened, although the differences were zero for the ideal mono-energetic beams. Greater differences were observed for C-11 ion beams compared to O-15 ion beams, although both beams had the same range in water, and the higher energy corresponded to a larger difference. For the known energy spread of the beams, the predicted differences between two peaks from the simulation were consistent with the measured data within submillimetre agreement.</t>
  </si>
  <si>
    <t>[Mohammadi, Akram; Tashima, Hideaki; Iwao, Yuma; Takyu, Sodai; Akamatsu, Go; Nishikido, Furnihiko; Yoshida, Eiji; Kitagawa, Atsushi; Yamaya, Taiga] Natl Inst Quantum &amp; Radiol Sci &amp; Technol, Natl Inst Radiol Sci, Chiba, Japan; [Parodi, Katia] Ludwig Maximilian Univ Munchen, Munich, Germany</t>
  </si>
  <si>
    <t>National Institutes for Quantum Science &amp; Technology; University of Munich</t>
  </si>
  <si>
    <t>Mohammadi, A (通訊作者)， Natl Inst Quantum &amp; Radiol Sci &amp; Technol, Natl Inst Radiol Sci, Chiba, Japan.</t>
  </si>
  <si>
    <t>mohammadi.akram@qst.go.jp</t>
  </si>
  <si>
    <t>Tashima, Hideaki/ABB-7337-2020; Hamato, Akram/V-7081-2019; Akamatsu, Go/AAG-1059-2020</t>
  </si>
  <si>
    <t>Hamato, Akram/0000-0002-3274-4261; Akamatsu, Go/0000-0001-9686-8901</t>
  </si>
  <si>
    <t>Japan Society for the Promotion of Science (JSPS) KAKENHI [17K09076]; QST International Research Initiative (IRI); Grants-in-Aid for Scientific Research [17K09076] Funding Source: KAKEN</t>
  </si>
  <si>
    <t>Japan Society for the Promotion of Science (JSPS) KAKENHI(Ministry of Education, Culture, Sports, Science and Technology, Japan (MEXT)Japan Society for the Promotion of ScienceGrants-in-Aid for Scientific Research (KAKENHI)); QST International Research Initiative (IRI); Grants-in-Aid for Scientific Research(Ministry of Education, Culture, Sports, Science and Technology, Japan (MEXT)Japan Society for the Promotion of ScienceGrants-in-Aid for Scientific Research (KAKENHI))</t>
  </si>
  <si>
    <t>This work was performed as part of the Research Project with Heavy Ions at NIRS-HIMAC. This work was partially supported by the Japan Society for the Promotion of Science (JSPS) KAKENHI Grant Number 17K09076 and the QST International Research Initiative (IRI).</t>
  </si>
  <si>
    <t>10.1088/1361-6560/ab25ce</t>
  </si>
  <si>
    <t>WOS:000475775200007</t>
  </si>
  <si>
    <t>Wang, T; Kudo, H; Yamazaki, F; Liu, HF</t>
  </si>
  <si>
    <t>Wang, Ting; Kudo, Hiroyuki; Yamazaki, Fukashi; Liu, Huafeng</t>
  </si>
  <si>
    <t>A fast regularized iterative algorithm for fan-beam CT reconstruction</t>
  </si>
  <si>
    <t>fan-beam CT; short-scan; image reconstruction; iterative algorithm; total variation</t>
  </si>
  <si>
    <t>IMAGE-RECONSTRUCTION; COMPUTED-TOMOGRAPHY; BACKPROJECTION</t>
  </si>
  <si>
    <t>We propose a fast iterative image reconstruction algorithm for normal, short-scan, and super-shortscan fan-beam computed tomography (CT), which aims at iterative reconstruction for low-dose and few-view CT by minimizing a data-fidelity term regularized with a total variation (TV) penalty. The derivation of the algorithm can be outlined as follows. First, the original minimization problem is formulated into a saddle-point (primal-dual) problem by using the Lagrangian duality, to which we apply the alternating projection proximal (APP) algorithm, which belongs to a class of first-order primal-dual methods. Second, we precondition the iterative formula using the modified ramp filter of the filtered back-projection (FBP) reconstruction algorithm in such a way that the solution to this preconditioned iteration perfectly coincides with the solution to the original problem. The resulting algorithm converges quickly to the minimizer of the cost function. To demonstrate the advantages of our method, we perform reconstruction experiments using projection data from both numerical phantoms and real CT data. Both qualitative and quantitative results are presented.</t>
  </si>
  <si>
    <t>[Wang, Ting; Liu, Huafeng] Zhejiang Univ, State Key Lab Modern Opt Instrumentat, Hangzhou 310027, Zhejiang, Peoples R China; [Kudo, Hiroyuki; Yamazaki, Fukashi] Univ Tsukuba, Fac Engn Informat &amp; Syst, Tennoudai 1-1-1, Tsukuba, Ibaraki 3058573, Japan</t>
  </si>
  <si>
    <t>Zhejiang University; University of Tsukuba</t>
  </si>
  <si>
    <t>Liu, HF (通訊作者)， Zhejiang Univ, State Key Lab Modern Opt Instrumentat, Hangzhou 310027, Zhejiang, Peoples R China.</t>
  </si>
  <si>
    <t>liuhf@zju.edu.cn</t>
  </si>
  <si>
    <t>Wang, Ting/KRQ-8185-2024</t>
  </si>
  <si>
    <t>China Scholarship Council (CSC); JST-ERATO project of Japan [JPMJER1403]; JST-CREST project of Japan [JPMJCR1765]; National Key Technology Research and Development Program of China [2017YFE0104000, 2016YFC1300302]; National Natural Science Foundation of China [61525106, 61427807, U1809204, 61701436, 81873908]; Shenzhen Innovation Funding [JCYJ20170818164343304, JCYJ20170816172431715]</t>
  </si>
  <si>
    <t>China Scholarship Council (CSC)(China Scholarship Council); JST-ERATO project of Japan; JST-CREST project of Japan; National Key Technology Research and Development Program of China(National Key Technology R&amp;D ProgramNational High Technology Research and Development Program of China); National Natural Science Foundation of China(National Natural Science Foundation of China (NSFC)); Shenzhen Innovation Funding</t>
  </si>
  <si>
    <t>This work was supported by the China Scholarship Council (CSC), JST-ERATO project of Japan (Grant Number JPMJER1403), JST-CREST project of Japan (Grant Number JPMJCR1765), National Key Technology Research and Development Program of China (No: 2017YFE0104000, 2016YFC1300302), National Natural Science Foundation of China (No: 61525106, 61427807, U1809204, 61701436, 81873908), and Shenzhen Innovation Funding (No: JCYJ20170818164343304, JCYJ20170816172431715).</t>
  </si>
  <si>
    <t>10.1088/1361-6560/ab22ed</t>
  </si>
  <si>
    <t>WOS:000475378800006</t>
  </si>
  <si>
    <t>Wang, YL; Li, YJ; Yi, F; Li, JY; Xie, SW; Peng, QY; Xu, JF</t>
  </si>
  <si>
    <t>Wang, Yuli; Li, Yingjie; Yi, Fei; Li, Junyu; Xie, Siwei; Peng, Qiyu; Xu, Jianfeng</t>
  </si>
  <si>
    <t>Two-crossed-polarizers based optical property modulation method for ionizing radiation detection for positron emission tomography</t>
  </si>
  <si>
    <t>Pockets effect; pump-probe measurement; Cadmium Telluride (CdTe); Lithium Niobate (LiNbO3); time resolution; positron emission tomography (PET)</t>
  </si>
  <si>
    <t>TIME-OF-FLIGHT; PET; RESOLUTION</t>
  </si>
  <si>
    <t>Recent work shows that Pockels effect and optics pump-probe measurement could be utilized as a novel method for 511 keV ionizing radiation photon detection for positron emission tomography (PET) which could potentially overcome the inherent physical limitation for coincidence time resolution of around 100 ps (Tao et al 2016 Phys. Med. Biol. 61 7600-22). In this paper, we embrace this observation and introduce a two-crossed-polarizers based setup to achieve similar detection concept, which is a simpler and more compact setup with comparable ionizing radiation detection capability as the setup used in the previously proposed work. We evaluated the performance of our experimental setup with Lithium Niobate (LiNbO3) and Cadmium Telluride (CdTe) detector crystals, and the desired properties of an ideal detector crystal were discussed. The modulation signal induced by 511 keV photons in both LiNbO3 and CdTe can be detected with repeatable signal amplitude using two-crossed-polarizers based method, while CdTe could provide eight times higher detection sensitivity to 511 keV photons than LiNbO3 under the same bias voltage, suggesting high effective Z number and high density properties of CdTe, as well as a shorter carrier lifetime and lower carrier mobility of LiNbO3. In addition, the strength of modulation signal increased linearly with bias voltage before saturation. The modulation signal strength in LiNbO3 continued to increase after 2000 V due to its high resistivity which could reduce the dark current in the detector, while the modulation signal of CdTe with low resistivity tended to be saturated at a bias voltage higher than 1200 V. Therefore, further increasing the bias voltage for detector crystals (especially for LiNbO3) may enhance the modulation strength and improve the detection sensitivity for annihilation photons.</t>
  </si>
  <si>
    <t>[Wang, Yuli] Luazhong Univ Sci &amp; Technol, China EU Inst Clean &amp; Renewable Energy, Wuhan 430074, Hubei, Peoples R China; [Li, Yingjie; Yi, Fei; Li, Junyu] Huazhong Univ Sci &amp; Technol, Sch Opt &amp; Elect Informat, Wuhan 430074, Hubei, Peoples R China; [Peng, Qiyu] Lawrence Berkeley Natl Lab, Mol Biophys &amp; Integrated Bioimaging, Berkeley, CA 94720 USA; [Wang, Yuli; Xie, Siwei; Xu, Jianfeng] Huazhong Univ Sci &amp; Technol, State Key Lab Digital Mfg Equipment &amp; Technol, Wuhan 430074, Hubei, Peoples R China</t>
  </si>
  <si>
    <t>Huazhong University of Science &amp; Technology; United States Department of Energy (DOE); Lawrence Berkeley National Laboratory; Huazhong University of Science &amp; Technology</t>
  </si>
  <si>
    <t>Peng, QY (通訊作者)， Lawrence Berkeley Natl Lab, Mol Biophys &amp; Integrated Bioimaging, Berkeley, CA 94720 USA.;Xu, JF (通訊作者)， Huazhong Univ Sci &amp; Technol, State Key Lab Digital Mfg Equipment &amp; Technol, Wuhan 430074, Hubei, Peoples R China.</t>
  </si>
  <si>
    <t>qpeng@lbl.gov; jfxu@hust.edu.cn</t>
  </si>
  <si>
    <t>Wang, Yuli/HLQ-6716-2023; WANG, YULI/AAD-1244-2021</t>
  </si>
  <si>
    <t>Wang, Yuli/0000-0003-3311-2810;</t>
  </si>
  <si>
    <t>National Natural Science Foundation of China [51627807]; National Natural Science Foundation-Guangdong Joint Funds of China [U1501256]</t>
  </si>
  <si>
    <t>National Natural Science Foundation of China(National Natural Science Foundation of China (NSFC)); National Natural Science Foundation-Guangdong Joint Funds of China</t>
  </si>
  <si>
    <t>The authors would like to thank Dr Li Tao from Stanford University for the very helpful knowledge assistance and experiment discussion. This work is supported by the National Natural Science Foundation of China (Grant No. 51627807), the National Natural Science Foundation-Guangdong Joint Funds of China (Grant No. U1501256).</t>
  </si>
  <si>
    <t>10.1088/1361-6560/ab23cb</t>
  </si>
  <si>
    <t>WOS:000474396800003</t>
  </si>
  <si>
    <t>Yao, YD; Li, L; Chen, ZQ</t>
  </si>
  <si>
    <t>Yao, Yidi; Li, Liang; Chen, Zhiqiang</t>
  </si>
  <si>
    <t>Dynamic-dual-energy spectral CT for improving multi-material decomposition in image-domain</t>
  </si>
  <si>
    <t>spectral CT; photon-counting detector; dual-energy CT; material decomposition; image reconstruction</t>
  </si>
  <si>
    <t>PHOTON-COUNTING DETECTOR; X-RAY; COMPUTED-TOMOGRAPHY; RECONSTRUCTION; QUALITY; ART</t>
  </si>
  <si>
    <t>Dual-energy CT, as well as spectral CT, has a great potential in material decomposition. However, dual-energy CT is difficult to apply to multi-material decomposition because the number of energy bins is limited to two. Current spectral CT systems have more energy bins, but the statistical noise in each energy bin is high because of the decreased photon number, which causes errors in the material decomposition results. In this paper, we propose a dynamic-dual-energy spectral CT for accurate multi-material decomposition. In the course of scanning, the energy threshold of the dynamicdual-energy detector randomly changes to obtain the spectral information of photons. With the proposed statistical noise-weighted tPRISM algorithm, the multi-energy image reconstruction using dynamic-dual-energy CT data was implemented, followed by multi-material decomposition. Both simulation and experiment results show that the multi-energy reconstruction and multi-material decomposition using the dynamic-dual-energy method are more accurate and have less noise compared with that of the conventional static-multi-energy method with the same number of energy bins. The ring artifacts which are severe in the experimental data simulation and experiment results using the conventional spectral CT method are reduced in great extent when using our proposed method. In conclusion, our proposed dynamic-dual-energy spectral CT method is highly feasible and has a great potential in high-quality multi-material decomposition.</t>
  </si>
  <si>
    <t>[Yao, Yidi; Chen, Zhiqiang] Tsinghua Univ, Dept Engn Phys, Beijing 100084, Peoples R China; [Li, Liang; Chen, Zhiqiang] Tsinghua Univ, Key Lab Particle &amp; Radiat Imaging, Minist Educ, Beijing, Peoples R China</t>
  </si>
  <si>
    <t>Li, L (通訊作者)， Tsinghua Univ, Key Lab Particle &amp; Radiat Imaging, Minist Educ, Beijing, Peoples R China.</t>
  </si>
  <si>
    <t>lliang@tsinghua.edu.cn; czq@tsinghua.edu.cn</t>
  </si>
  <si>
    <t>YAO, YIDI/NOE-6583-2025</t>
  </si>
  <si>
    <t>NSFC [61571256]</t>
  </si>
  <si>
    <t>NSFC(National Natural Science Foundation of China (NSFC))</t>
  </si>
  <si>
    <t>This work was supported by the grant from NSFC 61571256.</t>
  </si>
  <si>
    <t>10.1088/1361-6560/ab196d</t>
  </si>
  <si>
    <t>WOS:000473698800006</t>
  </si>
  <si>
    <t>Amaldi, U</t>
  </si>
  <si>
    <t>Amaldi, Ugo</t>
  </si>
  <si>
    <t>Oblique raster scanning: an ion dose delivery procedure with variable energy layers</t>
  </si>
  <si>
    <t>ion dose delivery; active scanning; raster scanning; hadron therapy; particle therapy; large acceptance ion gantry</t>
  </si>
  <si>
    <t>In ion therapy accelerator complexes the dose is delivered 'actively' by subdividing the target in equal energy layers (EELs), which are scanned by a beam spot visiting in sequence the planned spots, previously defined by the treatment planning system. Synchrotrons-based complexes have three problems: (i) the switching from the energy needed to scan one Equal Energy Layer to the next takes time, an effect that is more relevant for the very short treatment times now often required; (ii) the unavoidable 'ripples' of the quadrupoles and bending magnets currents produce large erratic time variations of the extracted current complicating the dose delivery; (iii) in case of superconducting synchrotrons, it is difficult to rapidly change the magnetic field because of the power dumped in the cold masses. These problems are mitigated in the proposed Qblique Raster Scanning procedure, in which the magnet currents of the beamlines vary in synchrony and a beam spot of continuously varying energy moves at a constant velocity in the beam direction scanning layers that are not perpendicular to it. In this paper it is shown that, even for a 13.5 s irradiation of a 0.5 l target, the B-field rates can be as low as dB/dt = 0.1 T s(-1) and that the best procedures to follow 0.5 l moving targets, which combines 3D feedback systems with a five-fold rescanning, can be applied by accelerating in the synchrotron about 10(10) carbon ions. ORS can be used in combination with respiratory gating,and is advantageous also for (synchro)cydotrons-based centres: the variable energy beam can be produced with a slowly rotating absorber and a superconducting energy acceptance beamline/gantry system (with Delta E/E = +/- 1.5%) can substitute the more expensive beam transport systems which have ten times larger energy acceptance (Delta E/E &gt;= +/- 15%).</t>
  </si>
  <si>
    <t>[Amaldi, Ugo] TERA Fdn, Novara, Italy</t>
  </si>
  <si>
    <t>Amaldi, U (通訊作者)， TERA Fdn, Novara, Italy.</t>
  </si>
  <si>
    <t>ugo.amaldi@cern.ch</t>
  </si>
  <si>
    <t>10.1088/1361-6560/ab0920</t>
  </si>
  <si>
    <t>WOS:000468942900003</t>
  </si>
  <si>
    <t>Barfield, G; Burton, EW; Stoddart, J; Metwaly, M; Cawley, MG</t>
  </si>
  <si>
    <t>Barfield, Gary; Burton, Edward William; Stoddart, Jonathan; Metwaly, Mohamed; Cawley, Martin Gerard</t>
  </si>
  <si>
    <t>Quality assurance of gating response times for surface guided motion management treatment delivery using an electronic portal imaging detector</t>
  </si>
  <si>
    <t>surface guided radiotherapy; treatment margins; gating; quality assurance; motion management; motion phantoms</t>
  </si>
  <si>
    <t>RADIOTHERAPY; MARGINS</t>
  </si>
  <si>
    <t>Gating response times of monitoring system/LINAC combinations for gated radiotherapy treatments are notoriously difficult to measure. This difficulty may reflect why the incorporation of gating response times is not thoroughly considered when creating treatment margins for gated radiotherapy treatments, however ignoring the effect of gating response time could lead to significant treatment inaccuracies. This study shows a methodology which measured gating response times for AlignRT/Varian Truebeam combination which appears to be applicable to any surface guided monitoring/Linac combination as well as those combinations which incorporate extended lag times (&gt;200 ms). Beam on lag time appears to be measurably greater than beam off lag time. Although these gating response times are slower than other gating systems on the market, the advantages surface guided radiotherapy (SGRT) could potentially provide for treatment accuracy is discussed as well as demonstrating the lack of guidance regarding SGRT with respect to gated treatments.</t>
  </si>
  <si>
    <t>[Barfield, Gary; Stoddart, Jonathan; Metwaly, Mohamed; Cawley, Martin Gerard] United Lincolnshire Hosp NHS Trust, Dept Radiotherapy Phys, Lincoln, England; [Burton, Edward William] Cambridge Univ Hosp NHS Trust, Dept Med Phys, Cambridge, England</t>
  </si>
  <si>
    <t>Barfield, G (通訊作者)， United Lincolnshire Hosp NHS Trust, Dept Radiotherapy Phys, Lincoln, England.</t>
  </si>
  <si>
    <t>Gary.Barfield@ULH.nhs.uk</t>
  </si>
  <si>
    <t>Barfield, Gary/0000-0002-6762-5879</t>
  </si>
  <si>
    <t>10.1088/1361-6560/ab205a</t>
  </si>
  <si>
    <t>WOS:000518929800002</t>
  </si>
  <si>
    <t>Bélanger, C; Cui, SY; Ma, YZ; Després, P; Cunha, JAM; Beaulieu, L</t>
  </si>
  <si>
    <t>Belanger, Cedric; Cui, Songye; Ma, Yunzhi; Despres, Philippe; Cunha, J. Adam M.; Beaulieu, Luc</t>
  </si>
  <si>
    <t>A GPU-based multi-criteria optimization algorithm for HDR brachytherapy</t>
  </si>
  <si>
    <t>brachytherapy; prostate cancer; patient-specific; treatment planning; optimization; GPU</t>
  </si>
  <si>
    <t>INTENSITY-MODULATED RADIOTHERAPY; TREATMENT PLAN QUALITY; DOSE OPTIMIZATION; PARETO SURFACES; IMRT</t>
  </si>
  <si>
    <t>Currently in HDR brachytherapy planning, a manual fine-tuning of an objective function is necessary to obtain case-specific valid plans. This study intends to facilitate this process by proposing a patient-specific inverse planning algorithm for HDR prostate brachytherapy: GPU-based multi-criteria optimization (gMCO). Two GPU-based optimization engines including simulated annealing (gSA) and a quasi-Newton optimizer (gL-BFGS) were implemented to compute multiple plans in parallel. After evaluating the equivalence and the computation performance of these two optimization engines, one preferred optimization engine was selected for the gMCO algorithm. Five hundred sixty-two previously treated prostate HDR cases were divided into validation set (100) and test set (462). In the validation set, the number of Pareto optimal plans to achieve the best plan quality was determined for the gMCO algorithm. In the test set, gMCO plans were compared with the physician-approved clinical plans. Our results indicated that the optimization process is equivalent between gL-BFGS and gSA, and that the computational performance of gL-BFGS is up to 67 times faster than gSA. Over 462 cases, the number of clinically valid plans was 428 (92.6%) for clinical plans and 461 (99.8%) for gMCO plans. The number of valid plans with target V100 coverage greater than 95% was 288 (62.3%) for clinical plans and 414 (89.6%) for gMCO plans. The mean planning time was 9.4 s for the gMCO algorithm to generate 1000 Pareto optimal plans. In conclusion, gL-BFGS is able to compute thousands of SA equivalent treatment plans within a short time frame. Powered by gL-BFGS, an ultra-fast and robust multi-criteria optimization algorithm was implemented for HDR prostate brachytherapy. Plan pools with various trade-offs can be created with this algorithm. A large-scale comparison against physician approved clinical plans showed that treatment plan quality could be improved and planning time could be significantly reduced with the proposed gMCO algorithm.</t>
  </si>
  <si>
    <t>[Belanger, Cedric; Cui, Songye; Despres, Philippe; Beaulieu, Luc] Univ Laval, Engn Phys &amp; Opt &amp; Canc Res Ctr, Dept Phys, Quebec City, PQ G1V 0A6, Canada; [Belanger, Cedric; Cui, Songye; Ma, Yunzhi; Despres, Philippe; Beaulieu, Luc] Univ Laval, CHU Quebec, Dept Radiat Oncol, Quebec City, PQ G1R 2J6, Canada; [Belanger, Cedric; Cui, Songye; Ma, Yunzhi; Despres, Philippe; Beaulieu, Luc] Univ Laval, CHU Quebec, Res Ctr, Quebec City, PQ G1R 2J6, Canada; [Cunha, J. Adam M.] Univ Calif San Francisco, Radiat Oncol, San Francisco, CA 94115 USA</t>
  </si>
  <si>
    <t>Laval University; Laval University; Laval University Hospital; Laval University; Laval University Hospital; University of California System; University of California San Francisco</t>
  </si>
  <si>
    <t>Beaulieu, L (通訊作者)， Univ Laval, Engn Phys &amp; Opt &amp; Canc Res Ctr, Dept Phys, Quebec City, PQ G1V 0A6, Canada.;Beaulieu, L (通訊作者)， Univ Laval, CHU Quebec, Dept Radiat Oncol, Quebec City, PQ G1R 2J6, Canada.;Beaulieu, L (通訊作者)， Univ Laval, CHU Quebec, Res Ctr, Quebec City, PQ G1R 2J6, Canada.</t>
  </si>
  <si>
    <t>Luc.Beaulieu@phy.ulaval.ca</t>
  </si>
  <si>
    <t>Després, Philippe/Q-7321-2019; Beaulieu, Luc/A-6803-2009; Ma, Yunzhi/KYQ-4204-2024</t>
  </si>
  <si>
    <t>Cui, Songye/0000-0003-2455-0376; Despres, Philippe/0000-0002-4163-7353; Beaulieu, Luc/0000-0003-0429-6366; Belanger, Cedric/0000-0002-0142-9277;</t>
  </si>
  <si>
    <t>National Sciences and Engineering Research Council of Canada (NSERC) via the NSERC-Elekta Industrial Research Chair Grant [484144-15]; National Sciences and Engineering Research Council of Canada (NSERC) via CREATE Medical Physics Research Training Network Grant [432290]; Chinese Scholarship Council; Canada Foundation for Innovation [CFI30889]; National Sciences and Engineering Research Council of Canada (NSERC) [355493, 435510]</t>
  </si>
  <si>
    <t>National Sciences and Engineering Research Council of Canada (NSERC) via the NSERC-Elekta Industrial Research Chair Grant(Natural Sciences and Engineering Research Council of Canada (NSERC)); National Sciences and Engineering Research Council of Canada (NSERC) via CREATE Medical Physics Research Training Network Grant; Chinese Scholarship Council(China Scholarship Council); Canada Foundation for Innovation(Canada Foundation for InnovationCGIARSpanish Government); National Sciences and Engineering Research Council of Canada (NSERC)(Natural Sciences and Engineering Research Council of Canada (NSERC))</t>
  </si>
  <si>
    <t>This work was supported in part by the National Sciences and Engineering Research Council of Canada (NSERC) via the NSERC-Elekta Industrial Research Chair Grant (#484144-15), via the NSERC Discovery Grants (#355493 and #435510), and via the CREATE Medical Physics Research Training Network Grant (#432290). The authors acknowledge a scholarship from the Chinese Scholarship Council and partial support by the Canada Foundation for Innovation (#CFI30889). The authors acknowledge the support from Louis Archambault, Paul Edimo, Andrea Frezza, Charles Joachim-Paquet, Frederic Lacroix, Marie-Claude Lavallee, Ghyslain Leclerc, Loic Paradis-Laperriere, Eric Poulin, and Nicolas Varfalvy.</t>
  </si>
  <si>
    <t>10.1088/1361-6560/ab1817</t>
  </si>
  <si>
    <t>WOS:000467464500005</t>
  </si>
  <si>
    <t>Donzelli, M; Oelfke, U; Bräuer-Krisch, E</t>
  </si>
  <si>
    <t>Donzelli, Mattia; Oelfke, Uwe; Braeuer-Krisch, Elke</t>
  </si>
  <si>
    <t>Introducing the concept of spiral microbeam radiation therapy (spiralMRT)</t>
  </si>
  <si>
    <t>microbeam radiation therapy; spatial fractionation; spiralMRT; Monte Carlo simulation</t>
  </si>
  <si>
    <t>MICROPLANAR BEAM; RADIOSURGERY; RADIOTHERAPY; TRIALS</t>
  </si>
  <si>
    <t>Motivation. With interlaced microbeam radiation therapy (MRT) a first kilovoltage radiotherapy (RT) concept combining spatially fractionated entrance beams and homogeneous dose distribution at the target exists. However, this technique suffers from its high sensitivity to positioning errors of the target relative to the radiation source. With spiral microbeam radiation therapy (spiralMRT), this publication introduces a new irradiation geometry, offering similar spatial fractionation properties as interlaced MRT, while being less vulnerable to target positioning uncertainties. Methods. The dose distributions achievable with spiralMRT in a simplified human head geometry were calculated with Monte Carlo simulations based on Geant4 and the dependence of the result on the microbeam pitch, total field size, and photon energy were analysed. A comparison with interlaced MRT and conventional megavoltage tomotherapy was carried out. Results. SpiralMRT can deliver homogeneous dose distributions, while using spatially fractionated entrance beams. The valley dose of spiralMRT entrance beams is by up to 40% lower than the corresponding tomotherapy dose, thus indicating a better normal tissue sparing. The optimum photon energy is found to be around 150 keV to 200 keV. Conclusions. SpiralMRT is a promising approach to delivering homogeneous dose distributions with spatially fractionated entrance beams, possibly decreasing normal tissue side effects in hypofractionated RT.</t>
  </si>
  <si>
    <t>[Donzelli, Mattia; Braeuer-Krisch, Elke] European Synchrotron Radiat Facil, Biomed Beamline ID17, Grenoble, France; [Donzelli, Mattia; Oelfke, Uwe] Inst Canc Res, Joint Dept Phys, London, England; [Donzelli, Mattia; Oelfke, Uwe] Royal Marsden NHS Fdn Trust, London, England</t>
  </si>
  <si>
    <t>European Synchrotron Radiation Facility (ESRF); University of London; Institute of Cancer Research - UK; Royal Marsden NHS Foundation Trust; Royal Marsden NHS Foundation Trust</t>
  </si>
  <si>
    <t>Donzelli, M (通訊作者)， European Synchrotron Radiat Facil, Biomed Beamline ID17, Grenoble, France.;Donzelli, M (通訊作者)， Inst Canc Res, Joint Dept Phys, London, England.;Donzelli, M (通訊作者)， Royal Marsden NHS Fdn Trust, London, England.</t>
  </si>
  <si>
    <t>mail@donzelli.eu</t>
  </si>
  <si>
    <t>Brӓuer-Krisch, Elke/O-6026-2017</t>
  </si>
  <si>
    <t>Oelfke, Uwe/0000-0003-2309-0814</t>
  </si>
  <si>
    <t>Agence Nationale de la Recherche [ANR-13-BSV1-0012]; COST action [TD1205]; Agence Nationale de la Recherche (ANR) [ANR-13-BSV1-0012] Funding Source: Agence Nationale de la Recherche (ANR); Cancer Research UK [21787] Funding Source: researchfish</t>
  </si>
  <si>
    <t>Agence Nationale de la Recherche(Agence Nationale de la Recherche (ANR)); COST action(European Cooperation in Science and Technology (COST)); Agence Nationale de la Recherche (ANR)(Agence Nationale de la Recherche (ANR)); Cancer Research UK(Cancer Research UK)</t>
  </si>
  <si>
    <t>The authors thank Audrey Bouchet, Tomasz Wysokinski, Jean Laissue, and Stefan Bartzsch for their comments on this research project. The Agence Nationale de la Recherche is acknowledged for financial support under grant no. ANR-13-BSV1-0012, as well as the COST action TD1205 'Innovative Methods in Radiotherapy and Radiosurgery using Synchrotron Radiation'.</t>
  </si>
  <si>
    <t>10.1088/1361-6560/aaff23</t>
  </si>
  <si>
    <t>WOS:000460822700005</t>
  </si>
  <si>
    <t>Efthimiou, N; Emond, E; Wadhwa, P; Cawthorne, C; Tsoumpas, C; Thielemans, K</t>
  </si>
  <si>
    <t>Efthimiou, Nikos; Emond, Elise; Wadhwa, Palak; Cawthorne, Christopher; Tsoumpas, Charalampos; Thielemans, Kris</t>
  </si>
  <si>
    <t>Implementation and validation of time-of-flight PET image reconstruction module for listmode and sinogram projection data in the STIR library</t>
  </si>
  <si>
    <t>medical imaging; Monte Carlo; positron emission tomography; time-of-flight; computer simulations; radionuclide imaging; open-source software</t>
  </si>
  <si>
    <t>POSITRON-EMISSION-TOMOGRAPHY; TOF-PET; ORDERED SUBSETS; RESOLUTION; SOFTWARE; SCINTILLATOR; DETECTOR; DESIGN; UPDATE; SYSTEM</t>
  </si>
  <si>
    <t>In this paper, we describe the implementation of support for time-of-flight (TOF) positron emission tomography (PET) for both listmode and sinogram data in the open source software for tomographic image reconstruction (STIR). We provide validation and performance characterization using simulated data from the open source GATE Monte Carlo toolbox, with TOF configurations spanning from 81.2 to 209.6 ps. The coincidence detector resolution was corrected for the timing resolution deterioration due to the contribution of the crystal length. Comparison between the reconstruction of listmode and sinogram data demonstrated good agreement in both TOF and non-TOF cases in terms of relative absolute error. To reduce the reconstruction time, we assessed the truncation of the TOF kernel along lines-of-response (LOR). Rejection of LOR elements beyond four times the TOF standard deviation provides significant acceleration of approximate to 45% without compromising the image quality. Further narrowing of the kernel can provide extra time reduction but with the gradual introduction of error in the reconstructed images. As expected, TOF reconstruction performs better than non-TOF in terms of both contrast-recovery-coefficient (CRC) and signal-to-noise ratio (SNR). CRC achieves convergence faster with TOF, at lower noise levels. SNR with TOF was superior for early iterations, but with quick deterioration. Higher timing resolution further improved reconstruction performance, while TOF bin mashing was shown to have only a small impact on reconstructed images.</t>
  </si>
  <si>
    <t>[Efthimiou, Nikos; Cawthorne, Christopher] Univ Hull, Fac Hlth Sci, PET Res Ctr, Kingston Upon Hull, N Humberside, England; [Efthimiou, Nikos; Emond, Elise; Thielemans, Kris] UCL, Inst Nucl Med, London, England; [Efthimiou, Nikos; Wadhwa, Palak; Tsoumpas, Charalampos] Univ Leeds, Sch Med, Dept Biomed Imaging Sci, Leeds, W Yorkshire, England; [Wadhwa, Palak; Tsoumpas, Charalampos] Hammersmith Hosp, Invicro, London, England</t>
  </si>
  <si>
    <t>University of Hull; University of London; University College London; University of Leeds; Imperial College London</t>
  </si>
  <si>
    <t>Efthimiou, N (通訊作者)， Univ Hull, Fac Hlth Sci, PET Res Ctr, Kingston Upon Hull, N Humberside, England.;Efthimiou, N (通訊作者)， UCL, Inst Nucl Med, London, England.;Efthimiou, N (通訊作者)， Univ Leeds, Sch Med, Dept Biomed Imaging Sci, Leeds, W Yorkshire, England.</t>
  </si>
  <si>
    <t>n.efthymiou@hull.ac.uk</t>
  </si>
  <si>
    <t>; Cawthorne, Christopher/Q-5512-2018; Cawthorne, Christopher/AAC-1018-2022; Thielemans, Kris/AAG-9208-2019; Efthimiou, Nikos/I-3296-2019; Tsoumpas, Charalampos/B-6495-2008</t>
  </si>
  <si>
    <t>Emond, Elise/0000-0003-4224-2916; Cawthorne, Christopher/0000-0002-5975-0354; Thielemans, Kris/0000-0002-5514-199X; Efthimiou, Nikos/0000-0003-1947-5033; Tsoumpas, Charalampos/0000-0002-4971-2477</t>
  </si>
  <si>
    <t>European Cooperation for Science and Technology Action [TD1401]; Allam Postdoctoral Fellowship; GlaxoSmithKline [BIDS3000030921]; Medical Research Council Industrial Case PhD Studentship [MR/M01746X/1]; Royal Society Industry Fellowship [IF170011]; CCP PET-MR (EPSRC) [EP/M022587/1]; Engineering and Physical Sciences Research Council [EP/M022587/1] Funding Source: researchfish; EPSRC [EP/M022587/1] Funding Source: UKRI</t>
  </si>
  <si>
    <t>European Cooperation for Science and Technology Action; Allam Postdoctoral Fellowship; GlaxoSmithKline(GlaxoSmithKline); Medical Research Council Industrial Case PhD Studentship(UK Research &amp; Innovation (UKRI)Medical Research Council UK (MRC)); Royal Society Industry Fellowship(Royal Society UK); CCP PET-MR (EPSRC)(UK Research &amp; Innovation (UKRI)Engineering &amp; Physical Sciences Research Council (EPSRC)); Engineering and Physical Sciences Research Council(UK Research &amp; Innovation (UKRI)Engineering &amp; Physical Sciences Research Council (EPSRC)); EPSRC(UK Research &amp; Innovation (UKRI)Engineering &amp; Physical Sciences Research Council (EPSRC))</t>
  </si>
  <si>
    <t>Dr Nikos Efthimiou was partially supported by the European Cooperation for Science and Technology Action TD1401: Fast Advanced Scintillation Timing (http://cern.ch/fast-cost), and acknowledges the receipt of an Allam Postdoctoral Fellowship. We thank Dr Assem Allam and his family for the generous donation to help found the PET Research Centre at the University of Hull and for their continued support. Elise Emond acknowledges funding support from GlaxoSmithKline to UCL (BIDS3000030921). Palak Wadhwa is supported by a Medical Research Council Industrial Case PhD Studentship (MR/M01746X/1) and Dr Charalampos Tsoumpas is supported by a Royal Society Industry Fellowship (IF170011). Dr N Efthimiou and P Wadhwa received support from the CCP PET-MR (EPSRC grant EP/M022587/1). The authors would like to express their gratitude to Prof Daniel Lesnic (University of Leeds) for his valuable comments and suggestions.</t>
  </si>
  <si>
    <t>10.1088/1361-6560/aaf9b9</t>
  </si>
  <si>
    <t>Green Published, hybrid, Green Accepted</t>
  </si>
  <si>
    <t>WOS:000456840500003</t>
  </si>
  <si>
    <t>Elter, A; Dorsch, S; Mann, P; Runz, A; Johnen, W; Kargerhi, CP</t>
  </si>
  <si>
    <t>Elter, A.; Dorsch, S.; Mann, P.; Runz, A.; Johnen, W.; Kargerhi, C. P.</t>
  </si>
  <si>
    <t>Compatibility of 3D printing materials and printing techniques with PAGAT gel dosimetry</t>
  </si>
  <si>
    <t>polymer gel dosimetry; 3D dose verification; 3D printed phantom; PAGAT gel</t>
  </si>
  <si>
    <t>DOSE VERIFICATION; POLYMER; VALIDATION</t>
  </si>
  <si>
    <t>Polymer gel (PG) dosimetry enables three dimensional (3D) measurement of complex dose distributions. However, PGs are strongly reactive with oxygen and other contaminations, limiting their applicability by the need to use specific container materials. We investigate different 3D printing materials and printing techniques for their compatibility with PG. Suitable 3D printing materials may provide the possibility to perform PG dosimetry in complex-shaped phantoms. 3D printed and PG-filled test vials were irradiated homogenously. The signal response was evaluated with respect to homogeneity and compared to the signal in already validated reference vials. In addition, for the printing material VeroClear (TM) (StrataSys, Eden Prairie, USA) different methods to remove support material, which was required during the printing process, were investigated. We found that the support material should be used only on the outer side of the container wall with no direct contact to the PG. With the VeroClear (TM) material a homogenous signal response was achieved with a mean deviation of (-1.4 +/- 0.6)% relative to the reference vials. In addition, the homogeneous irradiation of an irregularly-shaped gel container designed with the same printing material and technique also lead to a homogenous PG response. Furthermore, a small field irradiation of an additional test-vial showed an accurate representation of steep dose gradients with a deviation of the maximum position of &lt; 1mm relative to the reference vial.</t>
  </si>
  <si>
    <t>[Elter, A.; Dorsch, S.; Mann, P.; Runz, A.; Johnen, W.; Kargerhi, C. P.] German Canc Res Ctr, Dept Med Phys Radiat Oncol, INF 280, D-69120 Heidelberg, Germany; [Elter, A.; Dorsch, S.] Heidelberg Univ, Fac Phys &amp; Astron, Heidelberg, Germany; [Elter, A.; Dorsch, S.; Mann, P.; Runz, A.; Johnen, W.; Kargerhi, C. P.] HIRO, Natl Ctr Radiat Res Oncol NCRO, Heidelberg, Germany</t>
  </si>
  <si>
    <t>Helmholtz Association; German Cancer Research Center (DKFZ); Ruprecht Karls University Heidelberg</t>
  </si>
  <si>
    <t>Elter, A (通訊作者)， German Canc Res Ctr, Dept Med Phys Radiat Oncol, INF 280, D-69120 Heidelberg, Germany.;Elter, A (通訊作者)， Heidelberg Univ, Fac Phys &amp; Astron, Heidelberg, Germany.;Elter, A (通訊作者)， HIRO, Natl Ctr Radiat Res Oncol NCRO, Heidelberg, Germany.</t>
  </si>
  <si>
    <t>; Elter, Alina/AAK-5005-2020</t>
  </si>
  <si>
    <t>Dorsch, Stefan/0000-0002-8185-8644; Elter, Alina/0000-0002-0295-9931; Mann, Philipp/0000-0002-2857-4861</t>
  </si>
  <si>
    <t>This project has received funding from the EMPIR programme co-financed by the Participating States and from the European Union's Horizon 2020 research and innovation programme. Additionally, we would like to thank Professor Dr K Kopka for providing the lab space for the production of the polymer gel.</t>
  </si>
  <si>
    <t>04NT02</t>
  </si>
  <si>
    <t>10.1088/1361-6560/aafef0</t>
  </si>
  <si>
    <t>HK7YN</t>
  </si>
  <si>
    <t>WOS:000458205800001</t>
  </si>
  <si>
    <t>Korshoej, AR; Sorensen, JCH; von Oettingen, G; Poulsen, FR; Thielscher, A</t>
  </si>
  <si>
    <t>Korshoej, Anders Rosendal; Sorensen, Jens Chr Hedemann; von Oettingen, Gorm; Poulsen, Frantz Rom; Thielscher, Axel</t>
  </si>
  <si>
    <t>Optimization of tumor treating fields using singular value decomposition and minimization of field anisotropy</t>
  </si>
  <si>
    <t>glioblastoma; tumor treating fields; finite element methods; anisotropy; optimization; neuro-oncology</t>
  </si>
  <si>
    <t>ELECTRIC-FIELD; HUMAN BRAIN; CONDUCTIVITY; TISSUE; GLIOBLASTOMA; MODELS</t>
  </si>
  <si>
    <t>Tumor treating fields (TTFields) are increasingly used to treat newly diagnosed and recurrent glioblastoma (GBM). Recently, the authors proposed a new and comprehensive method for efficacy estimation based on singular value decomposition of the sequential field distributions. The method accounts for all efficacy parameters known to affect anti-cancer efficacy of TTFields, i.e. intensity, exposure time, and spatial field correlation. In this paper, we describe a further development, which enables individual optimization of the TTFields activation cycle. The method calculates the optimal device settings to obtain a desired average field intensity in the tumor, while minimizing unwanted field correlation. Finite element (FE) methods were used to estimate the electrical field distribution in the head. The computational head model was based on MRI data from a GBM patient. Sequential field vectors were post-processed using singular value decomposition. A linear transformation was applied to the resulting field matrix to reduce fractional anisotropy (FA) of the principal field components in the tumor. Results were computed for four realistic transducer array layouts. The optimization method significantly reduced FA and maintained the average field intensity in the tumor. The algorithm produced linear gain factors to be applied to the transducer array pairs producing the sequential fields. FA minimization was associated with an increase in total current delivered through the head during a activation cycle. Minimized FA can be obtained for an unchanged total current level, albeit with a reduction in average field intensity. We present an algorithm for optimization of the TTFields activation cycle settings. The method can be used to minimize the spatial correlation between sequential TTFields, while adjusting the total current level and mean field intensity to a desired level. Future studies are needed to validate clinical impact and assess sensitivity towards model parameters.</t>
  </si>
  <si>
    <t>[Korshoej, Anders Rosendal; Sorensen, Jens Chr Hedemann; von Oettingen, Gorm] Aarhus Univ Hosp, Dept Neurosurg, Norrebrogade 44, DK-8000 Aarhus C, Denmark; [Korshoej, Anders Rosendal; Sorensen, Jens Chr Hedemann; von Oettingen, Gorm] Aarhus Univ, Dept Clin Med, Palle Juul Jensens Blvd 82, DK-8200 Aarhus N, Denmark; [Korshoej, Anders Rosendal; Poulsen, Frantz Rom] Odense Univ Hosp, Dept Neurosurg, JB Winslows Vej 4, DK-5000 Odense, Denmark; [Thielscher, Axel] Copenhagen Univ Hosp Hvidovre, Danish Res Ctr Magnet Resonance, Ctr Funct &amp; Diagnost Imaging &amp; Res, Kettegaards Alle 30, DK-2650 Hvidovre, Denmark; [Thielscher, Axel] Danish Tech Univ, DTU Elektro, 348 Orsteds Plads, DK-2800 Lyngby, Denmark</t>
  </si>
  <si>
    <t>Aarhus University; Aarhus University; University of Southern Denmark; Odense University Hospital; University of Copenhagen; Technical University of Denmark</t>
  </si>
  <si>
    <t>Korshoej, AR (通訊作者)， Aarhus Univ Hosp, Dept Neurosurg, Norrebrogade 44, DK-8000 Aarhus C, Denmark.;Korshoej, AR (通訊作者)， Aarhus Univ, Dept Clin Med, Palle Juul Jensens Blvd 82, DK-8200 Aarhus N, Denmark.;Korshoej, AR (通訊作者)， Odense Univ Hosp, Dept Neurosurg, JB Winslows Vej 4, DK-5000 Odense, Denmark.</t>
  </si>
  <si>
    <t>andekors@rm.dk</t>
  </si>
  <si>
    <t>Poulsen, Frantz Rom/0000-0001-5715-6901; Thielscher, Axel/0000-0002-4752-5854; Korshoej, Anders Rosendal/0000-0003-4285-8171</t>
  </si>
  <si>
    <t>Lundbeckfonden [R118-A11308]; Novo Nordisk Fonden [NNF14OC0011413]; Novocure; Lundbeck Foundation [R118-2012-11308] Funding Source: researchfish; Novo Nordisk Fonden [NNF14OC0011413] Funding Source: researchfish</t>
  </si>
  <si>
    <t>Lundbeckfonden(Lundbeckfonden); Novo Nordisk Fonden(Novo Nordisk Foundation); Novocure(Novocure Limited); Lundbeck Foundation(Lundbeckfonden); Novo Nordisk Fonden(Novo Nordisk Foundation)</t>
  </si>
  <si>
    <t>The work was supported by Lundbeckfonden (PI: Axel Thielscher, R118-A11308) and Novo Nordisk Fonden (PI: Axel Thielscher, NNF14OC0011413). Anders R Korshoej is the PI of a clinical trial (NCT02893137) partially funded by Novocure, which manufactures the Optune device for TTFields therapy.</t>
  </si>
  <si>
    <t>04NT03</t>
  </si>
  <si>
    <t>10.1088/1361-6560/aafe54</t>
  </si>
  <si>
    <t>WOS:000458205800002</t>
  </si>
  <si>
    <t>Lühr, A; Burigo, LN; Gantz, S; Schellhammer, SM; Hoffmann, AL</t>
  </si>
  <si>
    <t>Luehr, A.; Burigo, L. N.; Gantz, S.; Schellhammer, S. M.; Hoffmann, A. L.</t>
  </si>
  <si>
    <t>Proton beam electron return effect: Monte Carlo simulations and experimental verification</t>
  </si>
  <si>
    <t>proton therapy; MRI; MR guided radiotherapy; dosimetry; magnetic field; electron return effect; EBT3 film</t>
  </si>
  <si>
    <t>MAGNETIC-FIELD; THERAPY; ACCELERATOR; DEFLECTION; DOSIMETRY</t>
  </si>
  <si>
    <t>Proton therapy (PT) is expected to benefit from integration with magnetic resonance (MR) imaging. However, the magnetic field distorts the dose distribution and enhances the dose at tissue-air interfaces by the electron return effect (ERE). The objectives were (a) to provide experimental evidence for the ERE in proton beams and (b) to systematically characterise the dependence of the dose enhancement ratio (DER) on magnetic field strength, orientation, proton energy and voxel size by computer simulations. EBT3 films were irradiated with 200 MeV protons with and without a 0.92 T transverse field of a permanent magnet to determine the DER at effective measurement depths of 0.156 and 0.467 mm from an air interface. High-resolution Monte Carlo simulations were performed to reproduce the irradiation experiments and to calculate the DER for proton energies between 50-200 MeV and magnetic field strengths between 0.35-3 T as function of distance from the air interface. Voxel sizes of 0.05, 0.5 and 1 mm were analysed. DERs of (2.2 +/- 0.4)% and (0.5 +/- 0.6)% were measured at 0.156 and 0.467 mm from the air interface, respectively. Measurements and simulations agreed within 0.15%. For a 200 MeV proton beam, the maximum DER in 0.05 mm voxels increased with magnetic field strength from 2.6% to 8.2% between 0.35 and 1.5 T, respectively. For a 1.0 T magnetic field, maximum DER increased from 3.2% to 7.6% between 50 and 200 MeV, respectively. Voxel sizes of 0.5 and 1 mm resulted in maximum DER values of 2.6% and 1.4%, respectively. The ERE for proton beams in transverse magnetic fields is measurable.The local dose enhancement is significant, well predictable, decreases rapidly with distance from the air interface, and is negligible beyond 1 mm depth. Its impact on air-filled ionisation chambers and porous tissues (e.g. lung) needs to be considered.</t>
  </si>
  <si>
    <t>[Luehr, A.; Gantz, S.; Schellhammer, S. M.; Hoffmann, A. L.] Helmholtz Zentrum Dresden Rossendorf, Inst Radiooncol OncoRay, Dresden, Germany; [Luehr, A.; Gantz, S.; Schellhammer, S. M.; Hoffmann, A. L.] Tech Univ Dresden, Helmholtz Zentrum Dresden Rossendorf, OncoRay Natl Ctr Radiat Res Oncol, Fac Med, Dresden, Germany; [Luehr, A.; Gantz, S.; Schellhammer, S. M.; Hoffmann, A. L.] Tech Univ Dresden, Helmholtz Zentrum Dresden Rossendorf, Univ Hosp Carl Gustav Carus, Dresden, Germany; [Luehr, A.] German Canc Consortium DKTK, Partner Site Dresden, Dresden, Germany; [Burigo, L. N.] German Canc Res Ctr, Div Med Phys Radiat Oncol, Heidelberg, Germany; [Burigo, L. N.] HIRO, Heidelberg, Germany; [Hoffmann, A. L.] Tech Univ Dresden, Fac Med, Dresden, Germany; [Hoffmann, A. L.] Tech Univ Dresden, Univ Hosp Carl Gustav Carus, Dept Radiotherapy &amp; Radiat Oncol, Dresden, Germany</t>
  </si>
  <si>
    <t>Helmholtz Association; Helmholtz-Zentrum Dresden-Rossendorf (HZDR); Technische Universitat Dresden; Helmholtz Association; Helmholtz-Zentrum Dresden-Rossendorf (HZDR); Helmholtz Association; Helmholtz-Zentrum Dresden-Rossendorf (HZDR); Technische Universitat Dresden; Carl Gustav Carus University Hospital; Helmholtz Association; German Cancer Research Center (DKFZ); Helmholtz Association; German Cancer Research Center (DKFZ); Technische Universitat Dresden; Technische Universitat Dresden; Carl Gustav Carus University Hospital</t>
  </si>
  <si>
    <t>Lühr, A (通訊作者)， Helmholtz Zentrum Dresden Rossendorf, Inst Radiooncol OncoRay, Dresden, Germany.;Lühr, A (通訊作者)， Tech Univ Dresden, Helmholtz Zentrum Dresden Rossendorf, OncoRay Natl Ctr Radiat Res Oncol, Fac Med, Dresden, Germany.;Lühr, A (通訊作者)， Tech Univ Dresden, Helmholtz Zentrum Dresden Rossendorf, Univ Hosp Carl Gustav Carus, Dresden, Germany.;Lühr, A (通訊作者)， German Canc Consortium DKTK, Partner Site Dresden, Dresden, Germany.</t>
  </si>
  <si>
    <t>armin.luehr@oncoray.de</t>
  </si>
  <si>
    <t>Burigo, Lucas/H-5013-2013; Schellhammer, Sonja M./I-2031-2019; Schellhammer, Sonja/I-2031-2019</t>
  </si>
  <si>
    <t>Schellhammer, Sonja M./0000-0002-9742-8518; Luhr, Armin/0000-0002-9450-6859; Gantz, Sebastian/0000-0003-1070-5090</t>
  </si>
  <si>
    <t>10.1088/1361-6560/aafab4</t>
  </si>
  <si>
    <t>WOS:000457182500001</t>
  </si>
  <si>
    <t>Hofmann, T; Pinto, M; Mohammadi, A; Nitta, M; Nishikido, F; Iwao, Y; Tashima, H; Yoshida, E; Chacon, A; Safavi-Naeini, M; Rosenfeld, A; Yamaya, T; Parodi, K</t>
  </si>
  <si>
    <t>Hofmann, T.; Pinto, M.; Mohammadi, A.; Nitta, M.; Nishikido, F.; Iwao, Y.; Tashima, H.; Yoshida, E.; Chacon, A.; Safavi-Naeini, M.; Rosenfeld, A.; Yamaya, T.; Parodi, K.</t>
  </si>
  <si>
    <t>Dose reconstruction from PET images in carbon ion therapy: a deconvolution approach</t>
  </si>
  <si>
    <t>carbon ion therapy; range verification; PET imaging; evolutionary algorithm; dose reconstruction</t>
  </si>
  <si>
    <t>IN-BEAM PET; EMISSION-TOMOGRAPHY; RING OPENPET; VERIFICATION; ALGORITHM; RANGE</t>
  </si>
  <si>
    <t>Dose and range verification have become important tools to bring carbon ion therapy to a higher level of confidence in clinical applications. Positron emission tomography is among the most commonly used approaches for this purpose and relies on the creation of positron emitting nuclei in nuclear interactions of the primary ions with tissue. Predictions of these positron emitter distributions are usually obtained from time-consuming Monte Carlo simulations or measurements from previous treatment fractions, and their comparison to the current, measured image allows for treatment verification. Still, a direct comparison of planned and delivered dose would be highly desirable, since the dose is the quantity of interest in radiation therapy and its confirmation improves quality assurance in carbon ion therapy. In this work, we present a deconvolution approach to predict dose distributions from PET images in carbon ion therapy. Under the assumption that the one-dimensional PET distribution is described by a convolution of the depth dose distribution and a filter kernel, an evolutionary algorithm is introduced to perform the reverse step and predict the depth dose distribution from a measured PET distribution. Filter kernels are obtained from either a library or are created for any given situation on-the-fly, using predictions of the beta(+)-decay and depth dose distributions, and the very same evolutionary algorithm. The applicability of this approach is demonstrated for monoenergetic and polyenergetic carbon ion irradiation of homogeneous and heterogeneous solid phantoms as well as a patient computed tomography image, using Monte Carlo simulated distributions and measured in-beam PET data. Carbon ion ranges are predicted within less than 0.5 mm and 1 mm deviation for simulated and measured distributions, respectively.</t>
  </si>
  <si>
    <t>[Hofmann, T.; Pinto, M.; Parodi, K.] Ludwig Maximilians Univ Munchen, Dept Med Phys, Coulombwall 1, D-85748 Garching, Germany; [Mohammadi, A.; Nitta, M.; Nishikido, F.; Iwao, Y.; Tashima, H.; Yoshida, E.; Yamaya, T.] Natl Inst Radiol Sci NIRS QST, Imaging Phys Team, Inage Ku, 4-9-1 Anagawa, Chiba 2638555, Japan; [Chacon, A.; Safavi-Naeini, M.] Australian Nucl Sci &amp; Technol Org, Lucas Heights, NSW 2234, Australia; [Chacon, A.; Rosenfeld, A.] Univ Wollongong, Ctr Med Radiat Phys, Wollongong, NSW 2522, Australia</t>
  </si>
  <si>
    <t>University of Munich; National Institutes for Quantum Science &amp; Technology; Australian Nuclear Science &amp; Technology Organisation; University of Wollongong</t>
  </si>
  <si>
    <t>marco.pinto@physik.uni-muenchen.de</t>
  </si>
  <si>
    <t>Rosenfeld, Anatoly/D-1989-2014; Tashima, Hideaki/ABB-7337-2020; Safavi-Naeini, Mitra/AAY-6976-2020; Pinto, Marco/B-5362-2019; Hamato, Akram/V-7081-2019</t>
  </si>
  <si>
    <t>Chacon, Andrew/0000-0003-3939-0862; Pinto, Marco/0000-0001-6835-2561; Hamato, Akram/0000-0002-3274-4261; Safavi-Naeini, Mitra/0000-0002-6975-9563; Rosenfeld, Anatoly/0000-0001-5116-6308</t>
  </si>
  <si>
    <t>DFG Cluster of Excellence MAP; PROSALMU; QST International Research Initiative; NIRS International Open Laboratory</t>
  </si>
  <si>
    <t>DFG Cluster of Excellence MAP(German Research Foundation (DFG)); PROSALMU; QST International Research Initiative; NIRS International Open Laboratory</t>
  </si>
  <si>
    <t>This work has been financially supported by the the DFG Cluster of Excellence MAP, PROSALMU, the NIRS International Open Laboratory and the QST International Research Initiative. The authors would like to thank Adrian Fochi for his contribution to this work and the team of Prof Dr Belka from Klinikum Grosshadern for providing the patient CT.</t>
  </si>
  <si>
    <t>10.1088/1361-6560/aaf676</t>
  </si>
  <si>
    <t>WOS:000455823300008</t>
  </si>
  <si>
    <t>Jiao, SX; Chen, LX; Zhu, JH; Wang, ML; Liu, XW</t>
  </si>
  <si>
    <t>Jiao, Sheng-Xiu; Chen, Li-Xin; Zhu, Jin-Han; Wang, Ming-Li; Liu, Xiao-Wei</t>
  </si>
  <si>
    <t>Prediction of dose-volume histograms in nasopharyngeal cancer IMRT using geometric and dosimetric information</t>
  </si>
  <si>
    <t>DVH prediction; geometric information; dosimetric information; nasopharyngeal cancer</t>
  </si>
  <si>
    <t>PLAN QUALITY; AT-RISK; MODEL</t>
  </si>
  <si>
    <t>A method using both patient geometric and dosimetric information was proposed to predict dose-volume histograms (DVHs) of organs at risk (OARs) for a nasopharyngeal cancer (NPC) intensity-modulated radiation therapy (IMRT) plan. A total of 106 nine-field IMRT NPC plans were used in this study. Twenty-six plans were randomly selected as testing cases, and the remaining plans were used as the training data. A method employing geometric and dosimetric information was developed for OAR DVH prediction. The dosimetric information was derived from an initial dose calculation using a simple unoptimized conformal plan. The DVHs were also predicted using only the geometric information. The DVH prediction model was a generalized regression neural network (GRNN). Mean absolute error (MAE) and R-2 values were introduced to evaluate DVH prediction accuracy. Significant differences in the DVH prediction accuracy were found between the method employing the geometric and dosimetric information and the method utilizing the geometric information for the brainstem (R-2, 0.98 versus 0.95, p = 0.007; MAE, 3.52% versus 7.19%, p = 0.002), spinal cord (R-2, 0.98 versus 0.96, p &lt; 0.001; MAE, 2.80% versus 4.36%, p &lt; 0.001), left optic nerve (R-2, 0.90 versus 0.77, p = 0.014; MAE, 3.07% versus 11.29%, p = 0.025) and other organs. On average, the R-2 value increased by similar to 6.7% and the MAE value decreased by similar to 46.7% after adding the dosimetric information to the DVH prediction. We developed a method for predicting DVHs of OARs in NPC IMRT plans by using geometric and dosimetric information. Adding dosimetric information can help predict the DVHs of OARs in NPC IMRT plans.</t>
  </si>
  <si>
    <t>[Jiao, Sheng-Xiu; Liu, Xiao-Wei] Sun Yat Sen Univ, Sch Phys, Guangzhou, Guangdong, Peoples R China; [Chen, Li-Xin; Zhu, Jin-Han; Wang, Ming-Li] Sun Yat Sen Univ, Canc Ctr, State Key Lab Oncol South China, Guangzhou, Guangdong, Peoples R China; [Liu, Xiao-Wei] Sun Yat Sen Univ, Sch Phys, Guangzhou 510275, Peoples R China</t>
  </si>
  <si>
    <t>Sun Yat Sen University; State Key Lab Oncology South China; Sun Yat Sen University; Sun Yat Sen University</t>
  </si>
  <si>
    <t>Liu, XW (通訊作者)， Sun Yat Sen Univ, Sch Phys, Guangzhou, Guangdong, Peoples R China.;Liu, XW (通訊作者)， Sun Yat Sen Univ, Sch Phys, Guangzhou 510275, Peoples R China.</t>
  </si>
  <si>
    <t>stslxw@mail.sysu.edu.cn</t>
  </si>
  <si>
    <t>; Jiao, Sheng xiu/GXG-2517-2022</t>
  </si>
  <si>
    <t>Jiao, Shengxiu/0000-0001-8019-1676;</t>
  </si>
  <si>
    <t>National Natural Science Foundation of China [U1832128, 11375278]</t>
  </si>
  <si>
    <t>The authors have no relevant conflicts of interest to disclose. This work was supported by the National Natural Science Foundation of China (U1832128 and 11375278).</t>
  </si>
  <si>
    <t>23NT04</t>
  </si>
  <si>
    <t>10.1088/1361-6560/ab50eb</t>
  </si>
  <si>
    <t>WOS:000518764700003</t>
  </si>
  <si>
    <t>Guo, Z; Guo, N; Gong, K; Zhong, SA; Li, QZ</t>
  </si>
  <si>
    <t>Guo, Zhe; Guo, Ning; Gong, Kuang; Zhong, Shun'an; Li, Quanzheng</t>
  </si>
  <si>
    <t>Gross tumor volume segmentation for head and neck cancer radiotherapy using deep dense multi-modality network</t>
  </si>
  <si>
    <t>head and neck cancer; gross tumor volume; deep learning; segmentation</t>
  </si>
  <si>
    <t>TARGET DELINEATION; PET; CT</t>
  </si>
  <si>
    <t>In radiation therapy, the accurate delineation of gross tumor volume (GTV) is crucial for treatment planning. However, it is challenging for head and neck cancer (HNC) due to the morphology complexity of various organs in the head, low targets to background contrast and potential artifacts on conventional planning CT images. Thus, manual delineation of GTV on anatomical images is extremely time consuming and suffers from inter-observer variability that leads to planning uncertainty. With the wide use of PET/CT imaging in oncology, complementary functional and anatomical information can be utilized for tumor contouring and bring a significant advantage for radiation therapy planning. In this study, by taking advantage of multi-modality PET and CT images, we propose an automatic GTV segmentation framework based on deep learning for HNC. The backbone of this segmentation framework is based on 3D convolution with dense connections which enables a better information propagation and takes full advantage of the features extracted from multi-modality input images. We evaluate our proposed framework on a dataset including 250 HNC patients. Each patient receives both planning CT and PET/CT imaging before radiation therapy (RT). Manually delineated GTV contours by radiation oncologists are used as ground truth in this study. To further investigate the advantage of our proposed Dense-Net framework, we also compared with the framework using 3D U-Net which is the state-of-the-art in segmentation tasks. Meanwhile, for each frame, the performance comparison between single modality input (PET or CT image) and multi-modality input (both PET/CT) is conducted. Dice coefficient, mean surface distance (MSD), 95th-percentile Hausdorff distance (HD95) and displacement of mass centroid (DMC) are calculated for quantitative evaluation. The dataset is split into train (140 patients), validation (35 patients) and test (75 patients) groups to optimize the network. Based on the results on independent test group, our proposed multi-modality Dense-Net (Dice 0.73) shows better performance than the compared network (Dice 0.71). Furthermore, the proposed Dense-Net structure has less trainable parameters than the 3D U-Net, which reduces the prediction variability. In conclusion, our proposed multi-modality Dense-Net can enable satisfied GTV segmentation for HNC using multi-modality images and yield superior performance than conventional methods. Our proposed method provides an automatic, fast and consistent solution for GTV segmentation and shows potentials to be generally applied for radiation therapy planning of a variety of cancer (e.g. lung, sarcoma, liver and so on).</t>
  </si>
  <si>
    <t>[Guo, Zhe; Zhong, Shun'an] Beijing Inst Technol, Sch Informat &amp; Elect, Beijing 100081, Peoples R China; [Guo, Zhe; Guo, Ning; Gong, Kuang; Li, Quanzheng] Massachusetts Gen Hosp, Dept Radiol, Boston, MA 02114 USA</t>
  </si>
  <si>
    <t>Beijing Institute of Technology; Harvard University; Harvard University Medical Affiliates; Massachusetts General Hospital</t>
  </si>
  <si>
    <t>Li, QZ (通訊作者)， Massachusetts Gen Hosp, Dept Radiol, Boston, MA 02114 USA.</t>
  </si>
  <si>
    <t>li.quanzheng@mgh.harvard.edu</t>
  </si>
  <si>
    <t>Gong, Kuang/W-6203-2019</t>
  </si>
  <si>
    <t>Guo, Zhe/0000-0003-4080-2449</t>
  </si>
  <si>
    <t>National Institutes of Health [RF1AG052653, P41EB022544, C06 CA059267]; China Scholarship Council</t>
  </si>
  <si>
    <t>National Institutes of Health(United States Department of Health &amp; Human ServicesNational Institutes of Health (NIH) - USA); China Scholarship Council(China Scholarship Council)</t>
  </si>
  <si>
    <t>This work is supported by the National Institutes of Health under grants RF1AG052653, P41EB022544, and C06 CA059267. Zhe Guo is supported by the China Scholarship Council.</t>
  </si>
  <si>
    <t>10.1088/1361-6560/ab440d</t>
  </si>
  <si>
    <t>WOS:000500247900015</t>
  </si>
  <si>
    <t>Smith, ST; Boase, NRB; Masters, KS; Hosokawa, K; Asena, A; Crowe, SB; Kairn, T; Trapp, JV</t>
  </si>
  <si>
    <t>Smith, S. T.; Boase, N. R. B.; Masters, K-S; Hosokawa, K.; Asena, A.; Crowe, S. B.; Kairn, T.; Trapp, J., V</t>
  </si>
  <si>
    <t>A very low diffusion Fricke gel dosimeter with functionalised xylenol orange-PVA (XOPVA)</t>
  </si>
  <si>
    <t>dosimetry; gel dosimetry; polymer; Fricke</t>
  </si>
  <si>
    <t>NUCLEAR-MAGNETIC-RESONANCE; DOSE DISTRIBUTIONS; AGAROSE GELS</t>
  </si>
  <si>
    <t>A gel dosimeter has been developed utilising a recently reported system for reducing Fe3+ diffusion in a Fricke gel dosimeter which chelates xylenol orange to the gelling agent poly(vinyl alcohol) (PVA). Formulations were investigated using both gelatin and PVA as the gelling agent, along with the inclusion of glyoxal. The resulting gel had an optical density dose response of 0.0031 Gy(-1), an auto-oxidation rate of 0.000 23 h(-1), and a diffusion rate of 0.132 mm(2) h(-1) which is a significant improvement over previously reported gelatin based Fricke gel dosimeters. The gel was also shown to be energy and dose-rate independent and could be reused after irradiation. Thus, this gel dosimeter has the potential to provide a safe and practical solution to three dimensional radiation dosimetry in the medical environment.</t>
  </si>
  <si>
    <t>[Smith, S. T.; Boase, N. R. B.; Masters, K-S; Hosokawa, K.; Asena, A.; Crowe, S. B.; Kairn, T.; Trapp, J., V] Queensland Univ Technol, Sch Chem Phys &amp; Mech Engn, Brisbane, Qld, Australia; [Crowe, S. B.; Kairn, T.] Royal Brisbane &amp; Womens Hosp, Canc Care Serv, Brisbane, Qld, Australia</t>
  </si>
  <si>
    <t>Queensland University of Technology (QUT); Royal Brisbane &amp; Women's Hospital</t>
  </si>
  <si>
    <t>Trapp, JV (通訊作者)， Queensland Univ Technol, Sch Chem Phys &amp; Mech Engn, Brisbane, Qld, Australia.</t>
  </si>
  <si>
    <t>j.trapp@qut.edu.au</t>
  </si>
  <si>
    <t>Trapp, Jamie/I-9846-2012; Crowe, Scott/J-1146-2012; Kairn, Tanya/F-4626-2011; Boase, Nathan/H-4527-2019</t>
  </si>
  <si>
    <t>Trapp, Jamie/0000-0001-5254-0728; Boase, Nathan/0000-0001-6077-2609; Crowe, Scott/0000-0001-7028-6452; Kairn, Tanya/0000-0002-2136-6138;</t>
  </si>
  <si>
    <t>Australian Research Council Linkage Project [LP110100401]; Wesley Research Institute; Australian Research Council [LP110100401] Funding Source: Australian Research Council</t>
  </si>
  <si>
    <t>Australian Research Council Linkage Project(Australian Research Council); Wesley Research Institute; Australian Research Council(Australian Research Council)</t>
  </si>
  <si>
    <t>The authors would like to thank Steven Sylvander, Alex Livingstone, and Sanna Nilsson of the Royal Brisbane and Women's Hospital for their assistance in irradiations. This work was partly funded by Australian Research Council Linkage Project LP110100401 in conjunction with the Wesley Research Institute.</t>
  </si>
  <si>
    <t>10.1088/1361-6560/ab430c</t>
  </si>
  <si>
    <t>WOS:000500247900017</t>
  </si>
  <si>
    <t>Thrower, SL; Kandala, SK; Fuentes, D; Stefan, W; Sowko, N; Huang, M; Mathieu, K; Hazle, JD</t>
  </si>
  <si>
    <t>Thrower, S. L.; Kandala, S. K.; Fuentes, D.; Stefan, W.; Sowko, N.; Huang, M.; Mathieu, K.; Hazle, J. D.</t>
  </si>
  <si>
    <t>A compressed sensing approach to immobilized nanoparticle localization for superparamagnetic relaxometry</t>
  </si>
  <si>
    <t>superparamagnetic relaxometry; SPIO; compressed sensing; magnetic particle imaging</t>
  </si>
  <si>
    <t>MAGNETIC NANOPARTICLES; MINIMUM-NORM; MAGNETORELAXOMETRY; ALGORITHM; SPARSITY; FOCUSS; SYSTEM</t>
  </si>
  <si>
    <t>Superparamagnetic relaxometry (SPMR) exploits the unique magnetic properties of targeted superparamagnetic iron oxide nanoparticles (SPIOs) to detect small numbers of cancer cells. Reconstruction of the spatial distribution of cancer-bound nanoparticles requires solving an illposed inverse problem. The current method, multiple source analysis (MSA), uses a least-squares fit to determine the strength and location of a pre-determined number of magnetic dipoles. In this proof-of-concept study, we propose the application of a sparsity averaged reweighting algorithm (SARA) for volumetric reconstruction of immobilized nanoparticle distributions. We first calibrate the parameters that define the location of the sensors in the forward model of measurement physics. Using this optimized model, we evaluated the performance of the algorithms on various configurations of single and multiple point-source phantoms. We investigated the effect of the data fidelity parameter, voxel size, and iterative reweighting on the reconstruction produced by SARA. We found that the calibrated physics model can predict the detected field values within 5% of the measured data. When only a single source was present, both algorithms were able to detect as little as 0.5 mu g of immobilized particles. However, when two sources were measured simultaneously, MSA failed to detect sources containing as much as 10 mu g of particles, while SARA detected all of the sources containing at least 5 mu g of particles. We show that a suitable data fidelity parameter can be selected objectively, and the total magnitude and location of a point source reconstructed by SARA is not sensitive to voxel size. Detection and localization of multiple small clusters of nanoparticles is a crucial step in SPMR-based diagnostic applications. Our algorithm overcomes the need to know the number of dipoles before reconstruction and improves the sensitivity of the reconstruction when multiple sources are present.</t>
  </si>
  <si>
    <t>[Thrower, S. L.; Kandala, S. K.; Fuentes, D.; Stefan, W.; Mathieu, K.; Hazle, J. D.] Univ Texas MD Anderson Canc Ctr, Dept Imaging Phys, Houston, TX 77030 USA; [Sowko, N.] Imag Biosyst, San Diego, CA 92121 USA; [Huang, M.] Univ Calif San Diego, Dept Radiol, San Diego, CA 92103 USA</t>
  </si>
  <si>
    <t>University of Texas System; UTMD Anderson Cancer Center; University of California System; University of California San Diego</t>
  </si>
  <si>
    <t>Thrower, SL (通訊作者)， Univ Texas MD Anderson Canc Ctr, Dept Imaging Phys, Houston, TX 77030 USA.</t>
  </si>
  <si>
    <t>slloupot@mdanderson.org</t>
  </si>
  <si>
    <t>; Kandala, Sri/T-5138-2019</t>
  </si>
  <si>
    <t>Thrower, Sara/0000-0001-9915-7443;</t>
  </si>
  <si>
    <t>National Cancer Institute of the National Institutes of Health [F31CA210434]; National Cancer Institute [CA1672]; Imagion Biosystems</t>
  </si>
  <si>
    <t>National Cancer Institute of the National Institutes of Health(United States Department of Health &amp; Human ServicesNational Institutes of Health (NIH) - USANIH National Cancer Institute (NCI)); National Cancer Institute(United States Department of Health &amp; Human ServicesNational Institutes of Health (NIH) - USANIH National Cancer Institute (NCI)); Imagion Biosystems</t>
  </si>
  <si>
    <t>The research reported in this publication was supported in part by the National Cancer Institute of the National Institutes of Health under award number F31CA210434, National Cancer Institute grant CA1672, and under a sponsored research collaboration from Imagion Biosystems. Amy Ninetto and the Department of Scientific Publications provided helpful editing of this manuscript. This work was performed in part at the Center for Integrated Nanotechnologies, an Office of Science User Facility operated for the U.S. Department of Energy Office of Science.</t>
  </si>
  <si>
    <t>10.1088/1361-6560/ab3c06</t>
  </si>
  <si>
    <t>JA1CK</t>
  </si>
  <si>
    <t>WOS:000487554700001</t>
  </si>
  <si>
    <t>Buckley, JG; Rai, R; Liney, GP; Dowling, JA; Holloway, LC; Metcalfe, PE; Keall, PJ</t>
  </si>
  <si>
    <t>Buckley, J. G.; Rai, R.; Liney, G. P.; Dowling, J. A.; Holloway, L. C.; Metcalfe, P. E.; Keall, P. J.</t>
  </si>
  <si>
    <t>Anatomical deformation due to horizontal rotation: towards gantry-free radiation therapy</t>
  </si>
  <si>
    <t>patient rotation; MRI-guided radiotherapy; MRI-linac; anatomical deformation; image-guided radiotherapy</t>
  </si>
  <si>
    <t>RADIOTHERAPY; MRI; SYSTEM; REGISTRATION; ACCELERATOR; DESIGN; MOTION</t>
  </si>
  <si>
    <t>Gantry-free radiation therapy systems may be simpler and more cost effective, particularly for MRI-guided photon or hadron therapy. This study aims to understand and quantify anatomical deformations caused by horizontal rotation with scan sequences sufficiently short to facilitate integration into an MRI-guided workflow. Rigid and non-rigid pelvic deformations due to horizontal rotation were quantified for a cohort of 8 healthy volunteers using a bespoke patient rotation system and a clinical MRI scanner. For each volunteer a reference scan was acquired at 0 degrees followed by sequential faster scans in 45 degrees increments through to 360 degrees. All fast scans were registered to the 0 degrees image via a three-step process: first, images were aligned using MR visible couch markers. Second, the scans were pre-processed then rigidly registered to the 0 degrees image. Third, the rigidly registered scans were non-rigidly registered to the 0 degrees image to assess soft tissue deformation. The residual differences after rigid and non-rigid registration were determined from the transformation matrix and the deformation vector field, respectively. The rigid registration yielded mean rotations of &lt;= 2.5 degrees in all cases. The average 3D translational magnitudes range was 5.8 +/- 2.9 mm-30.0 +/- 11.0 mm. Translations were most significant in the left right (LR) direction. Smaller translations were observed in the anterior-posterior (AP) and superior-inferior (SI) directions. The maximum deformation magnitudes range was: 10.0 +/- 0.9 mm-28.0 +/- 2.8 mm and average deformation magnitudes range: 2.3 +/- 0.6 mm-7.5 +/- 1.0 mm. Average non-rigid deformation magnitude was correlated with BMI (correlation coefficient 0.84, p = 0.01). Rigid pelvic deformations were most significant in the LR direction but could be accounted for with on-line adjustments. Non-rigid deformations can be significant and will need to be accounted for in order to facilitate the delivery of gantry-free therapy with an automated patient rotation system.</t>
  </si>
  <si>
    <t>[Buckley, J. G.; Liney, G. P.; Dowling, J. A.; Holloway, L. C.; Metcalfe, P. E.] Univ Wollongong, Ctr Med Radiat Phys, Wollongong, NSW, Australia; [Liney, G. P.; Dowling, J. A.; Holloway, L. C.] Univ New South Wales, Sch Med, Sydney, NSW, Australia; [Buckley, J. G.; Rai, R.; Liney, G. P.; Holloway, L. C.; Metcalfe, P. E.; Keall, P. J.] Ingham Inst Appl Med Res, Liverpool, Australia; [Rai, R.; Liney, G. P.; Holloway, L. C.] Liverpool Hosp Canc Therapy Ctr, South West Sydney Local Hlth Dist, Liverpool, Australia; [Dowling, J. A.] CSIRO Australian eHlth Res Ctr, Herston, Qld, Australia; [Keall, P. J.] Univ Sydney, Sch Med, ACRF Image X Inst, Sydney, NSW, Australia</t>
  </si>
  <si>
    <t>University of Wollongong; University of New South Wales Sydney; Ingham Institute for Applied Medical Research; South Western Sydney Local Health District; Liverpool Hospital; Commonwealth Scientific &amp; Industrial Research Organisation (CSIRO); University of Sydney</t>
  </si>
  <si>
    <t>Buckley, JG (通訊作者)， Univ Wollongong, Ctr Med Radiat Phys, Wollongong, NSW, Australia.;Buckley, JG (通訊作者)， Ingham Inst Appl Med Res, Liverpool, Australia.</t>
  </si>
  <si>
    <t>jarryd@uow.edu.au</t>
  </si>
  <si>
    <t>Metcalfe, Peter/D-4040-2014; Keall, Paul/A-6453-2018; Rai, Robba/AAU-4042-2021; Dowling, Jason/A-1420-2008</t>
  </si>
  <si>
    <t>Metcalfe, Peter/0000-0002-6820-0055; Buckley, Jarryd/0000-0002-5050-2952; Holloway, Lois/0000-0003-4337-2165; Dowling, Jason/0000-0001-9349-2275</t>
  </si>
  <si>
    <t>Ingham Institute for Applied Medical Research; NHMRC [APP1132471]; South West Sydney Cancer Therapy Centre</t>
  </si>
  <si>
    <t>Ingham Institute for Applied Medical Research(Ingham Institute for Applied Medical Research); NHMRC(National Health &amp; Medical Research Council (NHMRC) of Australia); South West Sydney Cancer Therapy Centre</t>
  </si>
  <si>
    <t>The authors wish to thank Mr Phil Chlap from the Ingham Institute for Applied Medical Research for programming assistance during this work and the South West Sydney Cancer Therapy Centre Radiation Oncology Clinical Trials department for coordinating the recruitment of volunteers. JB acknowledges funding support from the Ingham Institute for Applied Medical Research and South West Sydney Cancer Therapy Centre. The project is supported by an NHMRC program Grant (APP1132471). The time of the volunteers in this study is gratefully appreciated. The authors have confirmed that any identifiable participants in this study have given their consent for publication.</t>
  </si>
  <si>
    <t>10.1088/1361-6560/ab324c</t>
  </si>
  <si>
    <t>Green Submitted, Green Published</t>
  </si>
  <si>
    <t>WOS:000484508700007</t>
  </si>
  <si>
    <t>McCulloch, MM; Anderson, BM; Cazoulat, G; Peterson, CB; Mohamed, ASR; Volpe, S; Elhalawani, H; Bahig, H; Rigaud, B; King, JB; Ford, AC; Fuller, CD; Brock, KK</t>
  </si>
  <si>
    <t>McCulloch, Molly M.; Anderson, Brian M.; Cazoulat, Guillaume; Peterson, Christine B.; Mohamed, Abdallah S. R.; Volpe, Stefania; Elhalawani, Hesham; Bahig, Houda; Rigaud, Bastien; King, Jason B.; Ford, Alexandra C.; Fuller, Clifton D.; Brock, Kristy K.</t>
  </si>
  <si>
    <t>Biomechanical modeling of neck flexion for deformable alignment of the salivary glands in head and neck cancer images</t>
  </si>
  <si>
    <t>deformable image registration; head and neck cancer; volumetric response; image registration; biomechanical modeling</t>
  </si>
  <si>
    <t>REGISTRATION; RADIOTHERAPY; THERAPY</t>
  </si>
  <si>
    <t>During head and neck (HN) cancer radiation therapy, analysis of the dose-response relationship for the parotid glands (PG) relies on the ability to accurately align soft tissue organs between longitudinal images. In order to isolate the response of the salivary glands to delivered dose, from deformation due to patient position, it is important to resolve the patient postural changes, mainly due to neck flexion. In this study we evaluate the use of a biomechanical model-based deformable image registration (DIR) algorithm to estimate the displacements and deformations of the salivary glands due to postural changes. A total of 82 pairs of CT images of HN cancer patients with varying angles of neck flexion were retrospectively obtained. The pairs of CTs of each patient were aligned using bone-based rigid registration. The images were then deformed using biomechanical model-based DIR method that focused on the mandible, C1 vertebrae, C3 vertebrae, and external contour. For comparison, an intensity-based DIR was also performed. The accuracy of the biomechanical model-based DIR was assessed using Dice similarity coefficient (DSC) for all images and for the subset of images where the PGs had a volume change within 20%. The accuracy was compared to the intensity-based DIR. The PG mean +/- STD DSC were 0.63 +/- 0.18, 0.80 +/- 0.08, and 0.82 +/- 0.15 for the rigid registration, biomechanical model-based DIR, and intensity based DIR, respectively, for patients with a PG volume change up to 20%. For the entire cohort of patients, where the PG volume change was up to 57%, the PG mean +/- STD DSC were 0.60 +/- 0.18, 0.78 +/- 0.09, and 0.81 +/- 0.14 for the rigid registration, biomechanical model-based DIR, and intensity based DIR, respectively. The difference in DSC of the intensity and biomechanical model-based DIR methods was not statistically significant when the volume change was less than 20% (two-sided paired t-test,p = 0.12). When all volume changes were considered, there was a significant difference between the two registration approaches, although the magnitude was small. These results demonstrate that the proposed biomechanical model with boundary conditions on the bony anatomy can serve to describe the varying angles of neck flexion appearing in images during radiation treatment and to align the salivary glands for proper analysis of dose-response relationships. It also motivates the need for dose response modeling following neck flexion for cases where parotid gland response is noted.</t>
  </si>
  <si>
    <t>[McCulloch, Molly M.; Anderson, Brian M.; Cazoulat, Guillaume; Rigaud, Bastien; King, Jason B.; Ford, Alexandra C.; Brock, Kristy K.] Univ Texas MD Anderson Canc Ctr, Dept Imaging Phys, Houston, TX 77030 USA; [McCulloch, Molly M.] Univ Michigan, Dept Nucl Engn &amp; Radiol Sci, Ann Arbor, MI 48109 USA; [Peterson, Christine B.] Univ Texas MD Anderson Canc Ctr, Dept Biostat, Houston, TX 77030 USA; [Mohamed, Abdallah S. R.; Volpe, Stefania; Elhalawani, Hesham; Bahig, Houda; Fuller, Clifton D.] Univ Texas MD Anderson Canc Ctr, Dept Radiat Oncol, Houston, TX 77030 USA; [Volpe, Stefania] IRCSS, Radiat Oncol Dept, European Inst Oncol, Via Ripamonti 435, Milan, Italy; [King, Jason B.] Univ Texas Austin, Dept Biomed Engn, Austin, TX 78705 USA; [Brock, Kristy K.] Univ Texas MD Anderson Canc Ctr, Dept Radiat Phys, Houston, TX 77030 USA</t>
  </si>
  <si>
    <t>University of Texas System; UTMD Anderson Cancer Center; University of Michigan System; University of Michigan; University of Texas System; UTMD Anderson Cancer Center; University of Texas System; UTMD Anderson Cancer Center; IRCCS European Institute of Oncology (IEO); University of Texas System; University of Texas Austin; University of Texas System; UTMD Anderson Cancer Center</t>
  </si>
  <si>
    <t>McCulloch, MM (通訊作者)， Univ Texas MD Anderson Canc Ctr, Dept Imaging Phys, Houston, TX 77030 USA.;McCulloch, MM (通訊作者)， Univ Michigan, Dept Nucl Engn &amp; Radiol Sci, Ann Arbor, MI 48109 USA.</t>
  </si>
  <si>
    <t>mmmcculloch@mdanderson.org</t>
  </si>
  <si>
    <t>; Volpe, Stefania/AAQ-6410-2020; Peterson, Christine/AGG-1378-2022; Elhalawani, Hesham/R-7172-2019; Anderson, Brian/ABB-1934-2021; Fuller, Clifton/AAB-4012-2019; Rigaud, Bastien/ABA-8816-2021; Mohamed, Abdallah/HTN-4999-2023</t>
  </si>
  <si>
    <t>McCulloch, Molly/0000-0002-7531-1263; Anderson, Brian/0000-0002-2748-1444; Peterson, Christine/0000-0003-3316-0468; Fuller, Clifton D./0000-0002-5264-3994; Elhalawani, Hesham/0000-0001-9848-2623; Volpe, Stefania/0000-0003-0498-2964; Cazoulat, Guillaume/0000-0003-2042-7602; Rigaud, Bastien/0000-0002-0038-429X; Mohamed, Abdallah/0000-0003-2064-7613; King, Jason/0000-0002-3866-7420</t>
  </si>
  <si>
    <t>Helen Black Image Guided Cancer Therapy Fund; RaySearch Laboratories; Image Guided Cancer Therapy Research Program at The University of Texas MD Anderson Cancer Center; NIH/NCI CCSG Grant [P30CA016672]; Andrew Sabin Family Foundation; National Institutes of Health (NIH); National Institute for Dental and Craniofacial Research Award [1R01DE025248/R56DE025248]; National Science Foundation (NSF), Division of Mathematical Sciences, Joint NIH/NSF Initiative on Quantitative Approaches to Biomedical Big Data (QuBBD) Grant [NSF 1557679]; National Institute of Biomedical Imaging and Bioengineering (NIBIB) Research Education Programs for Residents and Clinical Fellows Grant [R25EB025787-01]; NIH Big Data to Knowledge (BD2K) Program of the National Cancer Institute (NCI) Early Stage Development of Technologies in Biomedical Computing, Informatics, and Big Data Science Award [1R01CA214825]; NCI Early Phase Clinical Trials in Imaging and Image-Guided Interventions Program [1R01CA218148]; NIH/NCI Cancer Center Support Grant (CCSG) Pilot Research Program Award from the UT MD Anderson CCSG Radiation Oncology and Cancer Imaging Program [P30CA016672]; NIH/NCI Head and Neck Specialized Programs of Research Excellence (SPORE) Developmental Research Program Award [P50 CA097007]; Elekta AB; NIH T32 training grant [T32EB007507]</t>
  </si>
  <si>
    <t>Helen Black Image Guided Cancer Therapy Fund; RaySearch Laboratories; Image Guided Cancer Therapy Research Program at The University of Texas MD Anderson Cancer Center; NIH/NCI CCSG Grant; Andrew Sabin Family Foundation; National Institutes of Health (NIH)(United States Department of Health &amp; Human ServicesNational Institutes of Health (NIH) - USA); National Institute for Dental and Craniofacial Research Award; National Science Foundation (NSF), Division of Mathematical Sciences, Joint NIH/NSF Initiative on Quantitative Approaches to Biomedical Big Data (QuBBD) Grant(National Science Foundation (NSF)NSF - Directorate for Mathematical &amp; Physical Sciences (MPS)); National Institute of Biomedical Imaging and Bioengineering (NIBIB) Research Education Programs for Residents and Clinical Fellows Grant; NIH Big Data to Knowledge (BD2K) Program of the National Cancer Institute (NCI) Early Stage Development of Technologies in Biomedical Computing, Informatics, and Big Data Science Award; NCI Early Phase Clinical Trials in Imaging and Image-Guided Interventions Program; NIH/NCI Cancer Center Support Grant (CCSG) Pilot Research Program Award from the UT MD Anderson CCSG Radiation Oncology and Cancer Imaging Program; NIH/NCI Head and Neck Specialized Programs of Research Excellence (SPORE) Developmental Research Program Award(United States Department of Health &amp; Human ServicesNational Institutes of Health (NIH) - USAOffice of the Administrator (NIH)); Elekta AB; NIH T32 training grant(United States Department of Health &amp; Human ServicesNational Institutes of Health (NIH) - USA)</t>
  </si>
  <si>
    <t>This work was funded in part by the Helen Black Image Guided Cancer Therapy Fund and a grant from RaySearch Laboratories. The work was also supported by the Image Guided Cancer Therapy Research Program at The University of Texas MD Anderson Cancer Center. Dr Brock has a licensing agreement with RaySearch Laboratories. Dr Peterson was partially supported by NIH/NCI CCSG Grant P30CA016672 (Biostatistics shared resource). This research is supported by the Andrew Sabin Family Foundation; Dr. Fuller is a Sabin Family Foundation Fellow. Dr. Fuller receives funding and salary support from the National Institutes of Health (NIH), including: the National Institute for Dental and Craniofacial Research Award (1R01DE025248/R56DE025248); a National Science Foundation (NSF), Division of Mathematical Sciences, Joint NIH/NSF Initiative on Quantitative Approaches to Biomedical Big Data (QuBBD) Grant (NSF 1557679); a National Institute of Biomedical Imaging and Bioengineering (NIBIB) Research Education Programs for Residents and Clinical Fellows Grant (R25EB025787-01); the NIH Big Data to Knowledge (BD2K) Program of the National Cancer Institute (NCI) Early Stage Development of Technologies in Biomedical Computing, Informatics, and Big Data Science Award (1R01CA214825); NCI Early Phase Clinical Trials in Imaging and Image-Guided Interventions Program (1R01CA218148); an NIH/NCI Cancer Center Support Grant (CCSG) Pilot Research Program Award from the UT MD Anderson CCSG Radiation Oncology and Cancer Imaging Program (P30CA016672) and an NIH/NCI Head and Neck Specialized Programs of Research Excellence (SPORE) Developmental Research Program Award (P50 CA097007. Dr. Fuller has received direct industry grant support and travel funding from Elekta AB. Mr King was supported by an NIH T32 training grant, grant #T32EB007507.</t>
  </si>
  <si>
    <t>10.1088/1361-6560/ab2f13</t>
  </si>
  <si>
    <t>WOS:000484728400003</t>
  </si>
  <si>
    <t>Turtos, RM; Gundacker, S; Auffray, E; Lecoq, P</t>
  </si>
  <si>
    <t>Turtos, R. M.; Gundacker, S.; Auffray, E.; Lecoq, P.</t>
  </si>
  <si>
    <t>Towards a metamaterial approach for fast timing in PET: experimental proof-of-concept</t>
  </si>
  <si>
    <t>fast timing; scintillators-based detectors; TOF-PET</t>
  </si>
  <si>
    <t>SEMICONDUCTOR NANOCRYSTALS; ZNO</t>
  </si>
  <si>
    <t>Achieving fast timing in positron emission tomography (PET) at the level of few tens of picoseconds of picoseconds is limited by the photon emission rate of existent materials with standard scintillation mechanisms. This has led to consider quantum confined excitonic sub-1 ns emission in semiconductors as a viable solution to enhance the amount of fast-emitted photons produced per gamma event. However the introduction of nanocrystals and nanostructures into the domain of radiation detectors is a challenging problem. In order to move forward along this line, the standard bulk detector geometry and readout should be updated to allow for the implementation of new materials and within others, compensate for some of their intrinsic limitations. In this paper we will cover two study cases in which a fast emitter is combined with state-of-the-art scintillators in a sampling geometry designed to provide better timing for a fraction of the 511 keV events. For this test, we use a fast plastic scintillator BC-422 able to deliver a detector time resolution (DTR) of 25 ps FWHM (equivalent coincidence time resolution CTR of 35 ps) and we combined it with LYSO or BGO 200 mu m thick plates building a sampling pixel composed by two active scintillating materials. We develop a new proof of concept readout that allows for the identification of different types of events, carrying standard or improved timing information. Results are showing a DTR of 67 ps FWHM (equivalent to a CTR of 95 ps) for one third of the events depositing 511 keV in the BGO + BC-422 3.8 x 3.8 x 3 mm(3) sampling pixel. The other two third of the 511 keV events perform like standard bulk 3 mm long BGO crystals with a time resolution of around 117 ps (equivalent to a CTR of 165 ps). For the case of LYSO + BC-422 sampling pixel, shared 511 keV events reach a DTR of 39 ps (CTR of 55 ps) in comparison to 57 ps (CTR of 83 ps) for 511 keV events fully contained in LYSO of the same size. This work is a step forward in the integration of fast semiconductor nanocrystals and nanostructures with present detector technologies.</t>
  </si>
  <si>
    <t>[Turtos, R. M.; Gundacker, S.; Auffray, E.; Lecoq, P.] CERN, CH-1211 Geneva 23, Switzerland; [Turtos, R. M.; Gundacker, S.; Auffray, E.; Lecoq, P.] Univ Milano Bicocca, Piazza Ateneo Nuovo 1, I-20126 Milan, Italy</t>
  </si>
  <si>
    <t>European Organization for Nuclear Research (CERN); University of Milano-Bicocca</t>
  </si>
  <si>
    <t>Turtos, RM (通訊作者)， CERN, CH-1211 Geneva 23, Switzerland.;Turtos, RM (通訊作者)， Univ Milano Bicocca, Piazza Ateneo Nuovo 1, I-20126 Milan, Italy.</t>
  </si>
  <si>
    <t>rosana.martinez.turtos@cern.ch</t>
  </si>
  <si>
    <t>TURTOS, ROSANA/AAR-2752-2020; Gundacker, Stefan/FBD-4491-2022; LECOQ, Paul/S-7246-2019</t>
  </si>
  <si>
    <t>MARTINEZ TURTOS, ROSANA/0000-0002-1077-4849; Gundacker, Stefan/0000-0003-2087-3266</t>
  </si>
  <si>
    <t>ERC Advanced Grant [338953]; COST Action [TD1401]; ASCIMAT project [690599]</t>
  </si>
  <si>
    <t>ERC Advanced Grant; COST Action(European Cooperation in Science and Technology (COST)); ASCIMAT project</t>
  </si>
  <si>
    <t>This research has been supported by the ERC Advanced Grant no. 338953 (TICAL, P I Paul Lecoq) and carried out in the frame of Crystal Clear collaboration, COST Action TD1401 and the ASCIMAT project under grant agreement 690599. The authors would like to express their gratitude to Dominique Deyrail from CERN EP-CMX-DA for the preparation of the BC-422 tiles.</t>
  </si>
  <si>
    <t>10.1088/1361-6560/ab18b3</t>
  </si>
  <si>
    <t>WOS:000487116400007</t>
  </si>
  <si>
    <t>Yang, R; Santos, DM; Fallone, BG; St-Aubin, J</t>
  </si>
  <si>
    <t>Yang, R.; Santos, D. M.; Fallone, B. G.; St-Aubin, J.</t>
  </si>
  <si>
    <t>A novel transport sweep architecture for efficient deterministic patient dose calculations in MRI-guided radiotherapy</t>
  </si>
  <si>
    <t>linear Boltzmann transport equation; magnetic fields; dose calculation; MRI guided radiotherapy; transport sweep; grid based Boltzmann solver</t>
  </si>
  <si>
    <t>MAGNETIC-FIELDS; EQUATION; SYSTEM</t>
  </si>
  <si>
    <t>Accurate and efficient patient dose calculations are essential for treatment planning in magnetic resonance imaging guided radiotherapy (MRIgRT). Achieving reasonable performance for a space-angle discontinuous finite element method (DFEM) grid based Boltzmann solver (GBBS) with magnetic fields for clinical MRIgRT applications largely depends on how the transport sweep is orchestrated. Compared to classical Discrete Ordinates, DFEM in angle introduces increased angular degrees of freedom and eliminates ray-effect artifacts. However, the inclusion of magnetic fields introduces additional serial dependencies such that parallelization of the space-angle transport sweeps becomes more challenging. Novel techniques for the transport sweep and right-hand source assembly are developed, predicated on limiting the number of bulk material densities modeled in the transport sweep scatter calculations. Specifically, k-means clustering is used to assign sub-intervals of mass-density for each spatial element to execute the scatter-dose calculations using batched multiplication by pre-inverted transport sweep matrices. This is shown to be two orders of magnitude more efficient than solving each elemental system individually at runtime. Even with discrete material densities used in the transport sweep scatter calculations, accuracy is maintained by optimizing the material density assignments using k-means clustering, and by performing the primary photon fluence calculations (ray-tracing) using the underlying continuous density of the computed tomography (CT) image. In the presence of 0.5 T parallel and 1.5 T perpendicular magnetic fields, this approach demonstrates high levels of accuracy with gamma 1%/1 mm passing rates exceeding 94% across a range of anatomical sites compared to GEANT4 Monte Carlo dose calculations which used continuous densities. This deterministic GBBS approach maintains unconditional stability, produces no ray-effect artifacts, and has the benefit of no statistical uncertainty. Runtime on a non-parallelized Matlab implementation averaged 10 min per beam averaging 80 000 spatial elements, paving way for future development based on this algorithmically efficient paradigm.</t>
  </si>
  <si>
    <t>[Yang, R.; Fallone, B. G.; St-Aubin, J.] Univ Alberta, Dept Oncol, 11560 Univ Ave, Edmonton, AB T6G 1Z2, Canada; [Santos, D. M.; Fallone, B. G.] Cross Canc Inst, Dept Med Phys, 11560 Univ Ave, Edmonton, AB T6G 1Z2, Canada; [St-Aubin, J.] Univ Iowa, Dept Radiat Oncol, 200 Hawkins Dr, Iowa City, IA 52242 USA</t>
  </si>
  <si>
    <t>University of Alberta; University of Alberta; University of Iowa</t>
  </si>
  <si>
    <t>St-Aubin, J (通訊作者)， Univ Alberta, Dept Oncol, 11560 Univ Ave, Edmonton, AB T6G 1Z2, Canada.;St-Aubin, J (通訊作者)， Univ Iowa, Dept Radiat Oncol, 200 Hawkins Dr, Iowa City, IA 52242 USA.</t>
  </si>
  <si>
    <t>joel-st-aubin@uiowa.edu</t>
  </si>
  <si>
    <t>; St-Aubin, Joel/L-9513-2019; yang, ray/HPE-4063-2023</t>
  </si>
  <si>
    <t>St-Aubin, Joel/0000-0001-9356-8567; Fallone, B. Gino/0000-0002-4402-937X; Yang, Ray/0000-0002-8118-7836</t>
  </si>
  <si>
    <t>Alberta Innovates Health Solutions (AIHS); Natural Sciences &amp; Engineering Research Council (NSERC)</t>
  </si>
  <si>
    <t>Alberta Innovates Health Solutions (AIHS); Natural Sciences &amp; Engineering Research Council (NSERC)(Natural Sciences and Engineering Research Council of Canada (NSERC))</t>
  </si>
  <si>
    <t>This work is funded by Alberta Innovates Health Solutions (AIHS) and the Natural Sciences &amp; Engineering Research Council (NSERC). Special thanks to Brad Murray for advising on treatment planning and patient export from AriaRO.</t>
  </si>
  <si>
    <t>10.1088/1361-6560/ab35bc</t>
  </si>
  <si>
    <t>WOS:000487116400001</t>
  </si>
  <si>
    <t>Aliotta, E; Nourzadeh, H; Siebers, J</t>
  </si>
  <si>
    <t>Aliotta, Eric; Nourzadeh, Hamidreza; Siebers, Jeffrey</t>
  </si>
  <si>
    <t>Quantifying the dosimetric impact of organ-at-risk delineation variability in head and neck radiation therapy in the context of patient setup uncertainty</t>
  </si>
  <si>
    <t>uncertainty in radiation therapy; delineation variability; robustness analysis</t>
  </si>
  <si>
    <t>TARGET VOLUME; QUALITY-ASSURANCE; CANCER PATIENTS; RADIOTHERAPY; PROSTATE; IMMOBILIZATION; ERRORS; SEGMENTATION; SYSTEM; MASK</t>
  </si>
  <si>
    <t>The purpose of this study was to quantify the potential dosimetric impact of delineation variability (DV) in head and neck radiation therapy (RT) when inherent patient setup variability (SV) is also considered. The impact of DV was assessed by generating plans with multiple structure sets, cross-evaluating them, including SV, across sets, and determining P-PQM: the probability of achieving organ-specific plan quality metrics (PQM). DV was incorporated by: (1) using multiple organ at risk (OAR) structure sets delineated by independent manual observers; and (2) randomly perturbing manually generated OARS to generate alternatives with varying levels of uncertainty (low, medium, and high DV). For each structure set, independent VMAT plans were auto-generated to meet clinical PQMs. Each plan was cross-evaluated using OARs from multiple structure sets with simulated SV including per-fraction random (sigma(s)) and per-treatment-course systematic (Sigma(s)) setup errors. The dosimetric impact of DV was assessed by examining P-PQM with and without SV/DV. Clinically significant differences were defined by those that exceeded differences caused by a +2% output variation. Without including SV, simulated DV at the medium level reduced P-PQM by an average of 5.5% for all OARS with D-max PQMs. This reduction decreased to 2.8% for SV = 2 mm and 2.4% for SV = 4 mm (the average P-PQM reduction due to 2% output errors was 2.7%). For OARs with D-mean PQMs, the average P-PQM reduction was 0.9% for SV = 0 and &lt;= 0.1% for SV &gt;= 2 mm. The effect of DV was larger for OARs that directly abutted a target volume than for those that did not. These trends were also observed with real DV from multi-observer delineations. The dosimetric impact of DV appeared to decrease when random and systematic SV was considered. Sensitivity to DV was affected by OAR objective type (i.e. D-mean versus D-max objectives) as well as distance from the target volume.</t>
  </si>
  <si>
    <t>[Aliotta, Eric; Nourzadeh, Hamidreza; Siebers, Jeffrey] Univ Virginia, Dept Radiat Oncol, Charlottesville, VA 22908 USA; [Aliotta, Eric; Nourzadeh, Hamidreza; Siebers, Jeffrey] Univ Virginia, Radiol Phys, 1335 Lee St,Box 800375, Charlottesville, VA 22908 USA</t>
  </si>
  <si>
    <t>University of Virginia; University of Virginia</t>
  </si>
  <si>
    <t>Aliotta, E (通訊作者)， Univ Virginia, Dept Radiat Oncol, Charlottesville, VA 22908 USA.;Aliotta, E (通訊作者)， Univ Virginia, Radiol Phys, 1335 Lee St,Box 800375, Charlottesville, VA 22908 USA.</t>
  </si>
  <si>
    <t>eric.aliotta@virginia.edu</t>
  </si>
  <si>
    <t>Nourzadeh, Hamidreza/0000-0002-1686-4466; Siebers, Jeffrey/0000-0002-9949-2863</t>
  </si>
  <si>
    <t>NIH [R01CA222216]</t>
  </si>
  <si>
    <t>The authors thank the ESTRO Falcon project team and Scott Kaylor of EduCase for the multi-delineator contour data presented in this work. This work was supported by NIH R01CA222216.</t>
  </si>
  <si>
    <t>10.1088/1361-6560/ab205c</t>
  </si>
  <si>
    <t>WOS:000474396800006</t>
  </si>
  <si>
    <t>Vejdani-Noghreiyan, A; Ebrahirni-Khankook, A</t>
  </si>
  <si>
    <t>Vejdani-Noghreiyan, Alireza; Ebrahirni-Khankook, Atiyeh</t>
  </si>
  <si>
    <t>An age-dependent series of eye models for radiation dosimetry</t>
  </si>
  <si>
    <t>age-dependent eye model; dose conversion coefficient; MCNP; electron</t>
  </si>
  <si>
    <t>DOSE CONVERSION COEFFICIENTS; RADIOSURGERY; INCIDENT; ADULT; ANGLE; LENS</t>
  </si>
  <si>
    <t>Several studies have been appeared, up to now, that indicate the effect of accurate simulation on dose received by different substructures of the eye, irradiated by external beams of short-range radiation such as electron. Different representations of the eye have consequently been introduced. Their accuracies depend on the purpose for which models are described or the degree of accuracy of information that models are based upon. All of developed models have presented the eye of an adult human, while the size, shape, and thickness of the eye substructures change with age. This work offers a series of age-dependent eye models including five models of different ages to investigate the influence of the individual age on doses to eye substructures. The absorbed dose conversion coefficients were calculated using Monte Carlo MCNP code for 17 monoenergetic broad electron beams in the range of 100 keV to 10 MeV and for 0 degrees, 30 degrees and 45 degrees angles of incidence. Results showed the strong dependency of sclera and iris doses to the age (PDD above 10(5)), for low-energies electrons. Increasing the electron energy, the PDD decreases severely for these substructure which means dose fluctuation in the age-dependent eye models reduces. For higher energies, dose fluctuations due to age become small and for some substructures could be negligible.</t>
  </si>
  <si>
    <t>[Vejdani-Noghreiyan, Alireza; Ebrahirni-Khankook, Atiyeh] Univ Neyshabur, Phys Dept, Fac Sci, Neyshabur, Iran</t>
  </si>
  <si>
    <t>Vejdani-Noghreiyan, A (通訊作者)， Univ Neyshabur, Phys Dept, Fac Sci, Neyshabur, Iran.</t>
  </si>
  <si>
    <t>vejdani_ir@yahoo.com</t>
  </si>
  <si>
    <t>Noghreiyan, Alireza/P-1222-2019</t>
  </si>
  <si>
    <t>Ebrahimi-Khankook, Atiyeh/0000-0003-2226-9732; Vejdani Noghreiyan, Alireza/0000-0002-3476-0812</t>
  </si>
  <si>
    <t>10.1088/1361-6560/ab2059</t>
  </si>
  <si>
    <t>WOS:000473698800004</t>
  </si>
  <si>
    <t>Akinci, MN; Çayören, M; Göse, E</t>
  </si>
  <si>
    <t>Akinci, Mehmet Nuri; Cayoren, Mehmet; Gose, Ersin</t>
  </si>
  <si>
    <t>Qualitative microwave imaging of breast cancer with contrast agents</t>
  </si>
  <si>
    <t>breast cancer; microwave imaging; contrast agent</t>
  </si>
  <si>
    <t>LINEAR SAMPLING METHOD; DIELECTRIC-PROPERTIES; RECONSTRUCTION; TISSUES</t>
  </si>
  <si>
    <t>A microwave imaging (MWI) methodology for early diagnosis of breast cancer is presented. Instead of generating a tomographic image of the breast, the proposed technique aims to reconstruct a map of malignant tumours inside the breast by adopting an extended form of factorization method. The implementation of factorization method requires (i) two multi-static scattered field measurements around the breast, which correspond to two different states of the breast, and (ii) the inhomogeneous Green's function associated to the breast. For this purpose, the paper proposes the use of contrast agents, which selectively increase the dielectric properties of the malign tissues. Two multi-static field measurements are collected before and after the administration of contrast agents. Later, the inhomogeneous Green's function of the breast is estimated by back-propagating the scattered field measurements, which are taken before the contrast agent usage. The feasibility and efficiency of the proposed technique are demonstrated with numerical examples that are performed on a slice of the realistic breast phantoms, which are derived from real three dimensional magnetic resonance imaging (3D-MRI) measurements.</t>
  </si>
  <si>
    <t>[Akinci, Mehmet Nuri; Cayoren, Mehmet] Istanbul Tech Univ, Elect &amp; Elect Fac, TR-34467 Istanbul, Turkey; [Gose, Ersin] Turkish Natl Def Univ, 4 Levent, TR-34334 Istanbul, Turkey</t>
  </si>
  <si>
    <t>Istanbul Technical University</t>
  </si>
  <si>
    <t>Göse, E (通訊作者)， Turkish Natl Def Univ, 4 Levent, TR-34334 Istanbul, Turkey.</t>
  </si>
  <si>
    <t>egose@msu.edu.tr</t>
  </si>
  <si>
    <t>Çayören, Mehmet/ABB-3603-2020; AKINCI, Mehmet/O-4056-2015</t>
  </si>
  <si>
    <t>GOSE, ERSIN/0000-0001-8428-2380; Cayoren, Mehmet/0000-0003-2717-3561</t>
  </si>
  <si>
    <t>Scientific and Technological Research Council of Turkey (TUBITAK) [216S415]</t>
  </si>
  <si>
    <t>Scientific and Technological Research Council of Turkey (TUBITAK)(Turkiye Bilimsel ve Teknolojik Arastirma Kurumu (TUBITAK))</t>
  </si>
  <si>
    <t>This work is supported by The Scientific and Technological Research Council of Turkey (TUBITAK) under the project 216S415.</t>
  </si>
  <si>
    <t>10.1088/1361-6560/ab1ce9</t>
  </si>
  <si>
    <t>WOS:000470205600002</t>
  </si>
  <si>
    <t>Tendler, II; Bruza, P; Jermyn, M; Cao, X; Williams, BB; Jarvis, LA; Pogue, BW; Gladstone, DJ</t>
  </si>
  <si>
    <t>Tendler, Irwin I.; Bruza, Petr; Jermyn, Mike; Cao, Xu; Williams, Benjamin B.; Jarvis, Lesley A.; Pogue, Brian W.; Gladstone, David J.</t>
  </si>
  <si>
    <t>Characterization of a non-contact imaging scintillator-based dosimetry system for total skin electron therapy</t>
  </si>
  <si>
    <t>surface dosimetry; scintillator; optical imaging; optical imaging; non-contact; remote</t>
  </si>
  <si>
    <t>DETECTOR; PHOTON; PROTON; BEAM</t>
  </si>
  <si>
    <t>Surface dosimetry is required for ensuring effective administration of total skin electron therapy (TSET); however, its use is often reduced due to the time consuming and complex nature of acquisition. A new surface dose imaging technique was characterized in this study and found to provide accurate, rapid and remote measurement of surface doses without the need for postexposure processing. Disc-shaped plastic scintillators (1 mm thick x 15 mm (sic)) were chosen as optimal-sized samples and designed to attach to a flat-faced phantom for irradiation using electron beams. Scintillator dosimeter response to radiation damage, dose rate, and temperature were studied. The effect of varying scintillator diameter and thickness on light output was evaluated. Furthermore, the scintillator emission spectra and impact of dosimeter thickness on surface dose were also quantified. Since the scintillators were custom-machined, dosimeter-to-dosimeter variation was tested. Scintillator surface dose measurements were compared to those obtained by optically stimulated luminescence dosimeters (OSLD). Light output from scintillator dosimeters evaluated in this study was insensitive to radiation damage, temperature, and dose rate. Maximum wavelength of emission was found to be 422 nm. Dose reported by scintillators was linearly related to that from OSLDs. Build-up from placement of scintillators and OSLDs had a similar effect on surface dose (4.9% increase).Variation among scintillator dosimeters was found to be 0.3 +/- 0.2%. Scintillator light output increased linearly with dosimeter thickness (similar to 1.9 x /mm). All dosimeter diameters tested were able to accurately measure surface dose. Scintillator dosimeters can potentially improve surface dosimetry-associated workflow for TSET in the radiation oncology clinic. Since scintillator data output can be automatically recorded to a patient medical record, the chances of human error in reading out and recording surface dose are minimized.</t>
  </si>
  <si>
    <t>[Tendler, Irwin I.; Bruza, Petr; Jermyn, Mike; Cao, Xu; Williams, Benjamin B.; Pogue, Brian W.; Gladstone, David J.] Dartmouth Coll, Thayer Sch Engn, Hanover, NH 03755 USA; [Jermyn, Mike; Pogue, Brian W.] DoseOptics LLC, Lebanon, NH USA; [Williams, Benjamin B.; Jarvis, Lesley A.; Gladstone, David J.] Dartmouth Coll, Dept Med, Geisel Sch Med, Hanover, NH 03755 USA; [Williams, Benjamin B.; Jarvis, Lesley A.; Pogue, Brian W.; Gladstone, David J.] Dartmouth Hitchcock Med Ctr, Norris Cotton Canc Ctr, Lebanon, NH 03766 USA</t>
  </si>
  <si>
    <t>Dartmouth College; Dartmouth College; Dartmouth College; Norris Cotton Cancer Center</t>
  </si>
  <si>
    <t>Gladstone, DJ (通訊作者)， Dartmouth Coll, Thayer Sch Engn, Hanover, NH 03755 USA.;Gladstone, DJ (通訊作者)， Dartmouth Coll, Dept Med, Geisel Sch Med, Hanover, NH 03755 USA.;Gladstone, DJ (通訊作者)， Dartmouth Hitchcock Med Ctr, Norris Cotton Canc Ctr, Lebanon, NH 03766 USA.</t>
  </si>
  <si>
    <t>david.gladstone@hitchcock.org</t>
  </si>
  <si>
    <t>Pogue, Brian/AAD-8114-2020; Bruza, Petr/P-5371-2016; Cao, Xu/M-9944-2013</t>
  </si>
  <si>
    <t>Gladstone, David/0000-0002-4086-0297; Bruza, Petr/0000-0002-6196-5872; Tendler, Irwin/0000-0001-7535-264X</t>
  </si>
  <si>
    <t>NIH [R44 CA199836, R01 EB023909, P30 CA023106]</t>
  </si>
  <si>
    <t>This work was sponsored by NIH grants R44 CA199836, R01 EB023909, and P30 CA023106.</t>
  </si>
  <si>
    <t>10.1088/1361-6560/ab1d8a</t>
  </si>
  <si>
    <t>WOS:000518929800004</t>
  </si>
  <si>
    <t>Damion, RA; Knight, MJ; McGarry, BL; Bosnell, R; Jezzard, P; Harston, GWJ; Carone, D; Kennedy, J; El-Tawil, S; Elliot, J; Muir, KW; Clatworthy, P; Kauppinen, RA</t>
  </si>
  <si>
    <t>Damion, Robin A.; Knight, Michael J.; McGarry, Bryony L.; Bosnell, Rose; Jezzard, Peter; Harston, George W. J.; Carone, Davide; Kennedy, James; El-Tawil, Salwa; Elliot, Jennifer; Muir, Keith W.; Clatworthy, Philip; Kauppinen, Risto A.</t>
  </si>
  <si>
    <t>Quantifying T2 relaxation time changes within lesions defined by apparent diffusion coefficient in grey and white matter in acute stroke patients</t>
  </si>
  <si>
    <t>magnetic resonance imaging; T-2 relaxation time; diffusion MRI; acute stroke</t>
  </si>
  <si>
    <t>ACUTE-ISCHEMIC-STROKE; CEREBRAL-ISCHEMIA; SYMPTOM ONSET; BRAIN; RAT; MRI; MODEL; THRESHOLDS; PREDICT; GRAY</t>
  </si>
  <si>
    <t>The apparent diffusion coefficient (ADC) of cerebral water, as measured by diffusion MRI, rapidly decreases in ischaemia, highlighting a lesion in acute stroke patients. The MRI T-2 relaxation time changes in ischaemic brain such that T-2 in ADC lesions may be informative of the extent of tissue damage, potentially aiding in stratification for treatment. We have developed a novel user-unbiased method of determining the changes in T-2 in ADC lesions as a function of clinical symptom duration based on voxel-wise referencing to a contralateral brain volume. The spherical reference method calculates the most probable pre-ischaemic T-2 on a voxel-wise basis, making use of features of the contralateral hemisphere presumed to be largely unaffected. We studied whether T-2 changes in the two main cerebral tissue types, i.e. in grey matter (GM) and white matter (WM), would differ in stroke. Thirty-eight acute stroke patients were accrued within 9 h of symptom onset and scanned at 3 T for 3D T-1-weighted, multi b-value diffusion and multi-echo spin echo MRI for tissue type segmentation, quantitative ADC and absolute T-2 images, respectively. T-2 changes measured by the spherical reference method were 1.94 +/- 0.61, 1.50 +/- 0.52 and 1.40 +/- 0.54 ms h(-1) in the whole, GM, and WM lesions, respectively. Thus, T-2 time courses were comparable between GM and WM independent of brain tissue type involved. We demonstrate that T-2 changes in ADC-delineated lesions can be quantified in the clinical setting in a user unbiased manner and that T-2 change correlated with symptom onset time, opening the possibility of using the approach as a tool to assess severity of tissue damage in the clinical setting.</t>
  </si>
  <si>
    <t>[Damion, Robin A.; Knight, Michael J.; McGarry, Bryony L.; Kauppinen, Risto A.] Univ Bristol, Sch Psychol Sci, 12a Priory Rd, Bristol BS8 1TU, Avon, England; [Bosnell, Rose; Clatworthy, Philip] North Bristol NHS Trust, Southmead Hosp, Stroke Neurol, Bristol, Avon, England; [Jezzard, Peter] Univ Oxford, Oxford Ctr Funct MRI Brain, Nuffield Dept Clin Sci, Oxford, England; [Harston, George W. J.; Carone, Davide; Kennedy, James] Univ Oxford, Radcliffe Dept Med, Acute Stroke Programme, Oxford, England; [El-Tawil, Salwa; Elliot, Jennifer; Muir, Keith W.] Univ Glasgow, Queen Elizabeth Univ Hosp, Inst Neurosci &amp; Psychol, Glasgow, Lanark, Scotland</t>
  </si>
  <si>
    <t>University of Bristol; North Bristol NHS Trust; Southmead Hospital; University of Oxford; University of Oxford; Queen Elizabeth University Hospital (QEUH); University of Glasgow</t>
  </si>
  <si>
    <t>Kauppinen, RA (通訊作者)， Univ Bristol, Sch Psychol Sci, 12a Priory Rd, Bristol BS8 1TU, Avon, England.</t>
  </si>
  <si>
    <t>psrak@bristol.ac.uk</t>
  </si>
  <si>
    <t>Kennedy, James/LRC-6812-2024; Clatworthy, Phil/E-5288-2010; Clatworthy, Philip/E-5288-2010; McGarry, Bryony/ABF-8600-2021; Muir, Keith/A-7670-2011; Damion, Robin/W-1526-2019</t>
  </si>
  <si>
    <t>Clatworthy, Philip/0000-0002-1206-3573; McGarry, Bryony/0000-0002-8784-2109; Bosnell, Rose/0009-0006-6401-1384; Damion, Robin/0000-0003-2630-9914; Carone, Davide/0000-0002-1646-6089; Harston, George/0000-0003-4916-5757; Jezzard, Peter/0000-0001-7912-2251</t>
  </si>
  <si>
    <t>Dunhill Medical Trust [R385/1114, OSRP1/1006]; National Institute for Health Research Oxford Biomedical Centre Programme; National Institute for Health Research Clinical Research Network (NIHR CRN); Wellcome Trust Institutional Strategic Support Fund [20152015]; Stroke Association [TSA15LECT03] Funding Source: researchfish; The Dunhill Medical Trust [R385/1114] Funding Source: researchfish</t>
  </si>
  <si>
    <t>Dunhill Medical Trust(Dunhill Medical Trust); National Institute for Health Research Oxford Biomedical Centre Programme; National Institute for Health Research Clinical Research Network (NIHR CRN); Wellcome Trust Institutional Strategic Support Fund(Wellcome Trust); Stroke Association; The Dunhill Medical Trust(Dunhill Medical Trust)</t>
  </si>
  <si>
    <t>The study is funded by the Dunhill Medical Trust (grants R385/1114 and OSRP1/1006). Support by the National Institute for Health Research Oxford Biomedical Centre Programme, the National Institute for Health Research Clinical Research Network (NIHR CRN), and the Wellcome Trust Institutional Strategic Support Fund (20152015) are acknowledged. We wish to acknowledge the facilities provided by Oxford Acute Vascular Imaging Centre.</t>
  </si>
  <si>
    <t>10.1088/1361-6560/ab1442</t>
  </si>
  <si>
    <t>Green Accepted, Green Published, Green Submitted</t>
  </si>
  <si>
    <t>WOS:000466572600003</t>
  </si>
  <si>
    <t>Zhang, YW; Yin, FF; Ren, L</t>
  </si>
  <si>
    <t>Zhang, Yawei; Yin, Fang-Fang; Ren, Lei</t>
  </si>
  <si>
    <t>First clinical retrospective investigation of limited projection CBCT for lung tumor localization in patients receiving SBRT treatment</t>
  </si>
  <si>
    <t>intrafraction verification; tumor localization; image acquisition optimization; free-form deformation; low dose 4D CBCT</t>
  </si>
  <si>
    <t>BEAM COMPUTED-TOMOGRAPHY; PRIOR INFORMATION; INTRAFRACTION; 4D-CBCT; VERIFICATION; RADIOTHERAPY</t>
  </si>
  <si>
    <t>To clinically investigate the limited-projection CBCT (LP-CBCT) technology for daily positioning of patients receiving breath-hold lung SBRT radiation treatment and to investigate the feasibility of reconstructing fast 4D-CBCT from 1 min 3D-CBCT scan. Eleven patients who underwent breath-hold lung SBRT radiation treatment were scanned daily with on-board full-projection CBCT (CBCT) using half-fan scan. A subset of the CBCT projections and the prior planning CT were used to estimate the LP-CBCT images using the weighted free-form deformation method. The limited projections are clusteringly sampled within fifteen sub-angles in 360 degrees in order to simulate the fast 1 min scan for 4D-CBCT. The estimated LP-CBCTs were rigidly registered to the planning CT to determine the clinical shifts needed for patient setup corrections, which were compared with shifts determined by the CBCT for evaluation. Both manual and automatic registrations were performed in order to compare the systematic registration errors. Fifty CBCT volumes were obtained from the eleven patients in fifty fractions for this pilot clinical study. For the CBCT images, the mean (+/- standard deviation) shifts between CBCT and planning CT from manual registration in left-right (LR), anterior-posterior (AP), and superior-inferior (SI) directions are 1.1 +/- 1.2 mm, 2.1 +/- 1.9 mm, 5.2 +/- 3.6 mm, respectively. The mean deviation difference between shifts determined by CBCT and LP-CBCT images are 0.3 +/- 0.5 mm, 0.5 +/- 0.8 mm, 0.4 +/- 0.3 mm, in LR, AP, and SI directions, respectively. The mean vector length of CBCT shift for all fractions is 6.1 +/- 3.6 mm, and the mean vector length difference between CBCT and LP-CBCT for all fractions studied is 1.0 +/- 0.9 mm. The automatic registrations yield similar results as manual registrations. The pilot clinical study shows that LP-CBCT localization offers comparable accuracy to CBCT localization for daily tumor positioning while reducing the projection number to 1/10 for patients receiving breath hold lung radiation treatment. The cluster projection sampling in this study also shows the feasibility of reconstructing fast 4D-CBCT from 1 min 3D-CBCT scan.</t>
  </si>
  <si>
    <t>[Zhang, Yawei; Yin, Fang-Fang; Ren, Lei] Duke Univ, Med Ctr, Dept Radiat Oncol, DUMC Box 3295, Durham, NC 27710 USA; [Yin, Fang-Fang; Ren, Lei] Duke Univ, Med Phys Grad Program, 2424 Erwin Rd Suite 101, Durham, NC 27705 USA; [Yin, Fang-Fang] Duke Kunshan Univ, Med Phys Grad Program, 8 Duke Ave, Kunshan 215316, Jiangsu, Peoples R China</t>
  </si>
  <si>
    <t>Duke University; Duke University; Duke Kunshan University</t>
  </si>
  <si>
    <t>Ren, L (通訊作者)， Duke Univ, Med Ctr, Dept Radiat Oncol, DUMC Box 3295, Durham, NC 27710 USA.;Ren, L (通訊作者)， Duke Univ, Med Phys Grad Program, 2424 Erwin Rd Suite 101, Durham, NC 27705 USA.</t>
  </si>
  <si>
    <t>Lei.Ren@duke.edu</t>
  </si>
  <si>
    <t>Yin, Fang-Fang/0000-0002-2025-4740</t>
  </si>
  <si>
    <t>National Institutes of Health [R01-CA184173]</t>
  </si>
  <si>
    <t>This work was supported by the National Institutes of Health under Grant No R01-CA184173.</t>
  </si>
  <si>
    <t>10.1088/1361-6560/ab1c0c</t>
  </si>
  <si>
    <t>HX5TF</t>
  </si>
  <si>
    <t>WOS:000467465600001</t>
  </si>
  <si>
    <t>Gregory, RA; Murray, I; Gear, J; Leek, F; Chittenden, S; Fenwick, A; Wevrett, J; Scuffham, J; Tipping, J; Murby, B; Jeans, S; Stuffins, M; Michopoulou, S; Guy, M; Morgan, D; Hallam, A; Hall, D; Polydor, H; Brown, C; Gillen, G; Dickson, N; Brown, S; Wadsley, J; Flux, G</t>
  </si>
  <si>
    <t>Gregory, Rebecca A.; Murray, Iain; Gear, Jonathan; Leek, Francesca; Chittenden, Sarah; Fenwick, Andrew; Wevrett, Jill; Scuffham, James; Tipping, Jill; Murby, Brian; Jeans, Steve; Stuffins, Martha; Michopoulou, Sofia; Guy, Matthew; Morgan, Darren; Hallam, Aida; Hall, David; Polydor, Heather; Brown, Colin; Gillen, Gerry; Dickson, Nathan; Brown, Sarah; Wadsley, Jonathan; Flux, Glenn</t>
  </si>
  <si>
    <t>Standardised quantitative radioiodine SPECT/CT Imaging for multicentre dosimetry trials in molecular radiotherapy</t>
  </si>
  <si>
    <t>molecular radiotherapy; radioiodine; dosimetry</t>
  </si>
  <si>
    <t>DIFFERENTIATED THYROID-CANCER; PROCEDURE GUIDELINES; THERAPY; DEADTIME; TOMOGRAPHY; COLLIMATOR; PLANAR</t>
  </si>
  <si>
    <t>The SEL-I-METRY trial (EudraCT No 2015-002269-47) is the first multicentre trial to investigate the role of I-123 and I-131 SPECT/CT-based tumour dosimetry to predict response to radioiodine therapy. Standardised dosimetry methodology is essential to provide a robust evidence-base for absorbed dose-response thresholds for molecular radiotherapy (MRT). In this paper a practical standardised protocol is used to establish the first network of centres with consistent methods of radioiodine activity quantification. Nine SPECT/CT systems at eight centres were set-up for quantitative radioiodine imaging. The dead-time of the systems was characterised for up to 2.8 GBq I-131. Volume dependent calibration factors were measured on centrally reconstructed images of I-123 and I-131 in six (0.8-196 ml) cylinders. Validation of image quantification using these calibration factors was performed on three systems, by imaging a 3D-printed phantom mimicking a patient's activity distribution. The percentage differences between the activities measured in the SPECT/CT image and those measured by the radionuclide calibrator were calculated. Additionally uncertainties on the SPECT/CT-based activities were calculated to indicate the limit on the quantitative accuracy of this method. For systems set-up to image high I-131 count rates, the count rate versus activity did not peak below 2.8 GBq and fit a non-paralysable model. The dead-times and volume-dependent calibration factors were comparable between systems of the same model and crystal thickness. Therefore a global calibration curve could be fitted to each. The errors on the validation phantom activities' were comparable to the measurement uncertainties derived from uncertainty analysis, at 10% and 16% on average for I-123 and I-131 respectively in a 5 cm sphere. In conclusion, the dead-time and calibration factors varied between centres, with different models of system. However, global calibration factors may be applied to the same system model with the same crystal thickness, to simplify set-up of future multi-centre MRT studies.</t>
  </si>
  <si>
    <t>[Gregory, Rebecca A.] Barts Hlth NHS Trust, London, England; [Murray, Iain; Gear, Jonathan; Leek, Francesca; Chittenden, Sarah; Flux, Glenn] Royal Marsden NHS Fdn Trust, Sutton, Surrey, England; [Murray, Iain; Gear, Jonathan; Leek, Francesca; Chittenden, Sarah; Flux, Glenn] Inst Canc Res, Sutton, Surrey, England; [Fenwick, Andrew; Wevrett, Jill] Natl Phys Lab, Teddington, Middx, England; [Wevrett, Jill; Scuffham, James; Stuffins, Martha] Royal Surrey Cty Hosp NHS Fdn Trust, Guildford, Surrey, England; [Wevrett, Jill; Scuffham, James; Stuffins, Martha] Univ Surrey, Guildford, Surrey, England; [Tipping, Jill; Murby, Brian; Jeans, Steve] Christie NHS Fdn Trust, Manchester, Lancs, England; [Michopoulou, Sofia; Guy, Matthew] Univ Hosp Southampton NHS Fdn Trust, Southampton, Hants, England; [Morgan, Darren; Hallam, Aida] Oxford Univ Hosp NHS Fdn Trust, Oxford, England; [Hall, David; Polydor, Heather] Univ Hosp Bristol NHS Fdn Trust, Bristol, Avon, England; [Brown, Colin; Gillen, Gerry] Gartnavel Royal Hosp, Glasgow, Lanark, Scotland; [Dickson, Nathan] Nottingham Univ Hosp NHS Trust, Nottingham, England; [Brown, Sarah] Univ Leeds, Leeds, W Yorkshire, England; [Wadsley, Jonathan] Weston Pk Hosp, Sheffield, S Yorkshire, England</t>
  </si>
  <si>
    <t>Barts Health NHS Trust; Royal Marsden NHS Foundation Trust; University of London; Institute of Cancer Research - UK; National Physical Laboratory - UK; Royal Surrey County Hospital; University of Surrey; Christie NHS Foundation Trust; University of Southampton; University Hospital Southampton NHS Foundation Trust; Oxford University Hospitals NHS Foundation Trust; University of Bristol; Gartnavel Royal Hospital; Nottingham University Hospital NHS Trust; University of Leeds; Weston Park Hospital</t>
  </si>
  <si>
    <t>Gregory, RA (通訊作者)， Barts Hlth NHS Trust, London, England.</t>
  </si>
  <si>
    <t>rebecca.gregory11@nhs.net</t>
  </si>
  <si>
    <t>; Dickinson, Nathan/JZV-7988-2024; Michopoulou, Sofia/ADZ-3289-2022; Gregory, Rebecca/IAP-5226-2023; Fenwick, Andrew/ABF-2231-2020</t>
  </si>
  <si>
    <t>Gear, Jonathan/0000-0002-4292-6149; Leek, Francesca/0000-0003-2919-1894; Guy, Matthew/0000-0002-6818-2010; Flux, Glenn/0000-0003-4743-2276; Dickinson, Nathan/0009-0001-8809-7147; Brown, Sarah/0000-0002-7975-7537; Michopoulou, Sofia/0000-0003-1974-8388; wadsley, jonathan/0000-0002-1499-1277; Gregory, Rebecca/0000-0003-1264-2855; Scuffham, James/0000-0002-0492-0539;</t>
  </si>
  <si>
    <t>AstraZeneca; Sanofi Genzyme; Euratom research and training programme 2014-2018 [755523]; NHS; MEDIRAD, EC Horizon 2020 NFRP-9; Cancer Research UK Grant; Cancer Research UK [16464, 18349] Funding Source: researchfish</t>
  </si>
  <si>
    <t>AstraZeneca(AstraZeneca); Sanofi Genzyme(Sanofi-AventisGenzyme Corporation); Euratom research and training programme 2014-2018; NHS; MEDIRAD, EC Horizon 2020 NFRP-9; Cancer Research UK Grant(Cancer Research UK); Cancer Research UK(Cancer Research UK)</t>
  </si>
  <si>
    <t>The SEL-I-METRY trial is supported by a Cancer Research UK Grant (trial number CRUK/14/041). GE has provided a discount for 123I used in the study, including for these calibration measurements. This research was also supported by AstraZeneca and Sanofi Genzyme. MEDIRAD, EC Horizon 2020 NFRP-9 have provided further support and MEDIRAD receives funding from the Euratom research and training programme 2014-2018 under grant agreement No 755523. We acknowledge additional NHS funding to the NIHR Biomedical Research Centre and Clinical Research Facility in Imaging at The Royal Marsden and Institute of Cancer Research and the Radiotherapy Trials Quality Assurance Group.</t>
  </si>
  <si>
    <t>10.1088/1361-6560/ab5b6c</t>
  </si>
  <si>
    <t>KB6NK</t>
  </si>
  <si>
    <t>WOS:000506609300001</t>
  </si>
  <si>
    <t>Karimi, F; Attarpour, A; Amirfattahi, R; Nezhad, AZ</t>
  </si>
  <si>
    <t>Karimi, Fariba; Attarpour, Ahmadreza; Amirfattahi, Rassoul; Nezhad, Abolghasem Zeidaabadi</t>
  </si>
  <si>
    <t>Computational analysis of non-invasive deep brain stimulation based on interfering electric fields</t>
  </si>
  <si>
    <t>non-invasive deep brain stimulation; temporally interfering electric fields; optimization algorithm; axon modeling</t>
  </si>
  <si>
    <t>CONDUCTION BLOCK; NERVE-FIBERS</t>
  </si>
  <si>
    <t>Neuromodulation modalities are used as effective treatments for some brain disorders. Non-invasive deep brain stimulation (NDBS) via temporally interfering electric fields has emerged recently as a non-invasive strategy for electrically stimulating deep regions in the brain. The objective of this study is to provide insight into the fundamental mechanisms of this strategy and assess the potential uses of this method through computational analysis. Analytical and numerical methods are used to compute the electric potential and field distributions generated during NDBS in homogeneous and inhomogeneous models of the brain. The computational results are used for specifying the activated area in the brain (macroscopic approach), and quantifying its relationships to the stimulation parameters. Two automatic algorithms, using artificial neural network (ANN), are developed for the homogeneous model with two and four electrode pairs to estimate stimulation parameters. Additionally, the extracellular potentials are coupled to the compartmental axon cable model to determine the responses of the neurons to the modulated electric field in two developed models and to evaluate the precise activated area location (microscopic approach). Our results show that although the shape of the activated area was different in macroscopic and microscopic approaches, it located only at depth. Our optimization algorithms showed significant accuracy in estimating stimulation parameters. Moreover, it demonstrated that the more the electrode pairs, the more controllable the activated area. Finally, compartmental axon cable modeling results verified that neurons can demodulate and follow the electric field modulation envelope amplitude (MEA) in our models. The results of this study help develop the NDBS method and eliminate some limitations associated with the nonautomated optimization algorithm.</t>
  </si>
  <si>
    <t>[Karimi, Fariba; Attarpour, Ahmadreza; Amirfattahi, Rassoul; Nezhad, Abolghasem Zeidaabadi] Isfahan Univ Technol, Dept Elect &amp; Comp Engn, Esfahan 8415683111, Iran</t>
  </si>
  <si>
    <t>Isfahan University of Technology</t>
  </si>
  <si>
    <t>Amirfattahi, R (通訊作者)， Isfahan Univ Technol, Dept Elect &amp; Comp Engn, Esfahan 8415683111, Iran.</t>
  </si>
  <si>
    <t>fattahi@cc.iut.ac.ir</t>
  </si>
  <si>
    <t>; Karimi, Fariba/KHD-3004-2024; Zeidaabadi Nezhad, Abolghasem/AAC-4013-2020</t>
  </si>
  <si>
    <t>Attarpour, Ahmadreza/0000-0001-5890-5740; Karimi, Fariba/0000-0002-2209-7590</t>
  </si>
  <si>
    <t>Cognitive Sciences and Technologies Council of Iran (CSTC) [6843]</t>
  </si>
  <si>
    <t>Cognitive Sciences and Technologies Council of Iran (CSTC)</t>
  </si>
  <si>
    <t>This work has been supported by the Cognitive Sciences and Technologies Council of Iran (CSTC) under Grant No. 6843.</t>
  </si>
  <si>
    <t>10.1088/1361-6560/ab5229</t>
  </si>
  <si>
    <t>KB2VT</t>
  </si>
  <si>
    <t>WOS:000506358600001</t>
  </si>
  <si>
    <t>Kostiukhina, N; Palmans, H; Stock, M; Georg, D; Knäusl, B</t>
  </si>
  <si>
    <t>Kostiukhina, N.; Palmans, H.; Stock, M.; Georg, D.; Knaeusl, B.</t>
  </si>
  <si>
    <t>Dynamic lung phantom commissioning for 4D dose assessment in proton therapy</t>
  </si>
  <si>
    <t>moving targets; proton therapy; 4D dosimetry; lung phantom commissioning</t>
  </si>
  <si>
    <t>ANTHROPOMORPHIC PHANTOMS; BREATHING PHANTOM; DOSIMETRY; POWER; QUANTIFICATION; MOTION; THORAX</t>
  </si>
  <si>
    <t>Anthropomorphic phantoms mimicking organ and tumor motion of patients are essential for end-to-end testing of motion mitigation techniques in ion beam therapy. In this work a commissioning procedure developed with the in-house designed respiratory phantom ARDOS (Advanced Radiation DOSimetry system) is presented. The phantom was tested and benchmarked for 4D dose verification in proton therapy, which included: characterization of the tissue equivalent materials from computed tomography (CT) imaging, assessment of dose calculation accuracy in critical structures of the phantom, and testing various detectors for proton dosimetry in the ARDOS phantom. To prove the validity of the CT calibration curve, measured relative stopping powers (RSP) of the ARDOS materials were compared with values from CTs: original and overwritten with known material parameters. Override of rib- and soft-tissue phantom components improved RSP accuracy while inhomogeneous lung tissue, represented by the balsa wood, was better modelled by the CT Hounsfield units. Monte Carlo (MC) dose calculations were benchmarked against measurements with a reference Farmer chamber embedded in ARDOS material samples showing less than 3% relative dose difference. Differences between MC calculated dose distributions and those calculated by analytical algorithms for the ARDOS geometry were higher than 20% of the prescribed dose, depending on the position in the phantom. Pinpoint ionization chambers and thermoluminescence dosimeters showed differences of up to 5.5% compared to MC dose calculations for all lung setups in the static phantom. They were also able to detect dose distortions due to motion. EBT3 film dosimetry was shown to be suitable for 2D relative dose characterization, which could provide extended information on dose distributions in the penumbra area. The presented methodology and results can be used for drafting general recommendations for dynamic phantom commissioning, which is an essential step towards end-to-end evaluation of motion mitigation techniques in ion beam therapy.</t>
  </si>
  <si>
    <t>[Kostiukhina, N.; Georg, D.; Knaeusl, B.] Med Univ Vienna AKH Vienna, Dept Radiat Oncol, Div Med Radiat Phys, Vienna, Austria; [Kostiukhina, N.; Georg, D.; Knaeusl, B.] Med Univ Vienna, Christian Doppler Lab Med Radiat Res Radiat Oncol, Vienna, Austria; [Palmans, H.; Stock, M.] EBG MedAustron GmbH, Div Med Phys, Wiener Neustadt, Austria; [Palmans, H.] Natl Phys Lab, Med Radiat Sci, Teddington, Middx, England</t>
  </si>
  <si>
    <t>Medical University of Vienna; Medical University of Vienna; EBG MedAustron; National Physical Laboratory - UK</t>
  </si>
  <si>
    <t>Kostiukhina, N (通訊作者)， Med Univ Vienna AKH Vienna, Dept Radiat Oncol, Div Med Radiat Phys, Vienna, Austria.;Kostiukhina, N (通訊作者)， Med Univ Vienna, Christian Doppler Lab Med Radiat Res Radiat Oncol, Vienna, Austria.</t>
  </si>
  <si>
    <t>natalia.kostiukhina@meduniwien.ac.at</t>
  </si>
  <si>
    <t>; Stock, Markus/I-5881-2012; Knäusl, Barbara/AAE-9572-2020; Georg, Dietmar/F-2783-2011; Palmans, Hugo/AAO-8257-2020</t>
  </si>
  <si>
    <t>Palmans, Hugo/0000-0002-0235-5118; Kostiukhina, Natalia/0000-0002-5223-2300; Stock, Markus/0000-0001-7510-7759; Knausl, Barbara/0000-0003-4031-1711; Georg, Dietmar/0000-0002-8327-3877</t>
  </si>
  <si>
    <t>(Austrian) Federal Ministry for Digital and Economic Affairs; National Foundation for Research, Technology and Development</t>
  </si>
  <si>
    <t>The financial support by the (Austrian) Federal Ministry for Digital and Economic Affairs and the National Foundation for Research, Technology and Development is gratefully acknowledged.</t>
  </si>
  <si>
    <t>10.1088/1361-6560/ab5132</t>
  </si>
  <si>
    <t>JR0WT</t>
  </si>
  <si>
    <t>WOS:000499357000001</t>
  </si>
  <si>
    <t>Whiteley, W; Gregor, J</t>
  </si>
  <si>
    <t>Whiteley, William; Gregor, Jens</t>
  </si>
  <si>
    <t>CNN-based PET sinogram repair to mitigate defective block detectors</t>
  </si>
  <si>
    <t>positron emission tomography; deep learning; block detectors; PET; sinogram repair; neural network</t>
  </si>
  <si>
    <t>IMAGE-RECONSTRUCTION; MISSING DATA; COMPENSATION</t>
  </si>
  <si>
    <t>Positron emission tomography (PET) scanners continue to increase sensitivity and axial coverage by adding an ever expanding array of block detectors. As they age, one or more block detectors may lose sensitivity due to a malfunction or component failure. The sinogram data missing as a result thereof can lead to artifacts and other image degradations. We propose to mitigate the effects of malfunctioning block detectors by carrying out sinogram repair using a deep convolutional neural network. Experiments using whole-body patient studies with varying amounts of raw data removed are used to show that the neural network significantly outperforms previously published methods with respect to normalized mean squared error for raw sinograms, a multi-scale structural similarity measure for reconstructed images and with regard to quantitative accuracy.</t>
  </si>
  <si>
    <t>[Whiteley, William; Gregor, Jens] Univ Tennessee, Knoxville, TN 37996 USA; [Whiteley, William] Siemens Med Solut USA Inc, Knoxville, TN 37932 USA</t>
  </si>
  <si>
    <t>University of Tennessee System; University of Tennessee Knoxville; Siemens AG; Siemens USA</t>
  </si>
  <si>
    <t>Whiteley, W (通訊作者)， Univ Tennessee, Knoxville, TN 37996 USA.;Whiteley, W (通訊作者)， Siemens Med Solut USA Inc, Knoxville, TN 37932 USA.</t>
  </si>
  <si>
    <t>wwhitele@vols.utk.edu</t>
  </si>
  <si>
    <t>10.1088/1361-6560/ab4919</t>
  </si>
  <si>
    <t>WOS:000518765200007</t>
  </si>
  <si>
    <t>Liu, CC; Huang, HM</t>
  </si>
  <si>
    <t>Liu, Chih-Chieh; Huang, Hsuan-Ming</t>
  </si>
  <si>
    <t>Partial-ring PET image restoration using a deep learning based method</t>
  </si>
  <si>
    <t>partial ring; PET; deep learning</t>
  </si>
  <si>
    <t>CONVOLUTIONAL NEURAL-NETWORK; MISSING DATA; COMPENSATION; DESIGN; CT; RECONSTRUCTION; SINOGRAMS; SCANNER; SYSTEM</t>
  </si>
  <si>
    <t>PET scanners with partial-ring geometry have been proposed for various imaging purposes. The incomplete projection data obtained from this design cause undesirable artifacts in the reconstructed images. In this study, we investigated the performance of a deep learning (DL) based method for the recovery of partial-ring PET images. Twenty digital brain phantoms were used in the Monte Carlo simulation toolkit, SimSET, to simulate 15?min full-ring PET scans. Partial-ring PET data were generated from full-ring PET data by removing coincidence events that hit these specific detector blocks. A convolutional neural network based on the residual U-Net architecture was trained to predict full-ring data from partial-ring data in either the projection or image domain. The performance of the proposed DL-based method was evaluated by comparing with the PET images reconstructed using the full-ring projection data in terms of the mean squared error (MSE), structural similarity (SSIM) index and recovery coefficient (RC). The MSE results showed the superiority of the image-domain approach in reduction of 91.7% in contrast to 14.3% for the projection-domain approach. Therefore, the image-domain approach was used to study the influence of the number of detector block removal. The SSIM results were 0.998, 0.996 and 0.993 for 3, 5 and 7 detector block removals, respectively. The activity of gray and white matters could be fully recovered even with 7 detector block removal, while the RCs of two artificially inserted small lesions (3 pixels in diameter) in the testing data were 94%, 89% and 79% for 3, 5, and 7 detector block removals, respectively. Our simulation results suggest that DL has the potential to recover partial-ring PET images.</t>
  </si>
  <si>
    <t>[Liu, Chih-Chieh] Univ Calif Davis, Dept Biomed Engn, Davis, CA 95616 USA; [Huang, Hsuan-Ming] Natl Taiwan Univ, Coll Med, Inst Med Device &amp; Imaging, 1,Sec 1,Jen Ai Rd, Taipei 100, Taiwan</t>
  </si>
  <si>
    <t>University of California System; University of California Davis; National Taiwan University</t>
  </si>
  <si>
    <t>Huang, HM (通訊作者)， Natl Taiwan Univ, Coll Med, Inst Med Device &amp; Imaging, 1,Sec 1,Jen Ai Rd, Taipei 100, Taiwan.</t>
  </si>
  <si>
    <t>b9003205@gmail.com</t>
  </si>
  <si>
    <t>; Liu, Chih-Chieh/ABA-2011-2020</t>
  </si>
  <si>
    <t>Liu, Chih-Chieh/0000-0003-1968-8346;</t>
  </si>
  <si>
    <t>Ministry of Science Technology, Taiwan [MOST 107-2221-E-002-081]</t>
  </si>
  <si>
    <t>Ministry of Science Technology, Taiwan</t>
  </si>
  <si>
    <t>This work was supported by MOST 107-2221-E-002-081 from Ministry of Science Technology, Taiwan. The authors have no conflicts to disclose.</t>
  </si>
  <si>
    <t>10.1088/1361-6560/ab4aa9</t>
  </si>
  <si>
    <t>JR0WE</t>
  </si>
  <si>
    <t>WOS:000499355400001</t>
  </si>
  <si>
    <t>Rijken, J; Bhat, M; Crowe, S; Kairn, T; Trapp, J</t>
  </si>
  <si>
    <t>Rijken, James; Bhat, Madhava; Crowe, Scott; Kairn, Tanya; Trapp, Jamie</t>
  </si>
  <si>
    <t>Linear accelerator bunker shielding for stereotactic radiotherapy</t>
  </si>
  <si>
    <t>shielding; bunker; linac; stereotactic; conservatism; barrier; radiotherapy</t>
  </si>
  <si>
    <t>BEAMS</t>
  </si>
  <si>
    <t>Shielding protocols such as NCRP 151, IAEA SRS 47 and IPEM 47 are commonly used for the design of radiotherapy facilities. Some work has been accomplished in updating the basic formula with the advent of IMRT but little consideration has been made for unflattened beams and stereotactic techniques apart from for facilities housing devices like the CyberKnife. The inevitable scenario of a stereotactic-only linear accelerator was considered in this study. The necessary shielding requirements were determined based on stereotactic data from a year's worth treatments from one clinic as well as further measurements of leakage, scatter and use factors. These values were compared to recommendations in the literature. While tenth value layer amounts, workload and barrier widths could be kept at the status quo, major changes could be made to the parameters of leakage, scatter and use factors while still maintaining safety. Some differences could also be seen for the use of IMRT factors. Current shielding protocols were found to inadequately describe methodology for the shielding of a stereotactic-only radiotherapy linac bunker, producing overly-conservative wall thicknesses which is in disagreement with the principles of ICRP.</t>
  </si>
  <si>
    <t>[Rijken, James; Bhat, Madhava] Flinders Private Hosp, GenesisCare, Bedford Pk, SA, Australia; [Rijken, James; Crowe, Scott; Kairn, Tanya; Trapp, Jamie] Queensland Univ Technol, Brisbane, Qld, Australia; [Crowe, Scott; Kairn, Tanya] Royal Brisbane &amp; Womens Hosp, Herston, Qld, Australia</t>
  </si>
  <si>
    <t>Flinders Private Hospital; Queensland University of Technology (QUT); Royal Brisbane &amp; Women's Hospital</t>
  </si>
  <si>
    <t>Rijken, J (通訊作者)， Flinders Private Hosp, GenesisCare, Bedford Pk, SA, Australia.;Rijken, J (通訊作者)， Queensland Univ Technol, Brisbane, Qld, Australia.</t>
  </si>
  <si>
    <t>james.rijken@genesiscare.com</t>
  </si>
  <si>
    <t>Kairn, Tanya/F-4626-2011; Trapp, Jamie/I-9846-2012; Crowe, Scott/J-1146-2012</t>
  </si>
  <si>
    <t>Kairn, Tanya/0000-0002-2136-6138; Trapp, Jamie/0000-0001-5254-0728; Crowe, Scott/0000-0001-7028-6452</t>
  </si>
  <si>
    <t>21NT04</t>
  </si>
  <si>
    <t>10.1088/1361-6560/ab4916</t>
  </si>
  <si>
    <t>WOS:000494858700003</t>
  </si>
  <si>
    <t>Félix-Bautista, R; Gehrke, T; Ghesquière-Diérickx, L; Reimold, M; Amato, C; Turecek, D; Jakubek, J; Ellerbrock, M; Martisíková, M</t>
  </si>
  <si>
    <t>Felix-Bautista, R.; Gehrke, T.; Ghesquiere-Dierickx, L.; Reimold, M.; Amato, C.; Turecek, D.; Jakubek, J.; Ellerbrock, M.; Martisikova, M.</t>
  </si>
  <si>
    <t>Experimental verification of a non-invasive method to monitor the lateral pencil beam position in an anthropomorphic phantom for carbon-ion radiotherapy</t>
  </si>
  <si>
    <t>in vivo ion-beam monitoring; secondary ions; single ion tracking; silicon pixel detector Timepix3; intrafractional imaging; lateral pencil beam positions</t>
  </si>
  <si>
    <t>THERAPY; SYSTEM; TIME</t>
  </si>
  <si>
    <t>The dose conformation and the sparing of neighboring critical healthy structures are improved in carbon-ion beam radiotherapy in comparison to conventional photon radiotherapy. Inter and intrafractional plan adaptation strategies may preclude the quality assurance (QA) of the actually applied treatment plan before the treatment starts. Therefore, independent measurements of the positions of scanned pencil C-12 ion beams are of interest in order to monitor the beam application during the treatment and the beam in the isocenter. In this work, secondary ions outgoing from a patient-like phantom are exploited for the assessment of the lateral pencil beam position in a clinic like C-12 treatment fraction. The experiment was performed at the Heidelberg Ion-Beam Therapy Center (HIT) in Germany. A carbon-ion treatment plan was used to treat a 100 cm(3) tumor volume in the center of an Alderson head phantom. Two silicon pixel detectors based on the Timepix3 technology developed at CERN were operated in synchronization to detect and to track outgoing secondary ions. We established an analysis of the measured secondary ion track distribution which enabled us to follow the beam scanning movement of the carbon-ion pencil beam by assessing the lateral position of the single beam spots. The precision of the developed method was found to range from 0.84 mm to 2.59 mm. For beam energies greater than 197.58 MeV/n, the mean of absolute distances of the measured lateral pencil beam positions with respect to the pencil beam positions measured by the beam application system (averaged over each energy layer) were smaller than 2 mm. We conclude that the presented method has shown capabilities of monitoring the lateral pencil beam positions by means of secondary ions with precision and sensitivity of clinical interest.</t>
  </si>
  <si>
    <t>[Felix-Bautista, R.; Gehrke, T.; Ghesquiere-Dierickx, L.; Reimold, M.; Amato, C.; Martisikova, M.] German Canc Res Ctr, Dept Med Phys Radiat Oncol, Heidelberg, Germany; [Felix-Bautista, R.; Gehrke, T.; Reimold, M.] Heidelberg Univ, Fac Phys &amp; Astron, Heidelberg, Germany; [Felix-Bautista, R.; Gehrke, T.; Ghesquiere-Dierickx, L.; Reimold, M.; Amato, C.; Ellerbrock, M.; Martisikova, M.] Natl Ctr Res Radiat Oncol NCRO, HIRO, Heidelberg, Germany; [Ghesquiere-Dierickx, L.] Heidelberg Univ, Med Fac, Heidelberg, Germany; [Turecek, D.; Jakubek, J.] ADVACAM Sro, Prague, Czech Republic; [Turecek, D.] Charles Univ Prague, Fac Med 1, CAPI, Prague, Czech Republic; [Ellerbrock, M.] Heidelberg Ion Beam Therapy Ctr HIT, Heidelberg, Germany</t>
  </si>
  <si>
    <t>Helmholtz Association; German Cancer Research Center (DKFZ); Ruprecht Karls University Heidelberg; Ruprecht Karls University Heidelberg; Charles University Prague; Ruprecht Karls University Heidelberg</t>
  </si>
  <si>
    <t>Félix-Bautista, R (通訊作者)， German Canc Res Ctr, Dept Med Phys Radiat Oncol, Heidelberg, Germany.;Félix-Bautista, R (通訊作者)， Heidelberg Univ, Fac Phys &amp; Astron, Heidelberg, Germany.;Félix-Bautista, R (通訊作者)， Natl Ctr Res Radiat Oncol NCRO, HIRO, Heidelberg, Germany.</t>
  </si>
  <si>
    <t>r.felixbautista@dkfz.de</t>
  </si>
  <si>
    <t>Turecek, Daniel/N-4149-2017; Amato, Carlo/AAE-7265-2020; Jakubek, Jan/E-6530-2011; Martisikova, Maria/KAM-4000-2024</t>
  </si>
  <si>
    <t>Turecek, Daniel/0000-0003-0788-8586; Ghesquiere-Dierickx, Laura Marie Helene/0000-0003-0352-6887; Gehrke, Tim/0000-0002-6005-8576;</t>
  </si>
  <si>
    <t>10.1088/1361-6560/ab2ca3</t>
  </si>
  <si>
    <t>WOS:000484728400004</t>
  </si>
  <si>
    <t>Masuda, T; Nishio, T; Kataoka, J; Arimoto, M; Sano, A; Karasawa, K</t>
  </si>
  <si>
    <t>Masuda, Takamitsu; Nishio, Teiji; Kataoka, Jun; Arimoto, Makoto; Sano, Akira; Karasawa, Kumiko</t>
  </si>
  <si>
    <t>ML-EM algorithm for dose estimation using PET in proton therapy</t>
  </si>
  <si>
    <t>proton therapy; PET imaging; dose estimation; filtering; ML-EM algorithm</t>
  </si>
  <si>
    <t>POSITRON-EMISSION-TOMOGRAPHY; RANGE UNCERTAINTIES; IN-BEAM; VERIFICATION; RECONSTRUCTION; WASHOUT; MAXIMUM; PATIENT</t>
  </si>
  <si>
    <t>Positron emission tomography (PET) has been extensively studied and clinically investigated for dose verification in proton therapy. However, the production distributions of positron emitters are not proportional to the dose distribution. Thus, direct dose evaluation is limited when using the conventional PET-based approach. We propose a method for estimating the dose distribution from the positron emitter distributions using the maximum likelihood (ML) expectation maximization (EM) algorithm combined with filtering. In experiments to verify the effectiveness of the proposed method, mono-energetic and spread-out Bragg-peak proton beams were delivered by a synchrotron, and a water target was irradiated at clinical dose levels. Planar PET measurements were performed during beam pauses and after irradiation over a total period of 200 s. In addition, we conducted a Monte Carlo simulation to obtain the required filter functions and analyze the influence of the number of algorithm iterations on estimation. We successfully estimated the 2D dose distributions even under statistical noise in the PET images. The accuracy of the 2D dose estimation was about 10% for both beams at the 1-sigma values of relative error. This value is comparable to the deviations in the measured PET activity distributions. For the laterally integrated profile along the beam direction, a low error within 5% was obtained per irradiation value. Moreover, the difference of estimated proton ranges was within 1 mm, and 2D estimation from the PET images was completed in 21 ms. Hence, the proposed algorithm may be applied to real-time dose monitoring. Although this is the first attempt to use the ML-EM algorithm for dose estimation, the proposed method showed high accuracy and speed in the estimation of proton dose distribution from PET data. The proposed method is thus a step forward to exploit the full potential of PET for in vivo dose verification.</t>
  </si>
  <si>
    <t>[Masuda, Takamitsu; Nishio, Teiji; Sano, Akira] Tokyo Womens Med Univ, Grad Sch Med, Dept Med Phys, Shinjuku Ku, 8-1 Kawadacho, Tokyo 1628666, Japan; [Kataoka, Jun] Waseda Univ, Grad Sch Adv Sci &amp; Engn, Dept Pure &amp; Appl Phys, Shinjuku Ku, 3-4-1 Okubo, Tokyo 1698555, Japan; [Arimoto, Makoto] Kanazawa Univ, Inst Sci &amp; Engn, Fac Math &amp; Phys, Kanazawa, Ishikawa 9201192, Japan; [Karasawa, Kumiko] Tokyo Womens Med Univ, Sch Med, Dept Radiat Oncol, Shinjuku Ku, 8-1 Kawadacho, Tokyo 1628666, Japan</t>
  </si>
  <si>
    <t>Tokyo Women's Medical University; Waseda University; Kanazawa University; Tokyo Women's Medical University</t>
  </si>
  <si>
    <t>Masuda, T (通訊作者)， Tokyo Womens Med Univ, Grad Sch Med, Dept Med Phys, Shinjuku Ku, 8-1 Kawadacho, Tokyo 1628666, Japan.</t>
  </si>
  <si>
    <t>masuda.takamitsu_1@twmu.ac.jp</t>
  </si>
  <si>
    <t>; Masuda, Takamitsu/O-5752-2019</t>
  </si>
  <si>
    <t>Masuda, Takamitsu/0000-0001-9648-764X; Arimoto, Makoto/0000-0003-1250-7872; Sano, Akira/0000-0002-9044-9113</t>
  </si>
  <si>
    <t>AMED [JP18hm0102046]; JSPS KAKENHI [JP15H05720]; JSPS Leading Initiative for Excellent Young Researchers program</t>
  </si>
  <si>
    <t>AMED; JSPS KAKENHI(Ministry of Education, Culture, Sports, Science and Technology, Japan (MEXT)Japan Society for the Promotion of ScienceGrants-in-Aid for Scientific Research (KAKENHI)); JSPS Leading Initiative for Excellent Young Researchers program</t>
  </si>
  <si>
    <t>The authors would like to thank Dr Aya Nishio, Dr Masato Tsuneda, Dr Haruo Yamashita, and Mr Takeshi Masunaga for their experimental support for phantom irradiation. We also thank Mr Takashi Okamoto and Mr Hiromitsu Tomozawa for making the PET system available and performing data acquisition, and Dr Chie Toramatsu for the valuable advice. We would like to thank Editage (www.editage.jp) for English language editing. This work was supported by AMED under Grant No. JP18hm0102046 and JSPS KAKENHI under Grants No. JP18H04044 and JP19J23279. This work was also partly supported by JSPS KAKENHI under Grant No. JP15H05720. M A acknowledges the support from the JSPS Leading Initiative for Excellent Young Researchers program.</t>
  </si>
  <si>
    <t>10.1088/1361-6560/ab3276</t>
  </si>
  <si>
    <t>WOS:000484508700004</t>
  </si>
  <si>
    <t>Shcherbakova, Y; Bartels, LW; Mandija, S; Beld, E; Seevinck, PR; van Zyp, JRNV; Kerkmeijer, LGW; Moonen, CT; Lagendijk, JJW; van den Berg, CAT</t>
  </si>
  <si>
    <t>Shcherbakova, Yulia; Bartels, Lambertus W.; Mandija, Stefano; Beld, Ellis; Seevinck, Peter R.; van Zyp, Jochem R. N. van der Voort; Kerkmeijer, Linda G. W.; Moonen, Chrit Tw; Lagendijk, Jan J. W.; van den Berg, Cornelis A. T.</t>
  </si>
  <si>
    <t>Visualization of gold fiducial markers in the prostate using phase-cycled bSSFP imaging for MRI-only radiotherapy</t>
  </si>
  <si>
    <t>MRI-only radiotherapy; bSSFP; MRI; phase-cycled bSSFP; prostate radiotherapy; fiducial marker</t>
  </si>
  <si>
    <t>POSITIVE CONTRAST; RESONANCE; ACQUISITION; SIMULATION; ARTIFACTS; MOTION</t>
  </si>
  <si>
    <t>In this work, we present a new method for visualization of fiducial markers (FMs) in the prostate for MRI-only radiotherapy with a positive contrast directly at the MR console. The method is based on high bandwidth phase-cycled balanced steady-state free precession (bSSFP) sequence, which is available on many clinical scanners, does not require any additional post-processing or software, and has a higher signal-to-noise (SNR) compared to conventional gradient-echo (GE) imaging. Complex phase-cycled bSSFP data is acquired with different RF phase increment settings such that the manifestation of the artifacts around FMs in the acquired complex images is different for each dynamic acquisition and depends on the RF phase increment used. First, we performed numerical simulations to investigate the complex-valued phase-cycled bSSFP signal in the presence of a gold FM, and to investigate the relation of the true physical location of the FM with the geometrical manifestation of the artifacts. Next, to validate the simulations, we performed phantoms and in vivo studies and compared the experimentally obtained artifacts with those predicted in simulations. The accuracy of the method was assessed by comparing the distances between the FM's centers and the center of mass of FMs system measured using phase-cycled bSSFP MR images and using reference CT (or MRI-only) images. The results show accurate (within 1 mm) matching of FMs localization between CT and MR images on five patients, proving the feasibility of in vivo FMs detection on MR images only. The FMs show a positive contrast with respect to the prostate background on real/imaginary phase-cycled bSSFP images, which was confirmed by simulations. The proposed method facilitates robust FMs visualization with positive contrast directly at the MR console, allowing RT technicians to obtain immediate feedback on the anticipated feasibility of accurate FMs localization while the patient is being scanned.</t>
  </si>
  <si>
    <t>[Shcherbakova, Yulia; Bartels, Lambertus W.; Seevinck, Peter R.; Moonen, Chrit Tw] Univ Med Ctr Utrecht, Ctr Image Sci, Imaging Div, Heidelberglaan 100,Room Q-03-4-21, NL-3508 GA Utrecht, Netherlands; [Mandija, Stefano] Univ Utrecht, Utrecht, Netherlands; [Beld, Ellis; van Zyp, Jochem R. N. van der Voort; Kerkmeijer, Linda G. W.; Lagendijk, Jan J. W.; van den Berg, Cornelis A. T.] Univ Med Ctr Utrecht, Dept Radiotherapy, Imaging Div, Utrecht, Netherlands</t>
  </si>
  <si>
    <t>Utrecht University; Utrecht University Medical Center; Utrecht University; Utrecht University; Utrecht University Medical Center</t>
  </si>
  <si>
    <t>Shcherbakova, Y (通訊作者)， Univ Med Ctr Utrecht, Ctr Image Sci, Imaging Div, Heidelberglaan 100,Room Q-03-4-21, NL-3508 GA Utrecht, Netherlands.</t>
  </si>
  <si>
    <t>Y.Shcherbakova@umcutrecht.nl</t>
  </si>
  <si>
    <t>; Mandija, Stefano/AAN-4050-2021; Kerkmeijer, Linda/AAB-8948-2020; Seevinck, Peter/C-9003-2012</t>
  </si>
  <si>
    <t>Mandija, Stefano/0000-0002-4612-5509; Beld, Ellis/0000-0002-7480-2909</t>
  </si>
  <si>
    <t>10.1088/1361-6560/ab35c3</t>
  </si>
  <si>
    <t>WOS:000485720400001</t>
  </si>
  <si>
    <t>Chiang, CC; Lin, HH; Ni, YC; Jan, ML; Chuang, KS</t>
  </si>
  <si>
    <t>Chiang, Chih-Chieh; Lin, Hsin-Hon; Ni, Yu-Ching; Jan, Meei-Ling; Chuang, Keh-Shih</t>
  </si>
  <si>
    <t>A noise smoothing origin ensemble algorithm based on local filtering</t>
  </si>
  <si>
    <t>origin ensembles; image reconstruction; image smoothing; filter</t>
  </si>
  <si>
    <t>IMAGE-RECONSTRUCTION; EMISSION; PET; SIMULATION; GATE; QUALITY</t>
  </si>
  <si>
    <t>An origin ensemble (OE) image reconstruction algorithm can be used for the fast reconstruction of unconventional geometrical images, e.g. in a Compton camera (CC) system. Due to the low-count rate in the emission data, the reconstructed image is often noisy and inhomogeneous in density. In this study, we propose a way to smooth out the noise in the OE algorithm. During the OE reconstruction, the algorithm stochastically modifies the current location to a random new voxel along the probable corresponding curve of each event depending on the relative event density of the new and old locations. In the original OE technique, the event density is simply the number of events in the voxel. In the proposed method, the event density is estimated from the filtering of a kernel window centered on the voxel. Incorporating the regional filtering is similar to performing an OE algorithm on a smoothed image at each iteration and enables the reconstruction of a smoother image. A Flangeless Esser PET phantom and a multi-activity phantom are used to study the property of the new reconstruction algorithm. The results indicate that the proposed method performs better than a conventional OE algorithm in terms of normalized mean square error (NMSE) and structural similarity (SSIM). Both contrast noise ratio (CNR) and reconstruction accuracy of the new method are better than the conventional OE algorithm and their performances improve with the increase of object size. The median-OE possesses the highest overall image quality and recovery rate among the three filter-OE algorithms and is the method of choice for image reconstruction. Comparing to conventional post-smoothing OEs, the NMSE of median-OE improves 57.6% (46.9%) and the SSIM increased by 73.2% (51.1%) for the Esser (multi-activity) phantom. The proposed OE algorithm is simple and efficient for noise smoothing without complex calculations and highly suited for low-count cases.</t>
  </si>
  <si>
    <t>[Chiang, Chih-Chieh; Ni, Yu-Ching; Chuang, Keh-Shih] Natl Tsing Hua Univ, Dept Biomed Engn &amp; Environm Sci, Hsinchu 30013, Taiwan; [Lin, Hsin-Hon; Jan, Meei-Ling] Chang Gung Univ, Med Phys Res Ctr, Inst Radiol Res, Chang Gung Mem Hosp, Taoyuan, Taiwan; [Lin, Hsin-Hon; Jan, Meei-Ling] Chang Gung Mem Hosp, Dept Radiat Oncol, Taoyuan, Taiwan; [Ni, Yu-Ching] Atom Energy Council, Hlth Phys Div, Inst Nucl Energy Res, Long Tan, Taiwan</t>
  </si>
  <si>
    <t>National Tsing Hua University; Chang Gung University; Chang Gung Memorial Hospital; Chang Gung Memorial Hospital; Institute of Nuclear Energy Research - Taiwan</t>
  </si>
  <si>
    <t>Chuang, KS (通訊作者)， Natl Tsing Hua Univ, Dept Biomed Engn &amp; Environm Sci, Hsinchu 30013, Taiwan.</t>
  </si>
  <si>
    <t>kschuang@mx.nthu.edu.tw</t>
  </si>
  <si>
    <t>Lin, Hsin-Hon/0000-0002-5326-2245</t>
  </si>
  <si>
    <t>Ministry of Science and Technology of Taiwan [MOST106-2314-B-007-003, MOST106-2623-E-007-004-NU, MOST106-2314-B-182-062-MY2]; Institute for Radiological Research of Chang Gung University/Chang Gung Memorial Hospital [CIRPD1I0011]</t>
  </si>
  <si>
    <t>Ministry of Science and Technology of Taiwan(Ministry of Science and Technology, Taiwan); Institute for Radiological Research of Chang Gung University/Chang Gung Memorial Hospital</t>
  </si>
  <si>
    <t>The work was financed by the Ministry of Science and Technology of Taiwan (Project Nos. MOST106-2314-B-007-003, MOST106-2623-E-007-004-NU and MOST106-2314-B-182-062-MY2). HHL was supported by the Institute for Radiological Research of Chang Gung University/Chang Gung Memorial Hospital (Project No. CIRPD1I0011). We would like to thank the Particle Physics and Beam Delivery Core Laboratory of the Institute for Radiological Research, Chang Gung University/Chang Gung Memorial Hospital, Linkou, for their assistance.</t>
  </si>
  <si>
    <t>10.1088/1361-6560/ab280c</t>
  </si>
  <si>
    <t>WOS:000480292700015</t>
  </si>
  <si>
    <t>Naughton, NM; Georgiadis, JG</t>
  </si>
  <si>
    <t>Naughton, Noel M.; Georgiadis, John G.</t>
  </si>
  <si>
    <t>Comparison of two-compartment exchange and continuum models of dMRI in skeletal muscle</t>
  </si>
  <si>
    <t>two compartment exchange; Karger model; lattice Boltzmann method; diffusion MRI; skeletal muscle</t>
  </si>
  <si>
    <t>BLOCH-TORREY EQUATION; SPIN-ECHO ANALYSIS; DIFFUSION-TENSOR; RESTRICTED DIFFUSION; WATER DIFFUSION; IN-VIVO; MACROSCOPIC MODEL; T-2 RELAXATION; SELF-DIFFUSION; MONTE-CARLO</t>
  </si>
  <si>
    <t>Clinical diffusion MRI (dMRI) is sensitive to micrometer scale spin displacements, but the image resolution is similar to mm, so the biophysical interpretation of the signal relies on establishing appropriate subvoxel tissue models. A class of two-compartment exchange models originally proposed by Karger have been used successfully in neural tissue dMRI. Their use to interpret the signal in skeletal muscle dMRI is challenging because myocyte diameters are comparable to the root-mean-square of spin displacement and their membrane permeability is high. A continuum tissue model consisting of the Bloch-Torrey equation integrated by a hybrid lattice Boltzmann scheme is used for comparison. The validity domain of a classical two-compartment tissue model is probed by comparing it with the prediction of the continuum model for a 2D unidirectional composite continuum model of myocytes embedded in a uniform matrix. This domain is described in terms of two dimensionless parameters inspired by mass transfer phenomena, the Fourier (F) and Biot (B) numbers. The two-compartment model is valid when B &lt;&lt; 1 and F &gt;&gt; 1, or when F &lt;&lt; 1 and F . B &lt;&lt; 1. The model becomes less appropriate for muscle dMRI as the cell diameter and volume fraction increase, with the primary source of error associated with modeling diffusion in the extracellular matrix.</t>
  </si>
  <si>
    <t>[Naughton, Noel M.; Georgiadis, John G.] Univ Illinois, Dept Mech Sci &amp; Engn, Urbana, IL 61801 USA; [Naughton, Noel M.; Georgiadis, John G.] Univ Illinois, Beckman Inst Adv Sci &amp; Technol, Urbana, IL 61801 USA; [Georgiadis, John G.] IIT, Dept Biomed Engn, Chicago, IL 60616 USA</t>
  </si>
  <si>
    <t>University of Illinois System; University of Illinois Urbana-Champaign; University of Illinois System; University of Illinois Urbana-Champaign; Illinois Institute of Technology</t>
  </si>
  <si>
    <t>Georgiadis, JG (通訊作者)， Univ Illinois, Dept Mech Sci &amp; Engn, Urbana, IL 61801 USA.;Georgiadis, JG (通訊作者)， Univ Illinois, Beckman Inst Adv Sci &amp; Technol, Urbana, IL 61801 USA.;Georgiadis, JG (通訊作者)， IIT, Dept Biomed Engn, Chicago, IL 60616 USA.</t>
  </si>
  <si>
    <t>jgeorgia@IIT.edu</t>
  </si>
  <si>
    <t>; Georgiadis, John/KBA-0718-2024</t>
  </si>
  <si>
    <t>Naughton, Noel/0000-0002-5553-4718; Georgiadis, John/0000-0002-8217-2003;</t>
  </si>
  <si>
    <t>NSF [CBET-1236451, CMMI-1437113]; R A Pritzker chair fund</t>
  </si>
  <si>
    <t>NSF(National Science Foundation (NSF)); R A Pritzker chair fund</t>
  </si>
  <si>
    <t>We acknowledge financial support by NSF (grants CBET-1236451 &amp; CMMI-1437113, and a Graduate Research Fellowship to NMN). Partial support by the R A Pritzker chair fund is also acknowledged.</t>
  </si>
  <si>
    <t>10.1088/1361-6560/ab2aa6</t>
  </si>
  <si>
    <t>WOS:000478621000004</t>
  </si>
  <si>
    <t>Marshall, EL; Rajderkar, D; Brown, JL; Stepusin, EJ; Borrego, D; Bolch, WE</t>
  </si>
  <si>
    <t>Marshall, Emily L.; Rajderkar, Dhanashree; Brown, Justin L.; Stepusin, Elliott J.; Borrego, David; Bolch, Wesley E.</t>
  </si>
  <si>
    <t>A scalable database of organ doses for common diagnostic fluoroscopy examinations of children: procedures of current practice at the University of Florida</t>
  </si>
  <si>
    <t>organ dose; pediatric radiology; diagnostic fluoroscopy; dose coefficient; computational phantom</t>
  </si>
  <si>
    <t>RADIATION-EXPOSURE; TRACKING SYSTEM; PATIENT SKIN; REAL-TIME; DOSIMETRY</t>
  </si>
  <si>
    <t>Of all the medical imaging modalities that utilize ionizing radiation, fluoroscopy proves to be the most difficult to assess values of patient organ dose owing to the dynamic and patient-specific nature of the irradiation geometry and its associated x-ray beam characteristics. With the introduction of the radiation dose structured report (RDSR) in the mid-2000s, however, computational tools have been developed to extract patient and procedure-specific data for each irradiation event of the study, and when coupled to a computational phantom of the patient, values of skin and internal organ dose may be assessed. Unfortunately, many legacy and even current diagnostic fluoroscopy units do not have RDSR reporting capabilities, thus limiting these dosimetry reporting advances. Nevertheless, knowledge of patient organ doses for patient care, as well as for radiation epidemiology studies, remains a research and regulatory priority. In this study, we created procedural outlines which document all radiation exposure information required for organ dose assessment, akin to a reference RDSR, for six common diagnostic fluoroscopy procedures performed at the University of Florida (UF) Shands Pediatric Hospital. These procedures include the voiding cystourethrogram, the gastrostomy -tube placement, the lower gastrointestinal study, the rehabilitation swallow, the upper gastrointestinal study, and the upper gastrointestinal study with follow through. These procedural outlines were used to develop an extensive database of organ doses for the 162-member UF/NCI (National Cancer Institute) library of pediatric hybrid phantoms, with each member varying combinations of sex, height, and weight. The organ dose assessment accounts for the varying x-ray fields, fluoroscopy time, relative concentration of x-ray contrast in the organs, and changes in the fluoroscope output due to patient size. Furthermore, we are also reporting organ doses normalized to total fluoroscopy time, reference point air kerma, and kerma-area product, effectively providing procedure dose coefficients. The extensive organ dose library produced in this study may be used prospectively for patient organ dose reporting or retrospectively in epidemiological studies of radiation-associated health risks.</t>
  </si>
  <si>
    <t>[Marshall, Emily L.; Stepusin, Elliott J.; Bolch, Wesley E.] Univ Florida, J Crayton Pruitt Family Dept Biomed Engn, Gainesville, FL 32611 USA; [Rajderkar, Dhanashree] Univ Florida, Dept Radiol, Gainesville, FL 32610 USA; [Brown, Justin L.] Univ Florida, Coll Med, Med Phys Program, Gainesville, FL USA; [Borrego, David] NCI, Div Canc Epidemiol &amp; Genet, NIH, Bethesda, MD 20892 USA; [Marshall, Emily L.] Univ Chicago, Dept Radiol, Diagnost Phys Residency Program, Chicago, IL 60637 USA; [Stepusin, Elliott J.] Crowe Horwath LLP, Chicago, IL USA</t>
  </si>
  <si>
    <t>State University System of Florida; University of Florida; State University System of Florida; University of Florida; State University System of Florida; University of Florida; National Institutes of Health (NIH) - USA; NIH National Cancer Institute (NCI); NIH National Cancer Institute- Division of Cancer Epidemiology &amp; Genetics; University of Chicago</t>
  </si>
  <si>
    <t>Bolch, WE (通訊作者)， Univ Florida, J Crayton Pruitt Family Dept Biomed Engn, Gainesville, FL 32611 USA.</t>
  </si>
  <si>
    <t>wbolch@ufl.edu</t>
  </si>
  <si>
    <t>Rajderkar(Dande), Dhanashree/IYS-4097-2023; Brown, Justin/JTU-2258-2023</t>
  </si>
  <si>
    <t>Stepusin, Elliott/0000-0002-3204-7730; Rajderkar, Dhanashree/0000-0002-5962-2854; Marshall, Emily/0000-0001-7995-0671; Brown, Justin/0000-0002-3099-1998; Borrego, David/0000-0001-9868-5113; Bolch, Wesley/0000-0002-7175-9968</t>
  </si>
  <si>
    <t>National Cancer Institute [R01 CA185687, 1F31CA159464]; Selected Professions Graduate Fellowship from the American Association of University Women; University of Florida; UF Graduate Fellowship Program</t>
  </si>
  <si>
    <t>National Cancer Institute(United States Department of Health &amp; Human ServicesNational Institutes of Health (NIH) - USANIH National Cancer Institute (NCI)); Selected Professions Graduate Fellowship from the American Association of University Women; University of Florida(University of Florida); UF Graduate Fellowship Program</t>
  </si>
  <si>
    <t>This work was supported by grant R01 CA185687 from the National Cancer Institute. The work of the first author was further supported by a Selected Professions Graduate Fellowship from the American Association of University Women. The work of the second author was supported in part by fellowship 1F31CA159464 from the National Cancer Institute. The authors acknowledge University of Florida Research Computing for providing computational resources and support that have contributed to the research results reported in this publication (http://researchcomputing.ufl.edu). This work was supported in part by R01 CA185687 from the National Cancer Institute and the UF Graduate Fellowship Program.</t>
  </si>
  <si>
    <t>10.1088/1361-6560/ab1bad</t>
  </si>
  <si>
    <t>WOS:000474396800009</t>
  </si>
  <si>
    <t>Teo, PT; Guo, KM; Ahmed, B; Alayoubi, N; Kehler, K; Fontaine, G; Sasaki, D; Pistorius, S</t>
  </si>
  <si>
    <t>Teo, P. Troy; Guo, Kaiming; Ahmed, Bilal; Alayoubi, Nadia; Kehler, Katherine; Fontaine, Gabrielle; Sasaki, David; Pistorius, Stephen</t>
  </si>
  <si>
    <t>Evaluating a potential technique with local optical flow vectors for automatic organ-at-risk (OAR) intrusion detection and avoidance during radiotherapy</t>
  </si>
  <si>
    <t>deep inspiration breath hold (DIBH); breast cancer treatment; cardiac block; image registration technique; optical flow algorithm</t>
  </si>
  <si>
    <t>STEREOTACTIC BODY RADIOTHERAPY; DMLC MOTION-TRACKING; TUMOR MOTION; BREAST; RADIATION; DELIVERY</t>
  </si>
  <si>
    <t>Various techniques of deep inspiration breath hold (DIBH) have been used to mitigate the likelihood and risk of exposing the heart, an organ-at-risk (OAR) for unintended radiation during left breast radiotherapy. However, issues of reproducibility of these techniques warrant further investigation into the feasibility of detecting the intrusion of an OAR into the treatment field during intrafractional treatment delivery. The increase of high-dose, low-fraction radiotherapy treatments makes it important to immediately adapt treatment once an OAR is detected in the treatment field. This proof-of-concept implementation includes an algorithm that detects and tracks the motion at the edges of a treatment field and a control algorithm that adapts the treatment aperture according to the motion detected. In accordance to the AAPM Task-Group (TG-132) report, image registration techniques should be verified with virtual and physical phantoms prior to clinical application. Since most OARs move as a result of respiration-induced motion, we have used a lung phantom to generate images of a generic OAR intruding into a treatment field with known velocity. The phantom was programmed to move with sinusoidal and lung patient tumor motion patterns and the accuracy of intrusion tracking and MLC adaptation were benchmarked with the ground truth-programmed motion of the OAR. The motions were recorded with an electronic portal imaging device (EPID). An optimal cluster size of 9 x 9 motion vectors was found to provide the smallest average absolute position error of 0.3 mm. A strong linear correlation between the adapted MLC leaves and the actual OAR position was observed. The algorithm had a mean position tracking error of -0.4 +/- 0.3 mm and a precision of 1.1 mm. It is possible to adapt MLC leaves based on the motion detected at the edges of the irradiated field, and it would be feasible to shield an unplanned intrusion of an OAR into the treatment field.</t>
  </si>
  <si>
    <t>[Teo, P. Troy; Guo, Kaiming; Ahmed, Bilal; Alayoubi, Nadia; Kehler, Katherine; Fontaine, Gabrielle; Pistorius, Stephen] Univ Manitoba, Dept Phys &amp; Astron, Winnipeg, MB R3T 2N2, Canada; [Guo, Kaiming; Ahmed, Bilal; Sasaki, David; Pistorius, Stephen] CancerCare Manitoba, Med Phys, 675 McDermot Ave, Tuti Peg, MB R3E 0V9, Canada; [Pistorius, Stephen] Univ Manitoba, Dept Radiol, Winnipeg, MB R3T 2N2, Canada; [Pistorius, Stephen] Univ Manitoba, Biomed Engn Grad Program, Winnipeg, MB R3T 2N2, Canada</t>
  </si>
  <si>
    <t>University of Manitoba; University of Manitoba; CancerCare Manitoba Foundation; University of Manitoba; University of Manitoba</t>
  </si>
  <si>
    <t>Teo, PT (通訊作者)， Univ Manitoba, Dept Phys &amp; Astron, Winnipeg, MB R3T 2N2, Canada.</t>
  </si>
  <si>
    <t>troy.ptteo@gmail.com</t>
  </si>
  <si>
    <t>Pistorius, Stephen/G-7845-2011</t>
  </si>
  <si>
    <t>Pistorius, Stephen/0000-0003-3438-8499; Guo, Kaiming/0000-0002-4749-3864; Teo, Peng (Troy)/0000-0003-1889-966X; Sasaki, David/0000-0002-4233-2543</t>
  </si>
  <si>
    <t>Natural Sciences and Engineering Research Council of Canada (NSERC); Manitoba Health Research Council (MHRC); CancerCare Manitoba Foundation; MITAC-Accelerate Manitoba</t>
  </si>
  <si>
    <t>Natural Sciences and Engineering Research Council of Canada (NSERC)(Natural Sciences and Engineering Research Council of Canada (NSERC)); Manitoba Health Research Council (MHRC); CancerCare Manitoba Foundation; MITAC-Accelerate Manitoba</t>
  </si>
  <si>
    <t>The first author would like to acknowledge the scholarships from the Natural Sciences and Engineering Research Council of Canada (NSERC), Manitoba Health Research Council (MHRC), CancerCare Manitoba Foundation and MITAC-Accelerate Manitoba. Suggestions provided by Dr Boyd McCurdy in our preparation of this manuscript are acknowledged. The authors would also like to thank Dr YeLin Suh for the CyberKnife Synchrony dataset (Suh et al 2008).</t>
  </si>
  <si>
    <t>10.1088/1361-6560/ab2db4</t>
  </si>
  <si>
    <t>WOS:000475775200001</t>
  </si>
  <si>
    <t>Jobidon-Lavergne, H; Kadoury, S; Knez, D; Aubin, CÉ</t>
  </si>
  <si>
    <t>Jobidon-Lavergne, Hugo; Kadoury, Samuel; Knez, Dejan; Aubin, Carl-Eric</t>
  </si>
  <si>
    <t>Biomechanically driven intraoperative spine registration during navigated anterior vertebral body tethering</t>
  </si>
  <si>
    <t>computer aided orthopaedic surgery; patient-specific finite element model; spine registration; anterior vertebral body tethering</t>
  </si>
  <si>
    <t>PEDICLE SCREW PLACEMENT; FINITE-ELEMENT-ANALYSIS; GROWTH MODULATION; SCOLIOSIS SURGERY; SEGMENTATION; FLEXIBILITY; SIMULATION; ACCURACY</t>
  </si>
  <si>
    <t>The integration of pre-operative biomechanical planning with intra-operative imaging for navigated corrective spine surgery may improve surgical outcomes, as well as the accuracy and safety of manoeuvres such as pedicle screw insertion and cable tethering, as these steps are performed empirically by the surgeon. However, registration of finite element models (FEMs) of the spine remains challenging due to changes in patient positioning and imaging modalities. The purpose of this study was to develop and validate a new method registering a preoperatively constructed patient-specific FEM aimed to plan and assist anterior vertebral body tethering (AVBT) of scoliotic patients, to intraoperative cone beam computed tomography (CBCT) during navigated AVBT procedures. Prior to surgery, the 3D reconstruction of the patient's spine was obtained using biplanar radiographs, from which a patient-specific FEM was derived. The surgical plan was generated by first simulating the standing to intraoperative decubitus position change, followed by the AVBT correction techniques. Intraoperatively, a CBCT was acquired and an automatic segmentation method generated the 3D model for a series of vertebrae. Following a rigid initialization, a multi-level registration simulation using the FEM and the targeted positions of the corresponding reconstructed vertebrae from the CBCT allows for the refinement of the alignment between modalities. The method was tested with 18 scoliotic cases with a mean thoracic Cobb angle of 47 degrees +/- 7 degrees having already undergone AVBT. The translation error of the registered FEM vertebrae to the segmented CBCT spine was 1.4 +/- 1.2 mm, while the residual orientation error was 2.7 degrees +/- 2.6 degrees, 2.8 degrees +/- 2.4 degrees and 2.5 degrees +/- 2.8 degrees in the coronal, sagittal, and axial planes, respectively. The average surface-to-surface distance was 1.5 +/- 1.2 mm. The proposed method is a first attempt to use a patient-specific biomechanical FEM for navigated AVBT, allowing to optimize surgical strategies and screw placement during surgery.</t>
  </si>
  <si>
    <t>[Jobidon-Lavergne, Hugo; Kadoury, Samuel; Aubin, Carl-Eric] Polytech Montreal, Montreal, PQ, Canada; [Knez, Dejan] Univ Ljubljana, Ljubljana, Slovenia; [Kadoury, Samuel; Aubin, Carl-Eric] St Justine Univ Hosp Ctr, Montreal, PQ, Canada; [Aubin, Carl-Eric] Polytech Montreal, Canada Res Chair Orthoped Engn, Dept Mech Engn, POB 6079, Montreal, PQ H3C 3A7, Canada; [Aubin, Carl-Eric] Polytech Montreal, NSERC Medtron Ind Res Chair Spine Biomech, POB 6079, Montreal, PQ H3C 3A7, Canada</t>
  </si>
  <si>
    <t>Universite de Montreal; Polytechnique Montreal; University of Ljubljana; Universite de Montreal; Universite de Montreal; Polytechnique Montreal; Universite de Montreal; Polytechnique Montreal</t>
  </si>
  <si>
    <t>Aubin, CÉ (通訊作者)， Polytech Montreal, Montreal, PQ, Canada.;Aubin, CÉ (通訊作者)， St Justine Univ Hosp Ctr, Montreal, PQ, Canada.;Aubin, CÉ (通訊作者)， Polytech Montreal, Canada Res Chair Orthoped Engn, Dept Mech Engn, POB 6079, Montreal, PQ H3C 3A7, Canada.;Aubin, CÉ (通訊作者)， Polytech Montreal, NSERC Medtron Ind Res Chair Spine Biomech, POB 6079, Montreal, PQ H3C 3A7, Canada.</t>
  </si>
  <si>
    <t>hugo.jobidon@gmail.com; samuel.kadoury@polymtl.ca; dejan.knezz@gmail.com; carl-eric.aubin@polymtl.ca</t>
  </si>
  <si>
    <t>10.1088/1361-6560/ab1bfa</t>
  </si>
  <si>
    <t>WOS:000468942900008</t>
  </si>
  <si>
    <t>Schüler, E; Wang, L; Loo, BW; Maxim, PG</t>
  </si>
  <si>
    <t>Schuler, Emil; Wang, Lei; Loo, Billy W., Jr.; Maxim, Peter G.</t>
  </si>
  <si>
    <t>Conical beam geometry intensity-modulated radiation therapy</t>
  </si>
  <si>
    <t>treatment planning; non-coplanar geometry; conical beams</t>
  </si>
  <si>
    <t>PROTON THERAPY; LEAF WIDTH; RADIOTHERAPY; VMAT; CANCER; HEAD; OPTIMIZATION; QUALITY; IMPACT; RISK</t>
  </si>
  <si>
    <t>Most commonly in radiation therapy, treatments are delivered in a co-planar geometry. Numerous advantages have been reported of adding non-coplanar beams to the treatment plan. The aim of this study was to compare current state-of-the-art VMAT and CyberKnife treatment plans to that of a novel linac design developed at Stanford which utilizes a static conical beam arrangement that allows the inclusion of a full ring diagnostic CT with shared isocenter with the treatment beams. Four clinical cases, prostate, lung, head/neck, and pediatric brain, were selected and treatment plans were generated with 45 or 60 (to the longitudinal axis of the patient) conical beam IMRT and compared with co-planar 90 VMAT plans. Double cone, with beams entering from both superior and inferior directions, and single cone geometries were evaluated. Plans were optimized in RayStation using an in-house developed script to minimize operator bias between the different techniques. Non-coplanar CyberKnife IMRT plans for the pediatric and prostate case were optimized separately in MultiPlan and compared to conical geometry plans. In the prostate case, increased mean dose to the rectum (2.3-3.7 Gy) and bladder (9.5-14.5 Gy) but decreased dose to the femoral heads (femurs) (7.1-10 Gy) were found with the conical arrangement compared to 90 VMAT. Only minor dosimetric differences were found in the lung case, while selective sparing of organs at risk was found with 45 degrees or 60 degrees conical arrangement in the pediatric brain and head/neck cases. For the prostate case, a reduction in mean doses to the bladder and rectum of 6% (2 Gy) and 18% (5.2 Gy), respectively, was found when comparing the CyberKnife to the 60 degrees conical plan, in favor of the CyberKnife plan, but with an increase in integral dose and reduced conformity. An increase in integral dose and reduced conformity was also found for the pediatric brain case when comparing CyberKnife and 60 degrees conical plan. Minor benefits were found with double cone compared to single cone geometry. Comparable treatment plan quality could be achieved between conical beam arrangement and 90 degrees (coplanar) VMAT and CyberKnife (non-coplanar) IMRT, demonstrating the promise of this novel beam geometry. The use of this beam geometry allows volumetric image-guidance with full ring imaging and a common isocenter for simultaneous treatment and imaging.</t>
  </si>
  <si>
    <t>[Schuler, Emil; Wang, Lei; Loo, Billy W., Jr.] Stanford Univ, Dept Radiat Oncol, Sch Med, Stanford, CA 94305 USA; [Maxim, Peter G.] Indiana Univ Sch Med, Dept Radiat Oncol, Indianapolis, IN 46202 USA; [Loo, Billy W., Jr.] Stanford Univ, Sch Med, Stanford Canc Inst, Stanford, CA 94305 USA</t>
  </si>
  <si>
    <t>Stanford University; Indiana University System; Indiana University Bloomington; Stanford University; Stanford Cancer Institute</t>
  </si>
  <si>
    <t>Loo, BW (通訊作者)， Stanford Univ, Dept Radiat Oncol, Sch Med, Stanford, CA 94305 USA.;Maxim, PG (通訊作者)， Indiana Univ Sch Med, Dept Radiat Oncol, Indianapolis, IN 46202 USA.;Loo, BW (通訊作者)， Stanford Univ, Sch Med, Stanford Canc Inst, Stanford, CA 94305 USA.</t>
  </si>
  <si>
    <t>BWLoo@stanford.edu; pmaxim@iu.edu</t>
  </si>
  <si>
    <t>; Maxim, Peter/HME-2608-2023</t>
  </si>
  <si>
    <t>Schueler, Emil/0000-0002-7220-3582;</t>
  </si>
  <si>
    <t>Swedish Childhood Cancer Foundation; Foundation BLANCEFLOR Boncompagni Ludovisi n'ee Bildt; American Association for Cancer Research; Weston Havens Foundation; Wallace H Coulter Foundation; Department of Radiation Oncology (Stanford University); Office of the Dean (School of Medicine, Stanford University); Office of the Provost (Stanford University); SLAC National Accelerator Laboratory</t>
  </si>
  <si>
    <t>Swedish Childhood Cancer Foundation; Foundation BLANCEFLOR Boncompagni Ludovisi n'ee Bildt; American Association for Cancer Research; Weston Havens Foundation; Wallace H Coulter Foundation; Department of Radiation Oncology (Stanford University); Office of the Dean (School of Medicine, Stanford University); Office of the Provost (Stanford University); SLAC National Accelerator Laboratory(Stanford UniversityUnited States Department of Energy (DOE))</t>
  </si>
  <si>
    <t>The authors would like to thank the following for financial support of this research: the Swedish Childhood Cancer Foundation, the Foundation BLANCEFLOR Boncompagni Ludovisi n'ee Bildt, the American Association for Cancer Research, the Weston Havens Foundation, the Wallace H Coulter Foundation, the Department of Radiation Oncology (Stanford University), the Office of the Dean (School of Medicine, Stanford University), the Office of the Provost (Stanford University) and SLAC National Accelerator Laboratory.</t>
  </si>
  <si>
    <t>10.1088/1361-6560/ab246f</t>
  </si>
  <si>
    <t>WOS:000518929400004</t>
  </si>
  <si>
    <t>Wang, X; Yang, JZ; Zhao, ZX; Luo, DS; Court, L; Zhang, YB; Weksberg, D; Brown, PD; Li, J; Ghia, AJ</t>
  </si>
  <si>
    <t>Wang, Xin; Yang, Jinzhong; Zhao, Zhongxiang; Luo, Dershan; Court, Laurence; Zhang, Yongbin; Weksberg, David; Brown, Paul D.; Li, Jing; Ghia, Amol J.</t>
  </si>
  <si>
    <t>Dosimetric impact of esophagus motion in single fraction spine stereotactic body radiotherapy</t>
  </si>
  <si>
    <t>esophagus; spinal SBRT; 4D CT; respiratory motion</t>
  </si>
  <si>
    <t>COMPUTED-TOMOGRAPHY; RESPIRATORY MOTION; RADIOSURGERY</t>
  </si>
  <si>
    <t>Nine patients with single fraction spinal stereotactic body radiation therapy (SBRT) treatment were identified to assess both the intra fraction and daily esophageal motion and associated dosimetric deviation in spinal SBRT. We performed a chained deformable registration of 4D CT phase images to estimate the intra fraction motion magnitude of the esophagus in a breathing cycle. The intra fraction esophageal motion mostly exhibited in the superior-inferior direction with the total motion magnitude increased from the T1 (0.7 mm) to the T11 vertebra level (6.5 mm). The actual dose received by a moving esophagus was estimated by accumulating dose from each phase of the 4D dataset using deformable image registration. In comparison, dose recalculated on the average CT reflects the dose received by a stationary esophagus. Intra fraction motion was found to reduce the maximum dose received by a small volume of esophagus &lt;= 2 cm(3), with the largest absolute and relative dose difference being -80 cGy and -6.4%, respectively. Its effect on the maximum dose received by 5 cm(3) of esophagus can be higher or lower with a large percentage difference, but did not result in substantial absolute dose increase to violate the dose constraint of 11.9 Gy we used for plan evaluation. In addition, there was no correlation between the dosimetric deviation and the intra fraction motion magnitude. These findings suggest that 4D CT simulation is not essential with regards to the esophageal dose. The daily motion of the esophagus and its dosimetric impact was investigated by examining the difference of esophagus delineated on both treatment and planning CT after they were registered using boney target. The day to day difference of esophagus was negligible for all cases in this study.</t>
  </si>
  <si>
    <t>[Wang, Xin; Yang, Jinzhong; Zhao, Zhongxiang; Luo, Dershan; Court, Laurence] Univ Texas MD Anderson Canc Ctr, Dept Radiat Phys, Houston, TX 77030 USA; [Zhang, Yongbin] Univ Cincinnati, Med Ctr, Dept Radiat Oncol, Cincinnati, OH 45267 USA; [Weksberg, David] PinnacleHlth Canc Inst, Dept Radiat Oncol, Harrisburg, PA USA; [Brown, Paul D.] Mayor Clin, Dept Radiat Oncol, Rochester, MN USA; [Li, Jing; Ghia, Amol J.] Univ Texas MD Anderson Canc Ctr, Dept Radiat Oncol, Houston, TX 77030 USA</t>
  </si>
  <si>
    <t>University of Texas System; UTMD Anderson Cancer Center; University System of Ohio; University of Cincinnati; University of Texas System; UTMD Anderson Cancer Center</t>
  </si>
  <si>
    <t>Wang, X (通訊作者)， Univ Texas MD Anderson Canc Ctr, Dept Radiat Phys, Houston, TX 77030 USA.</t>
  </si>
  <si>
    <t>xawang@mdanderson.org</t>
  </si>
  <si>
    <t>Zhang, Zijian/AFR-0210-2022; Zhao, Zhongxiang/A-1918-2012</t>
  </si>
  <si>
    <t>Yang, Jinzhong/0000-0002-9254-4501; Court, Laurence/0000-0002-3241-6145;</t>
  </si>
  <si>
    <t>10.1088/1361-6560/ab1c2b</t>
  </si>
  <si>
    <t>WOS:000469802000002</t>
  </si>
  <si>
    <t>Choi, S; Lee, S; Kang, YN; Hsieh, SS; Kim, HJ</t>
  </si>
  <si>
    <t>Choi, Sunghoon; Lee, Sooyeul; Kang, Young-Nam; Hsieh, Scott S.; Kim, Hee-Joung</t>
  </si>
  <si>
    <t>4D digital tomosynthesis image reconstruction using brute force-based adaptive total variation (BF-ATV) in a prototype LINAC system</t>
  </si>
  <si>
    <t>4D tomosynthesis; brute force; adaptive total variation; GPU</t>
  </si>
  <si>
    <t>CONE-BEAM CT; COMPUTED-TOMOGRAPHY; MOTION</t>
  </si>
  <si>
    <t>Respiratory-correlated cone-beam CT (CBCT) not only inhibits rapid scanning due to the slow speed of the LINAC head gantry rotation, but its implementation for routine patient imaging is impractical because of the high radiation dose delivered during the process. Digital tomosynthesis (DTS) is a potentially faster technique that delivers a much lower radiation dose by reducing the number of projections in a limited angular range. Unfortunately, 4D-DTS introduces strong aliasing artifacts in the reconstructed images due to the sparsely sampled projections in each respiratory phase bin. The authors hereby suggest a novel low-dose 4D-DTS image reconstruction method that achieves a compromise between the occurrence of aliasing artifacts and image smoothing using a brute force-based adaptive weighting parameter searching technique. We used a prototype LINAC system mounted with a flat-panel detector to acquire tomosynthesis projections of respiratory motion in a phantom in the anterior-posterior (AP) and lateral views. Three different 4D-DTS image reconstruction schemes that included conventional filtered back-projection (FBP), adaptive steepest descent projection onto convex sets (ASD-POCS), and the proposed brute force-based adaptive total variation (BF-ATV) were implemented in four different respiratory phase bins for both AP and lateral views. All reconstructions were accelerated using a single GPU card to reduce the computation time. To study the performance of the algorithm under various sparse conditions, we operated the prototype system in three different gantry sweep modes. The results indicate that the proposed BF-ATV method yields the largest structural similarities in the differenced image between the ground-truth dataset acquired using the slow gantry sweep mode and the sparse dataset from both moderate and fast sweep modes. In addition, the proposed method maintained the object sharpness with less streaking lines and small loss of sharpness compared to the conventional FBP and ASD-POCS methods. In conclusion, the proposed low-dose 4D-DTS reconstruction scheme may provide better performance due in part to its rapid scanning. Therefore, it is potentially applicable to practical 4D imaging for radiotherapy.</t>
  </si>
  <si>
    <t>[Choi, Sunghoon; Kim, Hee-Joung] Yonsei Univ, Coll Hlth Sci, Dept Radiol Sci, 1 Yonseidae Gil, Wonju 26493, South Korea; [Lee, Sooyeul] Elect &amp; Telecommun Res Inst, Biomed IT Convergence Res Div, 218 Gajeong Ro, Daejeon, South Korea; [Kang, Young-Nam] Catholic Univ, Seoul St Marys Hosp, Dept Radiat Oncol, Seoul, South Korea; [Hsieh, Scott S.] Univ Calif Los Angeles, Dept Radiol Sci, Westwood, CA 90024 USA; [Kim, Hee-Joung] Yonsei Univ, Dept Radiat Convergence Engn, 1 Yonseidae Gil, Wonju 26493, South Korea</t>
  </si>
  <si>
    <t>Yonsei University; Electronics &amp; Telecommunications Research Institute - Korea (ETRI); Catholic University of Korea; Seoul St. Mary's Hospital; University of California System; University of California Los Angeles; Yonsei University</t>
  </si>
  <si>
    <t>Kim, HJ (通訊作者)， Yonsei Univ, Coll Hlth Sci, Dept Radiol Sci, 1 Yonseidae Gil, Wonju 26493, South Korea.;Kim, HJ (通訊作者)， Yonsei Univ, Dept Radiat Convergence Engn, 1 Yonseidae Gil, Wonju 26493, South Korea.</t>
  </si>
  <si>
    <t>Kim, Kyung Soo/AAM-9574-2020</t>
  </si>
  <si>
    <t>Ministry of Education [2018-D-G011-010111]; National Research Foundation of Korea</t>
  </si>
  <si>
    <t>Ministry of Education; National Research Foundation of Korea(National Research Foundation of Korea)</t>
  </si>
  <si>
    <t>This research was result of a study on the 'Leaders in Industry-university Cooperation +' Project (2018-D-G011-010111), supported by the Ministry of Education and National Research Foundation of Korea.</t>
  </si>
  <si>
    <t>10.1088/1361-6560/ab0d50</t>
  </si>
  <si>
    <t>WOS:000466862700008</t>
  </si>
  <si>
    <t>Chen, LY; Zhou, ZG; Sher, D; Zhang, QW; Shah, J; Pham, NL; Jiang, S; Wang, J</t>
  </si>
  <si>
    <t>Chen, Liyuan; Zhou, Zhiguo; Sher, David; Zhang, Qiongwen; Shah, Jennifer; Nhat-Long Pham; Jiang, Steve; Wang, Jing</t>
  </si>
  <si>
    <t>Combining many-objective radiomics and 3D convolutional neural network through evidential reasoning to predict lymph node metastasis in head and neck cancer</t>
  </si>
  <si>
    <t>radiomics; convolutional neural network; evidential reasoning; lymph node metastasis; head and neck cancer</t>
  </si>
  <si>
    <t>SQUAMOUS-CELL CARCINOMA; FEATURES; MODEL; CT</t>
  </si>
  <si>
    <t>Lymph node metastasis (LNM) is a significant prognostic factor in patients with head and neck cancer, and the ability to predict it accurately is essential to optimizing treatment. Positron emission tomography (PET) and computed tomography (CT) imaging are routinely used to identify LNM. Although large or highly active lymph nodes (LNs) have a high probability of being positive, identifying small or less reactive LNs is challenging. The accuracy of LNM identification strongly depends on the physician's experience, so an automatic prediction model for LNM based on CT and PET images is warranted to assist LMN identification across care providers and facilities. Radiomics and deep learning are the two promising imaging-based strategies for node malignancy prediction. Radiomics models are built based on handcrafted features, while deep learning learns the features automatically. To build a more reliable model, we proposed a hybrid predictive model that takes advantages of both radiomics and deep learning based strategies. We designed a new many-objective radiomics (MaO-radiomics) model and a 3D convolutional neural network (3D-CNN) that fully utilizes spatial contextual information, and we fused their outputs through an evidential reasoning (ER) approach. We evaluated the performance of the hybrid method for classifying normal, suspicious and involved LNs. The hybrid method achieves an accuracy (ACC) of 0.88 while XmasNet and Radiomics methods achieve 0.81 and 0.75, respectively. The hybrid method provides a more accurate way for predicting LNM using PET and CT.</t>
  </si>
  <si>
    <t>[Chen, Liyuan; Zhou, Zhiguo; Sher, David; Zhang, Qiongwen; Shah, Jennifer; Nhat-Long Pham; Jiang, Steve; Wang, Jing] Univ Texas Southwestern Med Ctr Dallas, Dept Radiat Oncol, Dallas, TX 75390 USA; [Chen, Liyuan; Zhou, Zhiguo; Zhang, Qiongwen; Jiang, Steve; Wang, Jing] Univ Texas Southwestern Med Ctr Dallas, Med Artificial Intelligence &amp; Automat MAIA Lab, Dallas, TX 75390 USA; [Zhang, Qiongwen] Sichuan Univ, West China Hosp, Canc Ctr, Dept Head &amp; Neck Canc, Chengdu, Sichuan, Peoples R China</t>
  </si>
  <si>
    <t>University of Texas System; University of Texas Southwestern Medical Center; University of Texas System; University of Texas Southwestern Medical Center; Sichuan University</t>
  </si>
  <si>
    <t>Wang, J (通訊作者)， Univ Texas Southwestern Med Ctr Dallas, Dept Radiat Oncol, Dallas, TX 75390 USA.;Wang, J (通訊作者)， Univ Texas Southwestern Med Ctr Dallas, Med Artificial Intelligence &amp; Automat MAIA Lab, Dallas, TX 75390 USA.</t>
  </si>
  <si>
    <t>Wang, Liang/GWR-1684-2022; Jiang, Steve/GRO-3951-2022; Zhou, Zhiguo/S-4260-2018; Chen, Liyuan/AAF-3864-2020; Wang, Jing/N-7332-2019</t>
  </si>
  <si>
    <t>Zhang, Qiongwen/0000-0003-2033-6663; Wang, Jing/0000-0002-8491-4146;</t>
  </si>
  <si>
    <t>American Cancer Society [ACS-IRG-02-196]; US National Institutes of Health [R01 EB020366]</t>
  </si>
  <si>
    <t>American Cancer Society(American Cancer Society); US National Institutes of Health(United States Department of Health &amp; Human ServicesNational Institutes of Health (NIH) - USA)</t>
  </si>
  <si>
    <t>This work was supported in part by the American Cancer Society (ACS-IRG-02-196) and the US National Institutes of Health (R01 EB020366). The authors would like to thank the following people for their contributions to this manuscript: Dr Genggeng Qin from Southern Medical University, Guangzhou, China and Dr Jonathan Feinberg from UT southwestern Medical Center.</t>
  </si>
  <si>
    <t>10.1088/1361-6560/ab083a</t>
  </si>
  <si>
    <t>WOS:000462887300003</t>
  </si>
  <si>
    <t>Johnson, PM; Taylor, R; Whelan, T; Thiessen, JD; Anazodo, U; Drangova, M</t>
  </si>
  <si>
    <t>Johnson, P. M.; Taylor, R.; Whelan, T.; Thiessen, J. D.; Anazodo, U.; Drangova, M.</t>
  </si>
  <si>
    <t>Rigid-body motion correction in hybrid PET/MRI using spherical navigator echoes</t>
  </si>
  <si>
    <t>PET/MRI; motion correction; navigators</t>
  </si>
  <si>
    <t>HEAD MOTION</t>
  </si>
  <si>
    <t>Integrated positron emission tomography and magnetic resonance imaging (PET/MRI) is an imaging technology that provides complementary anatomical and functional information for medical diagnostics. Both PET and MRI are highly susceptible to motion artifacts due, in part, to long acquisition times. The simultaneous acquisition of the two modalities presents the opportunity to use MRI navigator techniques for motion correction of both PET and MRI data. For this task, we propose spherical navigator echoes (SNAVs)-3D k-space navigators that can accurately and rapidly measure rigid body motion in all six degrees of freedom. SNAVs were incorporated into turbo FLASH (tfl)-a product fast gradient echo sequence-to create the tfl-SNAV pulse sequence. Acquiring in vivo brain images from a healthy volunteer with both sequences first compared the tfl-SNAV and product to sequences. It was observed that incorporation of the SNAVs into the image sequence did not have any detrimental impact on the image quality. The SNAV motion correction technique was evaluated using an anthropomorphic brain phantom. Following a stationary reference image where the tfl-SNAV sequence was acquired along with simultaneous list-mode PET, three identical PET/MRI scans were performed where the phantom was moved several times throughout each acquisition. This motion-up to 11 degrees and 14 mm-resulted in motion artifacts in both PET and MR images. Following SNAV motion correction of the MRI and PET list-mode data, artifact reduction was achieved for both the PET and MR images in all three motion trials. The corrected images have improved image quality and are quantitatively more similar to the ground truth reference images.</t>
  </si>
  <si>
    <t>[Johnson, P. M.; Whelan, T.; Drangova, M.] Western Univ, Robarts Res Inst, London, ON, Canada; [Johnson, P. M.; Thiessen, J. D.; Anazodo, U.; Drangova, M.] Western Univ, Dept Med Biophys, London, ON, Canada; [Taylor, R.; Thiessen, J. D.; Anazodo, U.] Lawson Hlth Res Inst, London, ON, Canada; [Taylor, R.] Siemens Canada, Oakville, ON, Canada; [Taylor, R.] Royal Ottawa Mental Hlth Ctr, Ottawa, ON, Canada</t>
  </si>
  <si>
    <t>Western University (University of Western Ontario); University Western Ontario Hospital; Western University (University of Western Ontario); Western University (University of Western Ontario); University Western Ontario Hospital; Siemens AG; Siemens Canada; University of Ottawa</t>
  </si>
  <si>
    <t>Drangova, M (通訊作者)， Western Univ, Robarts Res Inst, London, ON, Canada.;Drangova, M (通訊作者)， Western Univ, Dept Med Biophys, London, ON, Canada.</t>
  </si>
  <si>
    <t>mdrangova@robarts.ca</t>
  </si>
  <si>
    <t>Drangova, Maria/J-3123-2012; Thiessen, Jonathan/B-3514-2015</t>
  </si>
  <si>
    <t>Drangova, Maria/0000-0003-1856-9038; Thiessen, Jonathan/0000-0001-6132-3020; Anazodo, Udunna/0000-0001-8864-035X</t>
  </si>
  <si>
    <t>Natural Sciences and Engineering Research Council [401947-2011 RGPIN]</t>
  </si>
  <si>
    <t>Natural Sciences and Engineering Research Council(Natural Sciences and Engineering Research Council of Canada (NSERC))</t>
  </si>
  <si>
    <t>This work was funded in part by a grant from the Natural Sciences and Engineering Research Council (#401947-2011 RGPIN). The authors also acknowledge the research support provided by Gerald Moran and David Faul of Siemens Healthineers.</t>
  </si>
  <si>
    <t>08NT03</t>
  </si>
  <si>
    <t>10.1088/1361-6560/ab10b2</t>
  </si>
  <si>
    <t>WOS:000464454600001</t>
  </si>
  <si>
    <t>Papadacci, C; Finel, V; Villemain, O; Goudot, G; Provost, J; Messas, E; Tanter, M; Pernot, M</t>
  </si>
  <si>
    <t>Papadacci, C.; Finel, V; Villemain, O.; Goudot, G.; Provost, J.; Messas, E.; Tanter, M.; Pernot, M.</t>
  </si>
  <si>
    <t>4D simultaneous tissue and blood flow Doppler imaging: revisiting cardiac Doppler index with single heart beat 4D ultrafast echocardiography</t>
  </si>
  <si>
    <t>4D echocardiography; 4D ultrafast echocardiography; Doppler index; cardiac function; cardiac output; simultaneous</t>
  </si>
  <si>
    <t>3-DIMENSIONAL ECHOCARDIOGRAPHY; REPRODUCIBILITY; RECOMMENDATIONS; ELASTOGRAPHY; PRINCIPLES; ACCURACY; VOLUMES</t>
  </si>
  <si>
    <t>The goal of this study was to demonstrate the feasibility of semi-automatic evaluation of cardiac Doppler indices in a single heartbeat in human hearts by performing 4D ultrafast echocardiography with a dedicated sequence of 4D simultaneous tissue and blood flow Doppler imaging. 4D echocardiography has the potential to improve the quantification of major cardiac indices by providing more reproducible and less user dependent measurements such as the quantification of left ventricle (LV) volume. The evaluation of Doppler indices, however, did not benefit yet from 4D echocardiography because of limited volume rates achieved in conventional volumetric color Doppler imaging but also because spectral Doppler estimation is still restricted to a single location. High volume rate (5200 volumes(-1)) transthoracic simultaneous tissue and blood flow Doppler acquisitions of three human LV were performed using a 4D ultrafast echocardiography scanner prototype during a single heartbeat. 4D color flow, 4D tissue Doppler cineloops and spectral Doppler at each voxel were computed. LV outflow tract, mitral inflow and basal inferoseptal locations were automatically detected. Doppler indices were derived at these locations and were compared against clinical 2D echocardiography. Blood flow Doppler indices E (early filling), A (atrial filling), E/A ratio, S (systolic ejection) and cardiac output were assessed on the three volunteers. Simultaneous tissue Doppler indices e' (mitral annular velocity peak), a' (late velocity peak), e'/a' ratio, s' (systolic annular velocity peak), E/e' ratio were also estimated. Standard deviations on three independent acquisitions were averaged over the indices and was found to be inferior to 4% and 8.5% for Doppler flow and tissue Doppler indices, respectively. Comparison against clinical 2D echocardiography gave a p value larger than 0.05 in average indicating no significant differences. 4D ultrafast echocardiography can quantify the major cardiac Doppler indices in a single heart beat acquisition.</t>
  </si>
  <si>
    <t>[Papadacci, C.; Finel, V; Villemain, O.; Goudot, G.; Provost, J.; Tanter, M.; Pernot, M.] PSL Res Univ, Phys Med Paris, INSERM U1273, ESPCI Paris,CNRS UMR 7587, Paris, France; [Villemain, O.] M3C Necker Enfants Malad, AP HP, Paris, France; [Villemain, O.; Messas, E.] Paris Descartes Univ, USPC Sorbonne Paris Cite, Paris, France; [Messas, E.] Hop Europeen Georges Pompidou, AP HP, INSERM PARCC U970, Paris, France</t>
  </si>
  <si>
    <t>Universite PSL; Ecole Superieure de Physique et de Chimie Industrielles de la Ville de Paris (ESPCI); Centre National de la Recherche Scientifique (CNRS); CNRS - Institute for Engineering &amp; Systems Sciences (INSIS); Institut National de la Sante et de la Recherche Medicale (Inserm); Universite Paris Cite; Assistance Publique Hopitaux Paris (APHP); Universite Paris Cite; Hopital Universitaire Necker-Enfants Malades - APHP; Universite Paris Cite; Assistance Publique Hopitaux Paris (APHP); Universite Paris Cite; Hopital Universitaire Europeen Georges-Pompidou - APHP; Institut National de la Sante et de la Recherche Medicale (Inserm)</t>
  </si>
  <si>
    <t>Papadacci, C; Pernot, M (通訊作者)， PSL Res Univ, Phys Med Paris, INSERM U1273, ESPCI Paris,CNRS UMR 7587, Paris, France.</t>
  </si>
  <si>
    <t>clement.papadacci@espci.fr</t>
  </si>
  <si>
    <t>; Mickael, Tanter/H-4657-2012; Pernot, Mathieu/P-2394-2019; Goudot, Guillaume/AAE-1337-2022; Papadacci, Clement/AAA-4938-2022; Tanter, Mickael/H-4657-2012; Provost, Jean/I-1480-2014; Papadacci, Clément/AAA-4938-2022</t>
  </si>
  <si>
    <t>Villemain, Olivier/0000-0002-8260-9324; Goudot, Guillaume/0000-0003-4327-5568; Pernot, Mathieu/0000-0001-6713-4642; Papadacci, Clement/0000-0003-3918-1008; Tanter, Mickael/0000-0001-7739-8051; Provost, Jean/0000-0003-2057-2199;</t>
  </si>
  <si>
    <t>Inserm Technology Research Accelerator (Inserm ART) in Biomedical Ultrasound, Paris, France; European Research Council under the European Union's Seventh Framework Program (FP/2007-2013)/ERC Grant [311025]; PSL* Research University [ANR-10-IDEX-0001-02]</t>
  </si>
  <si>
    <t>Inserm Technology Research Accelerator (Inserm ART) in Biomedical Ultrasound, Paris, France; European Research Council under the European Union's Seventh Framework Program (FP/2007-2013)/ERC Grant; PSL* Research University</t>
  </si>
  <si>
    <t>The work performed in this publication was performed with the support of the Inserm Technology Research Accelerator (Inserm ART) in Biomedical Ultrasound, Paris, France. This study was supported by the European Research Council under the European Union's Seventh Framework Program (FP/2007-2013)/ERC Grant Agreement no 311025 and the ANR-10-IDEX-0001-02 PSL* Research University. The Titan X Pascal used for this research was donated by the NVIDIA Corporation.</t>
  </si>
  <si>
    <t>10.1088/1361-6560/ab1107</t>
  </si>
  <si>
    <t>WOS:000464179400005</t>
  </si>
  <si>
    <t>Yeom, YS; Han, H; Choi, C; Nguyen, TT; Shine, A; Lee, C; Kim, CH</t>
  </si>
  <si>
    <t>Yeom, Yeon Soo; Han, Haegin; Choi, Chansoo; Thang Tat Nguyen; Shine, Angho; Lee, Choonsik; Kim, Chan Hyeong</t>
  </si>
  <si>
    <t>Posture-dependent dose coefficients of mesh-type ICRP reference computational phantoms for photon external exposures</t>
  </si>
  <si>
    <t>reference computational phantom; mesh; posture; dose coefficient; Monte Carlo</t>
  </si>
  <si>
    <t>CONVERSION COEFFICIENTS; AIR KERMA; CAPTURE; ORGAN; RECONSTRUCTION; TERMS</t>
  </si>
  <si>
    <t>Recently, the International Commission on Radiological Protection (ICRP) developed new mesh-type reference computational phantoms (MRCPs) that provide high deformability compared with the current voxel-type reference computational phantoms of ICRP Publication 110. Taking advantage of this deformability, in the present study, the MRCPs were deformed to five non-standing postures (i.e. walking, sitting, bending, kneeling, and squatting) by developing and using a systematic posture-change method based on the as-rigid-as-possible (ARAP) shape-deformation algorithm and motion-capture technology. The non-standing MRCPs were then implemented in the Geant4 Monte Carlo code to calculate a comprehensive dataset of dose coefficients (DCs) for photon external exposures. These include the dose coefficients for 29 individual organs/tissues and the dose coefficients for effective doses from 0.01 MeV to 10 GeV in the antero-posterior (AP), posteroanterior (PA), left-lateral (LLAT), right-lateral (RLAT), rotational (ROT), and isotropic (ISO) geometries. To investigate the dosimetric impact of posture, the DCs of the non-standing MRCPs were compared with those of the original MRCPs (in the standing posture). The results showed that organ/tissue doses are significantly influenced by posture, with arm position mostly influencing dose to organs/tissues in the torso region and leg position influencing dose in the pelvic region. For most cases, the gonads showed notably large differences, ranging from a few tens of percentage points to several orders of magnitude, depending on posture and irradiation geometry. The effective doses showed much smaller differences than the organ/tissue doses, but they were nonetheless significant: for example, the kneeling MRCPs in the AP geometry showed lower values at energies &lt;10 MeV by up to 30% and greater values at higher energies by up to 40%. The presented results indicate that not only different irradiation geometries, but also different postures might be necessary in DC calculations for reliable dose estimates for radiological protection purposes.</t>
  </si>
  <si>
    <t>[Yeom, Yeon Soo; Lee, Choonsik] NCI, Div Canc Epidemiol &amp; Genet, NIH, Rockville, MD 20850 USA; [Han, Haegin; Choi, Chansoo; Shine, Angho; Kim, Chan Hyeong] Hanyang Univ, Dept Nucl Engn, 222 Wangsimni Ro, Seoul 04763, South Korea; [Thang Tat Nguyen] Hanoi Univ Sci &amp; Technol, Sch Nucl Engn &amp; Environm Phys, 1 Dai Co Viet Rd, Hanoi, Vietnam</t>
  </si>
  <si>
    <t>National Institutes of Health (NIH) - USA; NIH National Cancer Institute (NCI); NIH National Cancer Institute- Division of Cancer Epidemiology &amp; Genetics; Hanyang University; Hanoi University of Science &amp; Technology (HUST)</t>
  </si>
  <si>
    <t>Kim, CH (通訊作者)， Hanyang Univ, Dept Nucl Engn, 222 Wangsimni Ro, Seoul 04763, South Korea.</t>
  </si>
  <si>
    <t>Kim, Chan/K-6214-2017; Han, Haegin/LCG-8369-2024</t>
  </si>
  <si>
    <t>Han, Haegin/0000-0002-7635-1611</t>
  </si>
  <si>
    <t>Nuclear Safety Research Development (NSR&amp;D) Program through the Korea Foundation of Nuclear Safety (KOFONS) - Nuclear Safety and Security Commission (NSSC); National Research Foundation of Korea (NRF) - Ministry of Science, ICT and Future Planning through the National Research Foundation of Korea [1705006, 2016R1D1A1A09916337]; intramural program of the National Institutes of Health, National Cancer Institute, Division of Cancer Epidemiology and Genetics; Korean Health Technology R&amp;D Project through the Korean Health Industry Development Institute (KHIDI) - Ministry of Health &amp; Welfare, Republic of Korea [H18C2257]; Global PhD Fellowship program [NRF-2017H1A2A1046391, NRF-2018H1A2A1059767]</t>
  </si>
  <si>
    <t>Nuclear Safety Research Development (NSR&amp;D) Program through the Korea Foundation of Nuclear Safety (KOFONS) - Nuclear Safety and Security Commission (NSSC)(Nuclear Safety &amp; Security Commission (NSSC), Republic of KoreaKorea Foundation of Nuclear Safety (KoFONS)); National Research Foundation of Korea (NRF) - Ministry of Science, ICT and Future Planning through the National Research Foundation of Korea(National Research Foundation of Korea); intramural program of the National Institutes of Health, National Cancer Institute, Division of Cancer Epidemiology and Genetics; Korean Health Technology R&amp;D Project through the Korean Health Industry Development Institute (KHIDI) - Ministry of Health &amp; Welfare, Republic of Korea; Global PhD Fellowship program</t>
  </si>
  <si>
    <t>This work was supported by the Nuclear Safety Research Development (NSR&amp;D) Program through the Korea Foundation of Nuclear Safety (KOFONS) funded by the Nuclear Safety and Security Commission (NSSC), and additionally, by the National Research Foundation of Korea (NRF) funded by the Ministry of Science, ICT and Future Planning through the National Research Foundation of Korea (Project Nos.: 1705006, 2016R1D1A1A09916337). This work was additionally funded by the intramural program of the National Institutes of Health, National Cancer Institute, Division of Cancer Epidemiology and Genetics. The contents are solely the responsibility of the authors and do not necessarily represent the official views of the National Institutes of Health. One of the authors (Yeon Soo Yeom) was supported by a grant of the Korean Health Technology R&amp;D Project through the Korean Health Industry Development Institute (KHIDI) funded by the Ministry of Health &amp; Welfare, Republic of Korea (Project No: H18C2257). Two of the authors (Chansoo Choi and Haegin Han) were supported by the Global PhD Fellowship program (Project Nos.: NRF-2017H1A2A1046391, NRF-2018H1A2A1059767). The calculations in this work were performed on the National Institutes of Health's High-Performance Computing Biowulf cluster (http://hpc.nih.gov).</t>
  </si>
  <si>
    <t>10.1088/1361-6560/ab0917</t>
  </si>
  <si>
    <t>WOS:000463540400006</t>
  </si>
  <si>
    <t>Gallinato, O; de Senneville, BD; Seror, O; Poignard, C</t>
  </si>
  <si>
    <t>Gallinato, Olivier; de Senneville, Baudouin Denis; Seror, Olivier; Poignard, Clair</t>
  </si>
  <si>
    <t>Numerical workflow of irreversible electroporation for deep-seated tumor</t>
  </si>
  <si>
    <t>irreversible electroporation ablation; computational electroporation; image registration tool; numerical workflow for clinical IRE; numerics for clinical use</t>
  </si>
  <si>
    <t>HEPATOCELLULAR-CARCINOMA; GENE ELECTROTRANSFER; ABLATION; SAFETY; ELECTROPERMEABILIZATION; ELECTROCHEMOTHERAPY; EFFICACY; LIVER</t>
  </si>
  <si>
    <t>The paper provides a numerical workflow, based on the 'real-life' clinical workflow of irreversible electroporation (IRE) performed for the treatment of deep-seated liver tumors. Thanks to a combination of numerical modeling, image registration algorithm and clinical data, our numerical workflow enables to provide the distribution of the electric field as effectively delivered by the clinical IRE procedure. As a proof of concept, we show on a specific clinical case of IRE ablation of liver tumor that clinical data could be advantageously combined to numerical simulations in a near future, in order to give to the interventional radiologists information on the effective IRE ablation. We also corroborate the simulated treated region with the post-treatment MRI performed 3 d after the treatment.</t>
  </si>
  <si>
    <t>[Gallinato, Olivier; de Senneville, Baudouin Denis; Poignard, Clair] Univ Bordeaux, IMB, Bordeaux INP, INRIA Bordeaux Sud Ouest,UMR 5251,CNRS, F-33400 Talence, France; [Seror, Olivier] Hop Univ Paris Seine St Denis, Hop Jean Verdier, AP HP, Dept Radiol, Ave 14 Juillet, F-93140 Bondy, France; [Seror, Olivier] INSERM, UMR 1162, Genom Fonct Tumeurs Solides, Paris, France</t>
  </si>
  <si>
    <t>Universite de Bordeaux; Centre National de la Recherche Scientifique (CNRS); CNRS - National Institute for Mathematical Sciences (INSMI); Assistance Publique Hopitaux Paris (APHP); Hopital Universitaire Jean-Verdier - APHP; Universite Paris Cite; Institut National de la Sante et de la Recherche Medicale (Inserm)</t>
  </si>
  <si>
    <t>Poignard, C (通訊作者)， Univ Bordeaux, IMB, Bordeaux INP, INRIA Bordeaux Sud Ouest,UMR 5251,CNRS, F-33400 Talence, France.</t>
  </si>
  <si>
    <t>clair.poignard@inria.fr</t>
  </si>
  <si>
    <t>; Poignard, Clair/ABB-6532-2021; Seror, Olivier/JCE-5600-2023</t>
  </si>
  <si>
    <t>Denis de Senneville, Baudouin/0000-0001-5284-8474; Poignard, Clair/0000-0002-7555-3828;</t>
  </si>
  <si>
    <t>French State [ANR-10-LABX-0057]; 'Investments for the future' Programme IdEx [ANR-10-IDEX-03-02]; INCA Aviesan Plan Cancer project DYNAMO [PC201515]; INCA Aviesan Plan Cancer project NUMEP [PC201615]</t>
  </si>
  <si>
    <t>French State; 'Investments for the future' Programme IdEx; INCA Aviesan Plan Cancer project DYNAMO; INCA Aviesan Plan Cancer project NUMEP</t>
  </si>
  <si>
    <t>The authors thank very warmly the referees for their helpful comments and suggestions, that help to improve the manusript. This study has been carried out within the frame of the LABEX TRAIL, ANR-10-LABX-0057 with financial support from the French State, managed by the French National Research Agency (ANR) in the frame of the 'Investments for the future' Programme IdEx (ANR-10-IDEX-03-02). The authors are supported by the INCA Aviesan Plan Cancer projects DYNAMO (ref. PC201515) and NUMEP (ref. PC201615).</t>
  </si>
  <si>
    <t>10.1088/1361-6560/ab00c4</t>
  </si>
  <si>
    <t>WOS:000460772200004</t>
  </si>
  <si>
    <t>Pillain, A; Rahmouni, L; Andriulli, F</t>
  </si>
  <si>
    <t>Pillain, Axelle; Rahmouni, Lyes; Andriulli, Francesco</t>
  </si>
  <si>
    <t>Handling anisotropic conductivities in the EEG forward problem with a symmetric formulation</t>
  </si>
  <si>
    <t>electroencephalography; EEG forward problem; computational electromagnetics</t>
  </si>
  <si>
    <t>BOUNDARY-ELEMENT METHOD; LEAD-FIELD BASES; SOURCE LOCALIZATION; INVERSE PROBLEM; HUMAN SKULL; HEAD MODELS; TISSUE; COMPUTATION; RECIPROCITY; SIMULATION</t>
  </si>
  <si>
    <t>The electroencephalography (EEG) forward problem, the computation of the electric potential generated by a known electric current source configuration in the brain, is a key step of EEG source analysis. In this problem, it is often desired to model the anisotropic conductivity profiles of the skull and of the white matter. These profiles, however, cannot be handled by standard surface integral formulations and the use of volume finite elements is required. Leveraging on the representation theorem using an anisotropic fundamental solution, this paper proposes a modified symmetric formulation for solving the EEG forward problem by a surface integral equation which can take into account anisotropic conductivity profiles. A set of numerical results is presented to corroborate theoretical treatments and to show the impact of the proposed approach on both canonical and real case scenarios.</t>
  </si>
  <si>
    <t>[Pillain, Axelle; Rahmouni, Lyes] IMT Atlantique, Computat Electromagnet Res Lab, Brest, France; [Andriulli, Francesco] Politecn Torino, Turin, Italy</t>
  </si>
  <si>
    <t>IMT - Institut Mines-Telecom; IMT Atlantique; Polytechnic University of Turin</t>
  </si>
  <si>
    <t>Andriulli, F (通訊作者)， Politecn Torino, Turin, Italy.</t>
  </si>
  <si>
    <t>francesco.andriulli@polito.it</t>
  </si>
  <si>
    <t>Andriulli, Francesco/A-1225-2007</t>
  </si>
  <si>
    <t>Andriulli, Francesco/0000-0001-8359-7348</t>
  </si>
  <si>
    <t>CominLabs excellence laboratory [ANR-10-LABX-07-01]; European Research Council (ERC) under the European Unions Horizon 2020 research and innovation program (ERC) [321, 724846]; European Research Council (ERC) [724846] Funding Source: European Research Council (ERC)</t>
  </si>
  <si>
    <t>CominLabs excellence laboratory; European Research Council (ERC) under the European Unions Horizon 2020 research and innovation program (ERC); European Research Council (ERC)(European Research Council (ERC))</t>
  </si>
  <si>
    <t>This work was supported in part by the CominLabs excellence laboratory, managed by the National Research Agency in the Investing for the Future program under reference ANR-10-LABX-07-01, project SABRE and in part by the European Research Council (ERC) under the European Unions Horizon 2020 research and innovation program (ERC project 321, grant No. 724846).</t>
  </si>
  <si>
    <t>10.1088/1361-6560/aafaaf</t>
  </si>
  <si>
    <t>WOS:000457721000002</t>
  </si>
  <si>
    <t>van Haveren, R; Heijmen, BJM; Breedveld, S</t>
  </si>
  <si>
    <t>van Haveren, Rens; Heijmen, Ben J. M.; Breedveld, Sebastiaan</t>
  </si>
  <si>
    <t>Automatically configuring the reference point method for automated multi-objective treatment planning</t>
  </si>
  <si>
    <t>automated multi-objective radiotherapy treatment planning; Pareto optimal; automatic configuration; prostate cancer; IMRT</t>
  </si>
  <si>
    <t>BEAM ANGLE; CANCER PATIENTS; OPTIMIZATION; GENERATION; NAVIGATION</t>
  </si>
  <si>
    <t>Automated treatment planning algorithms have demonstrated capability in generating consistent and high-quality treatment plans. Their configuration (i.e. determining the algorithm's parameters), however, can be a labour-intensive and time-consuming trial-and-error procedure. Previously, we introduced the reference point method (RPM) for fast automated multi-objective treatment planning. The RPM generates a single Pareto optimal plan for each patient. When the RPM is configured appropriately, this plan has clinically favourable trade-offs between all plan objectives. This paper proposes a new procedure to automatically generate a single configuration of the RPM per tumour site. The procedure was tested for prostate cancer. Planning CT scans of 287 previously treated patients were included in a database, together with corresponding Pareto optimal plans generated using our clinically applied two-phase c-constraint method (part of Erasmus-iCycle) for automated multi-objective treatment planning. The procedure developed acquires plan characteristics observed in a training set. Based on these, an RPM configuration is automatically generated according to user preferences which specify acceptable differences between training set plans and corresponding RPM generated plans. For example, compared to the training set plans, the RPM generated plans need to have similar PTV coverage, and preferably reduced high rectum dose while slight deteriorations in other objectives are allowed. Training sets of different sizes were tested, and the quality of the resulting RPM configurations was evaluated on the test set (subset of the database not used for training). Using the new procedure, an RPM configuration was generated for each training set. The quality of RPM generated plans was similar or slightly better than that of the corresponding test set plans. The proposed automated configuration procedure greatly reduces the manual configuration workload, and thereby improves the efficiency and effectiveness of an automated clinical treatment planning workflow.</t>
  </si>
  <si>
    <t>[van Haveren, Rens; Heijmen, Ben J. M.; Breedveld, Sebastiaan] Univ Med Ctr Rotterdam, Erasmus MC Canc Inst, Dept Radiat Oncol, POB 2040, NL-3000 CA Rotterdam, Netherlands</t>
  </si>
  <si>
    <t>van Haveren, Rens/0000-0001-6092-1854; Breedveld, Sebastiaan/0000-0001-8954-4554; Heijmen, Ben/0000-0003-1647-0528</t>
  </si>
  <si>
    <t>10.1088/1361-6560/aaf9fe</t>
  </si>
  <si>
    <t>WOS:000456840500001</t>
  </si>
  <si>
    <t>Zhao, XM; Li, LQ; Lu, W; Tan, S</t>
  </si>
  <si>
    <t>Zhao, Xiangming; Li, Laquan; Lu, Wei; Tan, Shan</t>
  </si>
  <si>
    <t>Tumor co-segmentation in PET/CT using multi-modality fully convolutional neural network</t>
  </si>
  <si>
    <t>feature fusion; co-segmentation; multi-modality imaging; deep learning</t>
  </si>
  <si>
    <t>PATHOLOGICAL RESPONSE; ESOPHAGEAL CANCER; ACTIVE CONTOURS; CT; IMAGES; FEATURES</t>
  </si>
  <si>
    <t>Automatic tumor segmentation from medical images is an important step for computer-aided cancer diagnosis and treatment. Recently, deep learning has been successfully applied to this task, leading to state-of-the-art performance. However, most of existing deep learning segmentation methods only work for a single imaging modality. PET/CT scanner is nowadays widely used in the clinic, and is able to provide both metabolic information and anatomical information through integrating PET and CT into the same utility. In this study, we proposed a novel multi-modality segmentation method based on a 3D fully convolutional neural network (FCN), which is capable of taking account of both PET and CT information simultaneously for tumor segmentation. The network started with a multi-task training module, in which two parallel sub-segmentation architectures constructed using deep convolutional neural networks (CNNs) were designed to automatically extract feature maps from PET and CT respectively. A feature fusion module was subsequently designed based on cascaded convolutional blocks, which re-extracted features from PET/CT feature maps using a weighted cross entropy minimization strategy. The tumor mask was obtained as the output at the end of the network using a softmax function. The effectiveness of the proposed method was validated on a dinic PET/ CT dataset of 84 patients with lung cancer. The results demonstrated that the proposed network was effective, fast and robust and achieved significantly performance gain over CNN-based methods and traditional methods using PET or CT only, two V-net based co-segmentation methods, two variational co-segmentation methods based on fuzzy set theory and a deep learning co-segmentation method using W-net.</t>
  </si>
  <si>
    <t>[Zhao, Xiangming; Li, Laquan; Tan, Shan] Huazhong Univ Sci &amp; Technol, Sch Automat, Minist Educ China, Key Lab Image Proc &amp; Intelligent Control, Wuhan 430074, Hubei, Peoples R China; [Lu, Wei] Mem Sloan Kettering Canc Ctr, Dept Med Phys, New York, NY 10065 USA</t>
  </si>
  <si>
    <t>Huazhong University of Science &amp; Technology; Memorial Sloan Kettering Cancer Center</t>
  </si>
  <si>
    <t>Tan, S (通訊作者)， Huazhong Univ Sci &amp; Technol, Sch Automat, Minist Educ China, Key Lab Image Proc &amp; Intelligent Control, Wuhan 430074, Hubei, Peoples R China.</t>
  </si>
  <si>
    <t>shantan@hust.edu.cn</t>
  </si>
  <si>
    <t>; Wei, Lu/ABG-5513-2021</t>
  </si>
  <si>
    <t>Lu, Wei/0000-0003-0829-5440; Tan, Shan/0000-0001-9350-5128;</t>
  </si>
  <si>
    <t>National Natural Science Foundation of China [61375018, 61672253]; NIH/NCI [R01 CA172638]; NIH/NCI Cancer Center Support Grant [P30 CA008748]</t>
  </si>
  <si>
    <t>National Natural Science Foundation of China(National Natural Science Foundation of China (NSFC)); NIH/NCI(United States Department of Health &amp; Human ServicesNational Institutes of Health (NIH) - USANIH National Cancer Institute (NCI)); NIH/NCI Cancer Center Support Grant</t>
  </si>
  <si>
    <t>This work was supported in part by the National Natural Science Foundation of China, under Grant Nos. 61375018 and 61672253. Wei Lu was supported in part by the NIH/NCI Grant No. R01 CA172638 and the NIH/NCI Cancer Center Support Grant P30 CA008748.</t>
  </si>
  <si>
    <t>10.1088/1361-6560/aaf44b</t>
  </si>
  <si>
    <t>WOS:000454239200004</t>
  </si>
  <si>
    <t>Tanguay, J; Lalonde, R; Bjarnason, TA; Yang, CYJ</t>
  </si>
  <si>
    <t>Tanguay, Jesse; Lalonde, Robert; Bjarnason, Thorarin A.; Yang, Chang-Ying Joseph</t>
  </si>
  <si>
    <t>Cascaded systems analysis of anatomic noise in digital mammography and dual-energy digital mammography</t>
  </si>
  <si>
    <t>mammography; breast imaging; image quality; noise power spectrum; medical imaging; dual-energy imaging</t>
  </si>
  <si>
    <t>DETECTIVE QUANTUM EFFICIENCY; OPTIMIZATION; TOMOSYNTHESIS; SIGNAL; MODEL; DETECTABILITY; PROPAGATION; VALIDATION; PARAMETERS; SPECTRA</t>
  </si>
  <si>
    <t>In x-ray based imaging of the breast, contrast between fibroglandular (Fg) tissue and adipose (Ad) tissue is a source of anatomic noise. The goal of this work was to validate by simulation and experiment a mathematical framework for modelling the Fg component of anatomic noise in digital mammograpy (DM) and dual-energy (DE) DM. Our mathematical framework unifies and generalizes existing approaches. We compared mathematical predictions directly with empirical measurements of the anatomic noise power spectrum of the CIRS BR3D structured breast phantom using two clinical mammography systems and four beam qualities. Our simulation and experimental results showed agreement with mathematical predictions. As a demonstration of utility, we used our mathematical framework in a theoretical spectral optimization of DM for the task of detecting breast masses. Our theoretical optimization showed that the optimal tube voltage for DM may be higher than that based on predictions that do not account for anatomic noise, in agreement with recent theoretical findings. Additionally, our theoretical optimization predicts that filtering tungsten-anode x-ray spectra with rhodium has little influence on lesion detectability, in contrast with previous findings. The mathematical methods validated in this work can be incorporated easily into cascaded systems analysis of breast imaging systems and will be useful when optimizating novel techniques for x-ray-based imaging of the breast.</t>
  </si>
  <si>
    <t>[Tanguay, Jesse; Lalonde, Robert] Ryerson Univ, Dept Phys, Toronto, ON, Canada; [Bjarnason, Thorarin A.; Yang, Chang-Ying Joseph] Univ British Columbia Okanagan, Dept Phys, Kelowna, BC, Canada; [Bjarnason, Thorarin A.] Interior Hlth, Med Imaging, Kelowna, BC, Canada; [Bjarnason, Thorarin A.] Univ British Columbia, Dept Radiol, Vancouver, BC, Canada; [Yang, Chang-Ying Joseph] BC Canc Kelowna, Kelowna, BC, Canada</t>
  </si>
  <si>
    <t>Toronto Metropolitan University; University of British Columbia; University of British Columbia Okanagan; University of British Columbia; British Columbia Cancer Agency</t>
  </si>
  <si>
    <t>Tanguay, J (通訊作者)， Ryerson Univ, Dept Phys, Toronto, ON, Canada.</t>
  </si>
  <si>
    <t>jesse.tanguay@ryerson.ca</t>
  </si>
  <si>
    <t>Natural Sciences and Engineering Research Council of Canada (NSERC) Discovery Grants program; NSERC Undergraduate Summer Research Awards</t>
  </si>
  <si>
    <t>Natural Sciences and Engineering Research Council of Canada (NSERC) Discovery Grants program(Natural Sciences and Engineering Research Council of Canada (NSERC)); NSERC Undergraduate Summer Research Awards(Natural Sciences and Engineering Research Council of Canada (NSERC))</t>
  </si>
  <si>
    <t>This work was supported by the Natural Sciences and Engineering Research Council of Canada (NSERC) Discovery Grants program, and the NSERC Undergraduate Summer Research Awards. The authors also thank the BC Cancer breast screening program for access to the GE system.</t>
  </si>
  <si>
    <t>10.1088/1361-6560/ab3fcd</t>
  </si>
  <si>
    <t>WOS:000518764400002</t>
  </si>
  <si>
    <t>Marteinsdottir, M; Schuemann, J; Paganetti, H</t>
  </si>
  <si>
    <t>Marteinsdottir, Maria; Schuemann, Jan; Paganetti, Harald</t>
  </si>
  <si>
    <t>Impact of uncertainties in range and RBE on small field proton therapy</t>
  </si>
  <si>
    <t>proton therapy; relative biological effectiveness; range uncertainty</t>
  </si>
  <si>
    <t>RELATIVE BIOLOGICAL EFFECTIVENESS; ARTERIOVENOUS-MALFORMATIONS; PROSTATE; ALPHA/BETA; DISTRIBUTIONS; RADIOTHERAPY; MODULATION</t>
  </si>
  <si>
    <t>The objective of this paper is to evaluate the clinical impact of biological uncertainties in small field proton therapy due to the assumption of using a constant relative biological effectiveness (RBE) value of 1.1 (RBE-fixed) compared to a variable RBE (RBE-weighted). In this context the impact of the applied range margin was investigated. Eight patients with arteriovenous malformation (AVM) treated with proton radiosurgery were selected due to the small target volume. Dose distributions were compared for RBE-weighted and RBE-fixed. The impact of RBE was assessed using Monte Carlo (MC) dose calculations for stereotactic doses and doses of 2 Gy(RBE). Four different alpha/beta ratios were investigated. Additionally, dose distributions were recalculated with reduced range margins. Applying variable RBE values for stereotactic doses resulted in an increase in the mean dose of 1.6% for a low alpha/beta of 2 Gy, but a decrease of 2.6% for an alpha/beta of 10 Gy. However, the mean dose increased to 17.1% and 2.1% for doses of 2 Gy(RBE) and alpha/beta of 2 Gy and 10 Gy, respectively. Reducing range margins from 3.5% + 1 mm to 2.5% + 1 mm resulted in negligible difference in the mean RBE within the target, or 0.1% for stereotactic doses and 0.3% for doses of 2 Gy(RBE). Larger differences were seen for a range reduction to 0% + 1 mm, i.e. 1.1% and 3.0% for stereotactic doses and doses of 2 Gy(RBE), respectively. Because potential RBE effects are typically more pronounced in the distal part of a field, a bigger clinical impact of RBE uncertainties in small fields is expected. Our study shows that this could be significant for tissues with low alpha/beta and a small dose per fraction. The uncertainty in RBE due to the uncertainty associated with the alpha/beta ratio seems larger than the impact of the applied range uncertainty margin on RBE.</t>
  </si>
  <si>
    <t>[Marteinsdottir, Maria; Schuemann, Jan; Paganetti, Harald] Massachusetts Gen Hosp, Dept Radiat Oncol, Boston, MA 02111 USA; [Marteinsdottir, Maria] Univ Iceland, Fac Phys Sci, Dunhaga 5, IS-107 Reykjavik, Iceland; [Schuemann, Jan; Paganetti, Harald] Harvard Med Sch, Boston, MA 02114 USA</t>
  </si>
  <si>
    <t>Harvard University; Harvard University Medical Affiliates; Massachusetts General Hospital; University of Iceland; Harvard University; Harvard Medical School</t>
  </si>
  <si>
    <t>Paganetti, H (通訊作者)， Massachusetts Gen Hosp, Dept Radiat Oncol, Boston, MA 02111 USA.;Paganetti, H (通訊作者)， Harvard Med Sch, Boston, MA 02114 USA.</t>
  </si>
  <si>
    <t>hpaganetti@mgh.harvard.edu</t>
  </si>
  <si>
    <t>; Schuemann, Jan/A-4346-2011</t>
  </si>
  <si>
    <t>Paganetti, Harald/0000-0002-6257-2413; Schuemann, Jan/0000-0002-7554-8818</t>
  </si>
  <si>
    <t>NIH NCI [U19 CA-21239]</t>
  </si>
  <si>
    <t>NIH NCI(United States Department of Health &amp; Human ServicesNational Institutes of Health (NIH) - USANIH National Cancer Institute (NCI))</t>
  </si>
  <si>
    <t>This work was supported by NIH NCI U19 CA-21239 (`Improving the Clinical Effectiveness and Understanding of the Biophysical Basis of Proton Therapy'). We would gratefully like to thank Dr Jungwook Shin for his valuable support. We would like to thank the Enterprise Research Infrastructure and Services (ERIS) group at Partners Healthcare for maintaining the computer cluster.</t>
  </si>
  <si>
    <t>10.1088/1361-6560/ab448f</t>
  </si>
  <si>
    <t>WOS:000500247900005</t>
  </si>
  <si>
    <t>Masitho, S; Kallis, K; Strnad, V; Fietkau, R; Bert, C</t>
  </si>
  <si>
    <t>Masitho, Siti; Kallis, Karoline; Strnad, Vratislav; Fietkau, Rainer; Bert, Christoph</t>
  </si>
  <si>
    <t>Error detection using an electromagnetic tracking system in multi-catheter breast interstitial brachytherapy</t>
  </si>
  <si>
    <t>quality assurance; interstitial brachytherapy; electromagnetic tracking; breast cancer</t>
  </si>
  <si>
    <t>RECONSTRUCTION</t>
  </si>
  <si>
    <t>The hybrid treatment delivery system (HTDS) has been proposed as a possible option for a quality assurance in the multi-catheter interstitial brachytherapy for breast cancer patients. The system, which consists out of a prototype afterloader with an integrated electromagnetic tracking (EMT) sensor and an EMT system, allows the automatic measurement of implanted catheters. To test the feasibility of the system for error detection, possible treatment planning errors and treatment delivery errors were simulated. Planning errors such as an incorrect offset value, an incorrect indexer length, tip/connector end swaps, and partial swaps, and; treatment delivery errors such as catheter shifts and catheter connection swaps were manually simulated using phantoms. An in-house Matlab routine was used to assess geometrical deviations between the dwell positions defined based on CT and EMT measurement. Additionally, the influence of implant motion on the detection ability of the system was assessed. An algorithm for the detection and specification of errors based on the error simulation results was developed. At the University Hospital Erlangen, a patient study is ongoing, where errors in patient data were analyzed using the proposed algorithm. All simulated planning errors were detected. Catheter connection swaps can be detected 100% of the time. A shift detection rate of &gt;97% was observed for shifts larger than 1.1 mm, both in the static and the motion measurements. Catheter reconstruction uncertainties and catheter shifts &lt;2 mm were found to be the most common treatment planning and delivery errors in patient data. HTDS proved to be a reliable method for error detection.</t>
  </si>
  <si>
    <t>[Masitho, Siti; Kallis, Karoline; Strnad, Vratislav; Fietkau, Rainer; Bert, Christoph] Friedrich Alexander Univ Erlangen Nurnberg FAU, Univ Klinikum Erlangen, Dept Radiat Oncol, Erlangen, Germany</t>
  </si>
  <si>
    <t>Masitho, S; Bert, C (通訊作者)， Friedrich Alexander Univ Erlangen Nurnberg FAU, Univ Klinikum Erlangen, Dept Radiat Oncol, Erlangen, Germany.</t>
  </si>
  <si>
    <t>siti.masitho@fau.de; christoph.bert@uk-erlangen.de</t>
  </si>
  <si>
    <t>Kallis, Karoline/GRN-7841-2022; Bert, Christoph/C-2585-2013</t>
  </si>
  <si>
    <t>Elekta</t>
  </si>
  <si>
    <t>This work was partially funded by an unrestricted research grant from Elekta. We thank Stephan Kreppner, Michael Lotter, and Florian Putz for their parts in the completion of this study. The present work was performed in fulfillment of the requirements for obtaining the degree Dr. rer. biol. hum. of the Friedrich-Alexander-Universitat Erlangen-Nurnberg (FAU).</t>
  </si>
  <si>
    <t>10.1088/1361-6560/ab4336</t>
  </si>
  <si>
    <t>WOS:000500247900018</t>
  </si>
  <si>
    <t>Rorvik, E; Thörnqvist, S; Ytre-Hauge, KS</t>
  </si>
  <si>
    <t>Rorvik, Eivind; Thornqvist, Sara; Ytre-Hauge, Kristian S.</t>
  </si>
  <si>
    <t>The experimental dose ranges influence the LETd dependency of the proton minimum RBE (RBEmin)</t>
  </si>
  <si>
    <t>proton therapy; relative biological effectiveness; proton cell experiments; linear quadratic model; linear energy transfer</t>
  </si>
  <si>
    <t>RELATIVE BIOLOGICAL EFFECTIVENESS; LOW-ENERGY PROTONS; THYROID FOLLICULAR CELLS; LINEAR-QUADRATIC MODEL; V79 MAMMALIAN-CELLS; IRRADIATION; THERAPY; INACTIVATION; BEAM; SURVIVAL</t>
  </si>
  <si>
    <t>Cell experiments have shown the proton relative biological effectiveness (RBE) to vary with dose and linear energy transfer (LET), which has led to development of variable RBE models. The RBE is normally estimated from two independent functions, the RBEmax and RBEmin, describing the extreme RBE at low and high doses. While there is consensus that RBEmax increases with increasing LET, the RBEmin is not uniformly defined and its dependency on LET is deviating. In this work, we analysed this dependency and its sensitivity to variations of the experimental dose range. We performed a literature search to find data from existing monoenergetic proton cell survival experiments with (alpha/beta)(x) values below 5 Gy and dose averaged LET (LETd) values below 20 keV mu m(-1). From the experiments the doses and their corresponding survival data were extracted. Based on these data, multiple restricted databases were generated by sequential exclusion of low dose data in the experiments followed by a linear-quadratic (LQ) fit. The quadratic component from the LQ-fit was used to estimate RBEmin. The LETd dependency of RBEmin was determined by fitting a linear function to the RBEmin values estimated from the restricted databases. Our analysis showed the LETd dependency of RBEmin to be significantly influenced by the experimental dose range. By including experiments with doses below 1 Gy in the database, we found that RBEmin increased with increasing LETd. By excluding the low dose experiments in our database, the RBEmin became constant for all LETd values. For an LET(d )value of 5 keV mu m(-1), a restricted database including the data with the lowest doses gave an RBEmin of 1.4 +/- 0.1, while databases with only high dose data (&gt;2 Gy) gave an RBEmin of 1.0 +/- 0.1. None of our restricted databases gave a decreasing RBE(min )with increasing LETd. Our study showed that RBEmin has a small yet significant dependency on LETd for tissues with low (alpha/beta)(x) ratio. The LETd dependency of RBEmin varied substantially with the experimental dose range. Including experiments with high minimum dose in RBE models may lead to underestimation of the RBE.</t>
  </si>
  <si>
    <t>[Rorvik, Eivind; Thornqvist, Sara; Ytre-Hauge, Kristian S.] Univ Bergen, Dept Phys &amp; Technol, Bergen, Norway; [Thornqvist, Sara] Haukeland Hosp, Dept Oncol &amp; Med Phys, Bergen, Norway</t>
  </si>
  <si>
    <t>University of Bergen; University of Bergen; Haukeland University Hospital</t>
  </si>
  <si>
    <t>Rorvik, E (通訊作者)， Univ Bergen, Dept Phys &amp; Technol, Bergen, Norway.</t>
  </si>
  <si>
    <t>eivind.rorvik@uib.no</t>
  </si>
  <si>
    <t>Rorvik, Eivind/0000-0002-1794-9955; Pilskog, Sara/0000-0002-3475-7939; Ytre-Hauge, Kristian Smeland/0000-0002-3597-1611</t>
  </si>
  <si>
    <t>Bergen Research Foundation</t>
  </si>
  <si>
    <t>This work was funded by Bergen Research Foundation.</t>
  </si>
  <si>
    <t>10.1088/1361-6560/ab369a</t>
  </si>
  <si>
    <t>WOS:000487555100001</t>
  </si>
  <si>
    <t>Paternò, G; Cardarelli, P; Gambaccini, M; Serafini, L; Petrillo, V; Drebot, I; Taibi, A</t>
  </si>
  <si>
    <t>Paterno, G.; Cardarelli, P.; Gambaccini, M.; Serafini, L.; Petrillo, V; Drebot, I; Taibi, A.</t>
  </si>
  <si>
    <t>Inverse Compton radiation: a novel x-ray source for K-edge subtraction angiography?</t>
  </si>
  <si>
    <t>inverse Compton; monochromatic x-ray source; K-edge subtraction; dual-energy; angiography</t>
  </si>
  <si>
    <t>NONLINEAR THOMSON SCATTERING; SYNCHROTRON-RADIATION; CORONARY-ANGIOGRAPHY; SYSTEM; MODEL</t>
  </si>
  <si>
    <t>Coronary angiography is clinically used worldwide to diagnose diseases of coronary arteries. Despite its effectiveness, this technique is quite invasive and it is associated with significant risks due to the arterial catheterisation needed to inject the contrast agent. A valid alternative is using the K-edge subtraction (KES) method, which is based on the subtraction of two images acquired at energies bracketing the K-edge of the contrast element. The enhanced sensitivity of KES allows the intravenous injection of the contrast agent, thus reducing the risks of catheterisation. This technique can be effectively implemented by using intense and quasi-monochromatic x-ray beams. Synchrotron radiation has been proven to work well for this purpose, but its cost and size prevent a widespread clinical application. Inverse Compton sources are among the most promising innovative sources of intense and quasi-monochromatic x-rays. These sources are intrinsically more compact than those based on synchrotron radiation. In this work, the potential application of inverse Compton radiation to KES angiography is investigated. To this purpose, after a short review of the physics behind the inverse Compton process, an analytical framework is described. The proposed model is based on the application of the KES algorithm to calculate the SNR of details inside a suitable mathematical phantom. That allowed us to identify the characteristics of an inverse Compton source required for KES imaging. In particular, it was estimated that a photon fluence of 10(8) ph mm(-2) is necessary to detect signals of clinical interest. Novel sources based on inverse Compton promise to achieve this requirement with an acquisition time of few hundreds of ms. This feature, together with compactness, broad two-dimensional radiation field, absence of harmonic contamination and the ability to deliver high photon fluxes also at high energies, makes this kind of sources promising for KES angiography and other diagnostic applications.</t>
  </si>
  <si>
    <t>[Paterno, G.; Gambaccini, M.; Taibi, A.] Univ Ferrara, Part Ento Fis &amp; Sci Terra, Via G Saragat 1, I-44122 Ferrara, Italy; [Paterno, G.; Cardarelli, P.; Gambaccini, M.; Taibi, A.] Ist Nazl Fis Nucl, Sez Ferrara, Via G Saragat 1, I-44122 Ferrara, Italy; [Serafini, L.; Petrillo, V; Drebot, I] Ist Nazl Fis Nucl, Sez Milano, Via Celoria 16, I-20133 Milan, Italy; [Petrillo, V] Univ Milan, Dipartimento Fis, Via Celoria 16, I-20133 Milan, Italy</t>
  </si>
  <si>
    <t>University of Ferrara; Istituto Nazionale di Fisica Nucleare (INFN); Istituto Nazionale di Fisica Nucleare (INFN); University of Milan</t>
  </si>
  <si>
    <t>Cardarelli, P (通訊作者)， Ist Nazl Fis Nucl, Sez Ferrara, Via G Saragat 1, I-44122 Ferrara, Italy.</t>
  </si>
  <si>
    <t>cardarelli@fe.infn.it</t>
  </si>
  <si>
    <t>Paternò, Gianfranco/HJA-5078-2022; Taibi, Angelo/E-2797-2015; Cardarelli, Paolo/HDM-7143-2022</t>
  </si>
  <si>
    <t>Drebot, Illya/0000-0002-9152-0102; Paterno', Gianfranco/0000-0002-3022-3286; Taibi, Angelo/0000-0002-2494-8993;</t>
  </si>
  <si>
    <t>10.1088/1361-6560/ab325c</t>
  </si>
  <si>
    <t>WOS:000485720400002</t>
  </si>
  <si>
    <t>Knopp, T; Gdaniec, N; Rehr, R; Graeser, M; Gerkmann, T</t>
  </si>
  <si>
    <t>Knopp, T.; Gdaniec, N.; Rehr, R.; Graeser, M.; Gerkmann, T.</t>
  </si>
  <si>
    <t>Correction of linear system drifts in magnetic particle imaging</t>
  </si>
  <si>
    <t>magnetic particle imaging; image reconstruction; background removal</t>
  </si>
  <si>
    <t>SENSITIVITY</t>
  </si>
  <si>
    <t>Magnetic particle imaging (MPI) is a tracer-based imaging technique that can be used for imaging vessels and organ perfusion with high temporal resolution. Background signals are a major source for image artifacts and in turn restrict the sensitivity of the method in practice. While static background signals can be removed from the measured signal by taking a dedicated background scan and performing subtraction, this simple procedure is not applicable in case of non-stationary background signals that occur in practice due to e.g. temperature drifts in the electromagnetic coils of the MPI scanner. Within this work we will investigate a dynamic background subtraction method that is based on two background measurements taken before and after the object measurement. Using first-order interpolation it is possible to remove linear background changes and in turn significantly suppress artifacts. The method is evaluated using static and dynamic phantom measurements and it is shown that dynamic background subtraction is capable of reducing the artifact level approximately by a factor of four.</t>
  </si>
  <si>
    <t>[Knopp, T.; Gdaniec, N.; Graeser, M.] Univ Med Ctr Hamburg Eppendorf, Sect Biomed Imaging, Hamburg, Germany; [Knopp, T.; Gdaniec, N.; Graeser, M.] Hamburg Univ Technol, Inst Biomed Imaging, Hamburg, Germany; [Rehr, R.; Gerkmann, T.] Univ Hamburg, Signal Proc Grp, Hamburg, Germany</t>
  </si>
  <si>
    <t>University of Hamburg; University Medical Center Hamburg-Eppendorf; Hamburg University of Technology; University of Hamburg</t>
  </si>
  <si>
    <t>Knopp, T (通訊作者)， Univ Med Ctr Hamburg Eppendorf, Sect Biomed Imaging, Hamburg, Germany.;Knopp, T (通訊作者)， Hamburg Univ Technol, Inst Biomed Imaging, Hamburg, Germany.</t>
  </si>
  <si>
    <t>t.knopp@uke.de</t>
  </si>
  <si>
    <t>; Knopp, Tobias/AAH-1644-2019; Gerkmann, Timo/I-3353-2014</t>
  </si>
  <si>
    <t>Graser, Matthias/0000-0003-1472-5988; Knopp, Tobias/0000-0002-1589-8517; Gerkmann, Timo/0000-0002-8678-4699</t>
  </si>
  <si>
    <t>German Research Foundation (DFG) [KN 1108/2-1]; Federal Ministry of Education and Research (BMBF) [05M16GKA, 13XP5060B]</t>
  </si>
  <si>
    <t>German Research Foundation (DFG)(German Research Foundation (DFG)); Federal Ministry of Education and Research (BMBF)(Federal Ministry of Education &amp; Research (BMBF))</t>
  </si>
  <si>
    <t>TK thankfully acknowledges the financial support by the German Research Foundation (DFG, Grant Number KN 1108/2-1) and the Federal Ministry of Education and Research (BMBF, Grant Number 05M16GKA and 13XP5060B). TG and TK thankfully acknowledge the BWFG, Hamburg (ahoi.digital project, Adaptive crossmodale Sensordatenerfassung)</t>
  </si>
  <si>
    <t>10.1088/1361-6560/ab2480</t>
  </si>
  <si>
    <t>WOS:000518929400003</t>
  </si>
  <si>
    <t>Liang, X; Chen, LY; Nguyen, D; Zhou, ZG; Gu, XJ; Yang, M; Wang, J; Jiang, S</t>
  </si>
  <si>
    <t>Liang, Xiao; Chen, Liyuan; Dan Nguyen; Zhou, Zhiguo; Gu, Xuejun; Yang, Ming; Wang, Jing; Jiang, Steve</t>
  </si>
  <si>
    <t>Generating synthesized computed tomography (CT) from cone-beam computed tomography (CBCT) using CycleGAN for adaptive radiation therapy</t>
  </si>
  <si>
    <t>CBCT; CT; conversion; scatter correction; deep learning; CycleGAN</t>
  </si>
  <si>
    <t>SCATTER CORRECTION; NECK; HEAD; RADIOTHERAPY; ALGORITHM</t>
  </si>
  <si>
    <t>Throughout the course of delivering a radiation therapy treatment, which may take several weeks, a patient's anatomy may change drastically, and adaptive radiation therapy (ART) may be needed. Cone-beam computed tomography (CBCT), which is often available during the treatment process, can be used for both patient positioning and ART re-planning. However, due to the prominent amount of noise, artifacts, and inaccurate Hounsfield unit (HU) values, the dose calculation based on CBCT images could be inaccurate for treatment planning. One way to solve this problem is to convert CBCT images to more accurate synthesized CT (sCT) images. In this work, we have developed a cycle-consistent generative adversarial network framework (CycleGAN) to synthesize CT images from CBCT images. This model is capable of image-to-image translation using unpaired CT and CBCT images in an unsupervised learning setting. The sCT images generated from CBCT through this CycleGAN model are visually and quantitatively similar to real CT images with decreased mean absolute error (MAE) from 69.29 HU to 29.85 HU for head-and-neck (H&amp;N) cancer patients. The dose distributions calculated on the sCT by CycleGAN demonstrated a higher accuracy than those on CBCT in a 3D gamma index analysis with increased gamma index pass rate from 86.92% to 96.26% under 1 mm/1% criteria, when using the deformed planning CT image (dpCT) as the reference. We also compared the CycleGAN model with other unsupervised learning methods, including deep convolutional generative adversarial networks (DCGAN) and progressive growing of GANs (PGGAN), and demonstrated that CycleGAN outperformed the other two models. A phantom study has been conducted to compare sCT with dpCT, and the increase of structural similarity index from 0.91 to 0.93 shows that CycleGAN performed better than DIR in terms of preserving anatomical accuracy.</t>
  </si>
  <si>
    <t>[Liang, Xiao; Chen, Liyuan; Dan Nguyen; Zhou, Zhiguo; Gu, Xuejun; Yang, Ming; Wang, Jing; Jiang, Steve] Univ Texas Southwestern Med Ctr Dallas, Dept Radiat Oncol, Med Artificial Intelligence &amp; Automat Lab, Dallas, TX 75390 USA</t>
  </si>
  <si>
    <t>Wang, J; Jiang, S (通訊作者)， Univ Texas Southwestern Med Ctr Dallas, Dept Radiat Oncol, Med Artificial Intelligence &amp; Automat Lab, Dallas, TX 75390 USA.</t>
  </si>
  <si>
    <t>Jing.Wang@UTSouthwestern.edu; Steve.Jiang@UTSouthwestern.edu</t>
  </si>
  <si>
    <t>Wang, Jing/N-7332-2019; Chen, Liyuan/AAF-3864-2020; Zhou, Zhiguo/S-4260-2018; Jiang, Steve/GRO-3951-2022</t>
  </si>
  <si>
    <t>Wang, Jing/0000-0002-8491-4146; Nguyen, Dan/0000-0002-9590-0655; Liang, Xiao/0000-0002-2472-2396; Yang, Ming/0000-0001-9122-0401</t>
  </si>
  <si>
    <t>Cancer Prevention and Research Institute of Texas (CPRIT) [IIRA RP150485]</t>
  </si>
  <si>
    <t>Cancer Prevention and Research Institute of Texas (CPRIT)(Cancer Prevention &amp; Research Institute of Texas)</t>
  </si>
  <si>
    <t>We would like to thank the financial support of Cancer Prevention and Research Institute of Texas (CPRIT) through the grant IIRA RP150485. We would also like to thank Drs Damiana Chiavolini and Dr Jonathan Feinberg for editing the manuscript.</t>
  </si>
  <si>
    <t>10.1088/1361-6560/ab22f9</t>
  </si>
  <si>
    <t>WOS:000471166400002</t>
  </si>
  <si>
    <t>Marteinsdottir, M; Paganetti, H</t>
  </si>
  <si>
    <t>Marteinsdottir, Maria; Paganetti, Harald</t>
  </si>
  <si>
    <t>Applying a variable relative biological effectiveness (RBE) might affect the analysis of clinical trials comparing photon and proton therapy for prostate cancer</t>
  </si>
  <si>
    <t>proton therapy; relative biological effectiveness; prostate cancer</t>
  </si>
  <si>
    <t>INTENSITY-MODULATED RADIOTHERAPY; CONFORMAL RADIATION-THERAPY; DOSE-RESPONSE; ALPHA/BETA RATIO; TUMOR-CONTROL; BEAM THERAPY; LOW-RISK; FRACTIONATION; SIMULATION; TOXICITY</t>
  </si>
  <si>
    <t>The purpose of this study was the evaluation of the impact of a variable relative biological effectiveness (RBE) compared to a constant RBE value of 1.1 in proton therapy prostate trials due to uncertainties in alpha/beta ratio. Twenty patients receiving passive scattered proton therapy (PSPT) and fifteen patients receiving intensity modulated proton therapy (IMPT) were compared to twenty patients treated with 7-field intensity modulated photon therapy (IMRT). For proton beam therapy (PBT), the RBE was estimated using two different RBE models. Tumor control probabilities (TCP) and normal tissue complication probabilities (NTCP) were assessed. For one of the RBE models, dosimetric indices assuming a low alpha/beta were similar to 10%-11% larger compared to using a fixed RBE. A different model resulted in 1%-3% lower values independent of alpha/beta. Comparing PBT with IMRT revealed a negligible difference in TCP for a fixed RBE. Applying a variable RBE revealed an increase in TCP by 6% for PBT compared to IMRT for one model but a decrease of 2% for the other. Variable RBE values in PSPT resulted in an increase in NTCP for rectum from 7% to 11% for a fixed RBE with one model but a decrease to 6% for another. For IMPT, NTCP increased from 5% to 9% for a fixed RBE for one model but decreased to 3% using the other. The NTCP for bladder increased for PSPT for both models, from 11% to 19% and 14%, respectively. For IMPT, the NTCP increased from 12% to 17% using one model but decreased to 11% with the other. In radiation therapy for prostate cancer, disregarding variable RBE may lead to either underestimation or overestimation of the expected TCP and NTCP, depending on the RBE model and alpha/beta. This should be considered when estimating uncertainties when comparing PBT and IMRT outcomes in clinical trials.</t>
  </si>
  <si>
    <t>[Marteinsdottir, Maria; Paganetti, Harald] Massachusetts Gen Hosp, Dept Radiat Oncol, Boston, MA 02114 USA; [Marteinsdottir, Maria] Univ Iceland, Fac Phys Sci, Dunhaga 5, IS-107 Reykjavik, Iceland; [Paganetti, Harald] Harvard Med Sch, Boston, MA 02114 USA</t>
  </si>
  <si>
    <t>This work was supported by NIH NCI U19 CA-21239. We would gratefully like to thank Dr Jan Schuemann, Dr Maryam Moteabbed and Dr Jungwook Shin for their valuable support with patient calculations. We would like to thank the Enterprise Research Infrastructure and Services (ERIS) group at Partners Healthcare.</t>
  </si>
  <si>
    <t>10.1088/1361-6560/ab2144</t>
  </si>
  <si>
    <t>WOS:000470808600002</t>
  </si>
  <si>
    <t>Borman, PTS; Bos, C; Stemkens, B; Moonen, CTW; Raaymakers, BW; Tijssen, RHN</t>
  </si>
  <si>
    <t>Borman, P. T. S.; Bos, C.; Stemkens, B.; Moonen, C. T. W.; Raaymakers, B. W.; Tijssen, R. H. N.</t>
  </si>
  <si>
    <t>Assessment of 3D motion modeling performance for dose accumulation mapping on the MR-linac by simultaneous multislice MRI</t>
  </si>
  <si>
    <t>4D-MRI; simultaneous multislice; MR-guided radiotherapy; respiratory motion model; robustness</t>
  </si>
  <si>
    <t>Hybrid MR-linac systems enable intrafraction motion monitoring during radiation therapy. Since time-resolved 3D MRI is still challenging, various motion models have been developed that rely on time-resolved 2D imaging. Continuous validation of these models is important for accurate dose accumulation mapping. In this study we used 2D simultaneous multislice (SMS) imaging to improve the PCA-based motion modeling method developed previously (Stemkens et al 2016 Phys. Med. Biol. 61 5335-55). From the additional simultaneously acquired slices, several independent motion models could be generated, which allowed for an assessment of the sensitivity of the motion model to the location of the time-resolved 2D slices. Additionally, the best model could be chosen at every time-point, increasing the method's robustness. Imaging experiments were performed in six healthy volunteers using three simultaneous slices, which generated three independent models per volunteer. For each model the motion traces of the liver tip and both kidneys were estimated. We found that the location of the 2D slices influenced the model's error in five volunteers significantly with a p-value &lt;0.05, and that selecting the best model at every time-point can improve the method. This allows for more accurate and robust motion characterization in MR-guided radiotherapy.</t>
  </si>
  <si>
    <t>[Borman, P. T. S.; Stemkens, B.; Raaymakers, B. W.; Tijssen, R. H. N.] Univ Med Ctr Utrecht, Dept Radiotherapy, Heidelberglaan 100, NL-3584 CX Utrecht, Netherlands; [Borman, P. T. S.; Bos, C.; Moonen, C. T. W.] Univ Med Ctr Utrecht, Imaging Div, Heidelberglaan 100, NL-3584 CX Utrecht, Netherlands; [Stemkens, B.] MR Code BV Schimminck 18, NL-5301 KR Zaltbommel, Netherlands</t>
  </si>
  <si>
    <t>Borman, PTS (通訊作者)， Univ Med Ctr Utrecht, Dept Radiotherapy, Heidelberglaan 100, NL-3584 CX Utrecht, Netherlands.;Borman, PTS (通訊作者)， Univ Med Ctr Utrecht, Imaging Div, Heidelberglaan 100, NL-3584 CX Utrecht, Netherlands.</t>
  </si>
  <si>
    <t>Stemkens, Bjorn/0000-0003-0488-8070</t>
  </si>
  <si>
    <t>ITEA2 (SoRTS project) [ITEA131001]</t>
  </si>
  <si>
    <t>ITEA2 (SoRTS project)</t>
  </si>
  <si>
    <t>The authors would like to acknowledge the financial support by ITEA2 (SoRTS project, ref ITEA131001).</t>
  </si>
  <si>
    <t>10.1088/1361-6560/ab13e3</t>
  </si>
  <si>
    <t>WOS:000465824100004</t>
  </si>
  <si>
    <t>Gupta, A; Lee, MS; Kim, JH; Park, S; Park, HS; Kim, SE; Lee, DS; Lee, JS</t>
  </si>
  <si>
    <t>Gupta, Arun; Lee, Min Sun; Kim, Joong Hyun; Park, Sohyeon; Park, Hyun Soo; Kim, Sang Eun; Lee, Dong Soo; Lee, Jae Sung</t>
  </si>
  <si>
    <t>Preclinical voxel-based dosimetry through GATE Monte Carlo simulation using PET/CT imaging of mice</t>
  </si>
  <si>
    <t>preclinical; PET/CT; voxel-based dosimetry; GATE Monte Carlo; MIRD</t>
  </si>
  <si>
    <t>S-VALUES; MOUSE PHANTOM; MODELS</t>
  </si>
  <si>
    <t>Internal dosimetry is of critical importance to obtain an accurate absorbed dose-response relationship during preclinical molecular imaging and targeted radionuclide therapy (TRT). Conventionally, absorbed dose calculations have been performed using organ-level dosimetry based on the Medical Internal Radiation Dose (MIRD) schema. However, recent research has focused on developing more accurate voxel-level calculation methods. Geant4 application for emission tomography (GATE) Monte Carlo (MC) is a simulation toolkit gaining attention in voxel-based dosimetry. In this study, we used PET/CT images of real mice to estimate the absorbed doses in sensitive organs at voxel-level to evaluate the suitability of GATE MC simulation for preclinical dosimetry. Thirteen normal C57BL/6 mice (male, body weight: 27.71 +/- 4.25 g) were used to acquire dynamic positron emission tomography/computed tomography (PET/CT) images after IV injection of F-18-FDG. GATE MC toolkit was applied to estimate the absorbed doses in various organs of mice at voxel-level using CT and PET images as voxelized phantom and voxelized source, respectively. In addition, mean absorbed dose at organ-level was calculated using MIRD schema for comparison purposes. The differences in the respective absorbed doses (mGy MBq(-1)) between GATE MC and MIRD schema for brain, heart wall, liver, lungs, stomach wall, spleen, kidneys, and bladder wall were 1.36, 12.3, -22.4, -11.2, -16.9, -2.87, -4.29, and 3.71%, respectively. Considering that the PET/ CT data of real mice were used for GATE simulation, the absorbed doses estimated in this study are mouse-specific. Therefore, the GATE-based Monte Carlo is likely to allow for more accurate internal dosimetry calculations. This method can be used in TRT for personalized dosimetry because it considers patient-specific heterogeneous tissue compositions and activity distributions.</t>
  </si>
  <si>
    <t>[Gupta, Arun; Lee, Min Sun; Lee, Dong Soo; Lee, Jae Sung] Seoul Natl Univ, Coll Med, Dept Nucl Med, Seoul, South Korea; [Lee, Min Sun; Lee, Jae Sung] Seoul Natl Univ, Interdisciplinary Program Radiat Appl Life Sci, Seoul, South Korea; [Kim, Joong Hyun] Korea Res Inst Stand &amp; Sci, Ctr Ionizing Radiat, Daejeon, South Korea; [Park, Sohyeon; Park, Hyun Soo; Kim, Sang Eun] Seoul Natl Univ, Grad Sch Convergence Sci &amp; Technol, Dept Transdisciplinary Studies, Suwon, South Korea; [Lee, Jae Sung] Seoul Natl Univ, Coll Med, Dept Biomed Sci, Seoul, South Korea; [Lee, Jae Sung] Seoul Natl Univ, Dept Nucl Med, Coll Med, 103 Daehak Ro, Seoul 03080, South Korea</t>
  </si>
  <si>
    <t>Seoul National University (SNU); Seoul National University (SNU); Korea Research Institute of Standards &amp; Science (KRISS); Seoul National University (SNU); Seoul National University (SNU); Seoul National University (SNU)</t>
  </si>
  <si>
    <t>Lee, JS (通訊作者)， Seoul Natl Univ, Coll Med, Dept Nucl Med, Seoul, South Korea.;Lee, JS (通訊作者)， Seoul Natl Univ, Interdisciplinary Program Radiat Appl Life Sci, Seoul, South Korea.;Lee, JS (通訊作者)， Seoul Natl Univ, Coll Med, Dept Biomed Sci, Seoul, South Korea.;Lee, JS (通訊作者)， Seoul Natl Univ, Dept Nucl Med, Coll Med, 103 Daehak Ro, Seoul 03080, South Korea.</t>
  </si>
  <si>
    <t>jaes@snu.ac.kr</t>
  </si>
  <si>
    <t>Lee, Jae/J-2781-2012; park, sohyeon/IST-1935-2023; Ha, Jeong/F-6918-2013; Gupta, Arun/AAE-4029-2021</t>
  </si>
  <si>
    <t>National Research Foundation of Korea (NRF) - Korean Ministry of Science and ICT [NRF-2014M3C7034000, NRF-2016R1A2B3014645]</t>
  </si>
  <si>
    <t>National Research Foundation of Korea (NRF) - Korean Ministry of Science and ICT</t>
  </si>
  <si>
    <t>This work was supported by grants from the National Research Foundation of Korea (NRF) funded by the Korean Ministry of Science and ICT (Grant Nos. NRF-2014M3C7034000 and NRF-2016R1A2B3014645).</t>
  </si>
  <si>
    <t>10.1088/1361-6560/ab134b</t>
  </si>
  <si>
    <t>WOS:000466266200002</t>
  </si>
  <si>
    <t>Hu, L; Huang, QJ; Cui, TR; Duarte, I; Miller, GW; Mugler, JP; Cates, GD; Matas, JF; de Lange, EE; Altes, TA; Yin, FF; Cai, J</t>
  </si>
  <si>
    <t>Hu, Lei; Huang, Qijie; Cui, Taoran; Duarte, Isabella; Miller, G. Wilson; Mugler, John P., III; Cates, Gordon D., Jr.; Matas, Jaime F.; de Lange, Eduard E.; Altes, Talissa A.; Yin, Fang-Fang; Cai, Jing</t>
  </si>
  <si>
    <t>A hybrid proton and hyperpolarized gas tagging MRI technique for lung respiratory motion imaging: a feasibility study</t>
  </si>
  <si>
    <t>DIR; lung motion; MRI; hyperpolarized gas; lung cancer</t>
  </si>
  <si>
    <t>4-DIMENSIONAL COMPUTED-TOMOGRAPHY; REGISTRATION ACCURACY; DEFORMABLE REGISTRATION; ALGORITHMS; HE-3; RADIOTHERAPY; BIOMECHANICS; MODEL</t>
  </si>
  <si>
    <t>The aim of this work was to develop a novel hybrid 3D hyperpolarized (HP) gas tagging MRI (t-MRI) technique and to evaluate it for lung respiratory motion measurement with comparison to deformable image registrations (DIR) methods. Three healthy subjects underwent a hybrid MRI which combines 3D HP gas t-MRI with a low resolution (Low-R, 4.5 mm isotropic voxels) 3D proton MRI (p-MRI), plus a high resolution (High-R, 2.5 mm isotropic voxels) 3D p-MRI, during breath-holds at the end-of-inhalation (EOI) and the end-of-exhalation (EOE). Displacement vector field (DVF) of the lung motion was determined from the t-MRI images by tracking tagging grids and from the High-R p-MRI using three DIR methods (B-spline based method implemented by Velocity, Free Form Deformation by MIM, and B-spline by an open source software Elastix: denoted as A, B, and C, respectively), labeled as tDVF and dDVF, respectively. The tDVF from the HP gas t-MRI was used as ground-truth reference to evaluate performance of the three DIR methods. Differences in both magnitude and angle between the tDVF and dDVFs were analyzed. The mean lung motion of the three subjects was 37.3 mm, 8.9 mm and 12.9 mm, respectively. Relatively large discrepancies were observed between the tDVF and the dDVFs as compared to previously reported DIR errors. The mean +/- standard deviation (SD) DVF magnitude difference was 8.3 +/- 5.6 mm, 9.2 +/- 4.5 mm, and 9.3 +/- 6.1 mm, and the mean +/- SD DVF angular difference was 29.1 +/- 12.1 degrees, 50.1 +/- 28.6 degrees, and 39.0 +/- 6.3 degrees, for the DIR Methods A, B, and C, respectively. These preliminary results showed that the hybrid HP gas t-MRI technique revealed different lung motion patterns as compared to the DIR methods. It may provide unique perspectives in developing and evaluating DIR of the lungs. Novelty and Significance We designed a MRI protocol that includes a novel hybrid MRI technique (3D HP gas t-MRI with a low resolution 3D p-MRI) plus a high resolution 3D p-MRI. We tested the novel hybrid MRI technique on three healthy subjects for measuring regional lung respiratory motion with comparison to deformable image registrations (DIR) methods, and observed relatively large discrepancies in lung motion between HP gas t-MRI and DIR methods.</t>
  </si>
  <si>
    <t>[Hu, Lei] NYU, Dept Radiat Oncol, Langone Hlth New, 550 1St Ave, New York, NY 10016 USA; [Huang, Qijie] Mem Sloan Kettering Canc Ctr, Dept Med Phys, New York, NY 10065 USA; [Cui, Taoran] Rutgers Canc Inst New Jersey, Dept Radiat Oncol, New Brunswick, NJ 08901 USA; [Duarte, Isabella; Yin, Fang-Fang; Cai, Jing] Duke Univ, Med Ctr, Dept Radiat Oncol, Durham, NC 27710 USA; [Miller, G. Wilson; Mugler, John P., III; Cates, Gordon D., Jr.; Matas, Jaime F.; de Lange, Eduard E.] Univ Virginia, Dept Radiol &amp; Med Imaging, Charlottesville, VA 22908 USA; [Altes, Talissa A.] Univ Missouri, Sch Med, Dept Radiol, Columbia, MO 65212 USA; [Cai, Jing] Hong Kong Polytech Univ, Dept Hlth Technol &amp; Informat, Hong Kong, Peoples R China</t>
  </si>
  <si>
    <t>New York University; Memorial Sloan Kettering Cancer Center; Rutgers University System; Rutgers University New Brunswick; Rutgers University Biomedical &amp; Health Sciences; Rutgers Cancer Institute of New Jersey; Duke University; University of Virginia; University of Missouri System; University of Missouri Columbia; Hong Kong Polytechnic University</t>
  </si>
  <si>
    <t>Cai, J (通訊作者)， Duke Univ, Med Ctr, Dept Radiat Oncol, Durham, NC 27710 USA.;Cai, J (通訊作者)， Hong Kong Polytech Univ, Dept Hlth Technol &amp; Informat, Hong Kong, Peoples R China.</t>
  </si>
  <si>
    <t>jing.cai@polyu.edu.hk</t>
  </si>
  <si>
    <t>; Miller, Wilson/HHZ-0778-2022; Cates, Gordon/HQY-5058-2023; Mugler, John/B-9432-2013; Duarte, Isabella/T-7256-2019; Huang, Qijie/NGS-2349-2025</t>
  </si>
  <si>
    <t>Cai, Jing/0000-0001-6934-0108; Yin, Fang-Fang/0000-0002-2025-4740; Cui, Taoran/0000-0003-4385-3962;</t>
  </si>
  <si>
    <t>NIH [R21CA195317, R01HL105586]</t>
  </si>
  <si>
    <t>The authors would like to thank I C Ruset and F W Hersman of Xemed LLC for providing HP xenon-129 for one of our studies. The authors also thank Sai Kit Lam for his help in the inter-observer variation analysis, and thank Deshan Yang for his expert opinion on DIR. This work is partly supported by funding from NIH grants R21CA195317 and R01HL105586.</t>
  </si>
  <si>
    <t>10.1088/1361-6560/ab160c</t>
  </si>
  <si>
    <t>WOS:000468283500004</t>
  </si>
  <si>
    <t>Santos, JC; Tomal, A; de Barros, N; Costa, PR</t>
  </si>
  <si>
    <t>Santos, Josilene C.; Tomal, Alessandra; de Barros, Nestor; Costa, Paulo R.</t>
  </si>
  <si>
    <t>Normalized glandular dose (DgN) coefficients from experimental mammographic x-ray spectra</t>
  </si>
  <si>
    <t>mammography; normalized glandular dose coefficients; x-ray spectrometry; dosimetry</t>
  </si>
  <si>
    <t>MONTE-CARLO; BREAST DOSIMETRY</t>
  </si>
  <si>
    <t>Mean glandular dose is the quantity used for dosimetry in mammography and depends on breast-related characteristics, such as thickness and density, and on the x-ray spectrum used for breast imaging. This work aims to present an experimentally-based method to derive polyenergetic normalized glandular dose coefficients (DgN(p)) from the spectral difference between x-ray spectra incident and transmitted through breast phantoms with glandular/adipose proportions of 30/70 and 50/50 and thicknesses up to 4.5 cm. The spectra were produced by a Mammomat 3000 Nova system using radiographic techniques commonly applied for imaging compressed breast thickness lower than 6 cm (Mo/Mo, Mo/Rh and W/Rh spectra at 26 and 28 kVp). DgN(p) coefficients were compared with values estimated using Boones' method and data from breast images (DICOM Organ Dose and VolparaDose calculations). The DgN(p) were also evaluated in layers into the phantoms (depth-DgN(p)) using both x-ray spectra and thermoluminescent dosimeters (TLD-100). Maximum differences between DgN(p) from the method presented in this study and results using Boone's method was 11%, with larger differences for Mo/Rh spectra in relation to the Mo/Mo. The DgN(p) maximum differences to the coefficients obtained using patient images were 8.0%, for the DgN calculated using Volpara and 6.4% for the DgN from DICOM Organ Dose, for a 4.5 cm breast phantom with 30% glandularity. The DgN(p) estimated from the depth-DgN(p) distributions differ up to 5.2% to the coefficients obtained using the pair incident-transmitted spectra to calculate the DgN(p) directly in the whole phantom. The depth-DgN(p) distributions estimated with TLDs were consistent with the results observed using the experimental spectra, with maximum difference of 3.9%. In conclusion, polyenergetic x-ray spectrometry proved to be an applicable tool for research in dosimetry in mammography allowing spectral characterization. This approach can also be useful for investigation of the influence of x-ray spectra on glandular dose.</t>
  </si>
  <si>
    <t>[Santos, Josilene C.; Costa, Paulo R.] Univ Sao Paulo, Inst Fis, BR-05508090 Sao Paulo, SP, Brazil; [Tomal, Alessandra] IFGW UNICAMP, Inst Fis Gleb Wataghin, BR-13083859 Campinas, SP, Brazil; [de Barros, Nestor] Univ Sao Paulo, Fac Med, BR-05403900 Sao Paulo, SP, Brazil</t>
  </si>
  <si>
    <t>Universidade de Sao Paulo; Universidade de Sao Paulo</t>
  </si>
  <si>
    <t>Santos, JC (通訊作者)， Univ Sao Paulo, Inst Fis, BR-05508090 Sao Paulo, SP, Brazil.</t>
  </si>
  <si>
    <t>josilene@usp.br</t>
  </si>
  <si>
    <t>Costa, Paulo Roberto/D-4529-2013; Tomal, Alessandra/C-1520-2015</t>
  </si>
  <si>
    <t>Costa, Paulo Roberto/0000-0002-4712-1454; Santos, Josilene/0000-0002-0139-2208; Tomal, Alessandra/0000-0003-3744-074X</t>
  </si>
  <si>
    <t>FAPESP [2013/07117-0, 2010/12237-7, 2015/21873-8]; CNPq [312029/2009-8, 483170/2013-5, 309745/2015-2]; CNPQ/FAPESP by INCT-Metrology of Ionizing Radiation in Medicine [2008/57863-2]</t>
  </si>
  <si>
    <t>FAPESP(Fundacao de Amparo a Pesquisa do Estado de Sao Paulo (FAPESP)); CNPq(Conselho Nacional de Desenvolvimento Cientifico e Tecnologico (CNPQ)); CNPQ/FAPESP by INCT-Metrology of Ionizing Radiation in Medicine</t>
  </si>
  <si>
    <t>The authors thank FAPESP for financial support of the project number 2013/07117-0 and research regular projects 2010/12237-7 and 2015/21873-8, CNPq for support through the projects 312029/2009-8, 483170/2013-5 and 309745/2015-2, and CNPQ/FAPESP funding of the project by INCT-Metrology of Ionizing Radiation in Medicine (grant number 2008/57863-2). They also thank CDTN and ICESP for providing the mammography device for x-ray spectra measurements and the patient images used for dose assessment, respectively. Finally, they thank Dr Ralph Highnam, Dr Ariane Chan and Dr Lisa Johnston from Volpara Solutions Ltd, New Zealand, for providing the VolparaTM Research 1.5.1 software under research agreement and technical support.</t>
  </si>
  <si>
    <t>10.1088/1361-6560/ab171a</t>
  </si>
  <si>
    <t>WOS:000467702500005</t>
  </si>
  <si>
    <t>Lazzeri, L; Marini, A; Cascone, MG; d'Errico, F</t>
  </si>
  <si>
    <t>Lazzeri, L.; Marini, A.; Cascone, M. G.; d'Errico, F.</t>
  </si>
  <si>
    <t>Dosimetric and chemical characteristics of Fricke gels based on PVA matrices cross-linked with glutaraldehyde</t>
  </si>
  <si>
    <t>gel dosimetry; 3D dosimetry; radiotherapy; PVA; diffusion; Fricke gel</t>
  </si>
  <si>
    <t>POLY(VINYL ALCOHOL); SODIUM-ACETATE; ION DIFFUSION; SENSITIVITY</t>
  </si>
  <si>
    <t>Fricke gel radiochemical sensors based on various matrices have been studied for decades as 3D dosimeters for radiotherapy. Despite their many appealing features, progressive aging and blurring of the signal have prevented the widespread use of these dosimeters, so far. We have addressed these shortcomings and hereby present our development of a Fricke gel based on a chemically cross-linked PVA matrix. We investigated the influence of several parameters of the polymeric matrix on sensitivity, diffusion coefficient and spontaneous oxidation of the proposed gel dosimeter. Based on these findings, we optimized the gel compositions. Our new gel formulation combines transparency, high sensitivity and simple production method, typical of gels based on natural polymers, with low diffusion coefficient and slow spontaneous oxidation typical of PVA gels made by freezing-thawing.</t>
  </si>
  <si>
    <t>[Lazzeri, L.; Marini, A.; Cascone, M. G.; d'Errico, F.] Univ Pisa, Dept Civil &amp; Ind Engn, Largo Lucio Lazzarino 1, Pisa, Italy; [d'Errico, F.] Yale Univ, Sch Med, 333 Cedar St, New Haven, CT USA</t>
  </si>
  <si>
    <t>University of Pisa; Yale University</t>
  </si>
  <si>
    <t>Marini, A (通訊作者)， Univ Pisa, Dept Civil &amp; Ind Engn, Largo Lucio Lazzarino 1, Pisa, Italy.</t>
  </si>
  <si>
    <t>andrea.marini@for.unipi.it</t>
  </si>
  <si>
    <t>d'Errico, Francesco/LKM-4943-2024</t>
  </si>
  <si>
    <t>d'Errico, Francesco/0000-0001-8988-3572</t>
  </si>
  <si>
    <t>Italian Ministry for Education, University and Research [PRIN 2010SNALEM]</t>
  </si>
  <si>
    <t>Italian Ministry for Education, University and Research(Ministry of Education, Universities and Research (MIUR))</t>
  </si>
  <si>
    <t>The authors gratefully acknowledge the assistance for the irradiations provided by Dr Luigi Tana from University-Hospital of Pisa, Pisa (Italy). This research was partly supported by grant PRIN 2010SNALEM of the Italian Ministry for Education, University and Research (P I F d'Errico).</t>
  </si>
  <si>
    <t>10.1088/1361-6560/ab135c</t>
  </si>
  <si>
    <t>WOS:000464454200001</t>
  </si>
  <si>
    <t>McGarry, M; Van Houten, E; Solamen, L; Gordon-Wylie, S; Weaver, J; Paulsen, K</t>
  </si>
  <si>
    <t>McGarry, Matthew; Van Houten, Elijah; Solamen, Ligin; Gordon-Wylie, Scott; Weaver, John; Paulsen, Keith</t>
  </si>
  <si>
    <t>Uniqueness of poroelastic and viscoelastic nonlinear inversion MR elastography at low frequencies</t>
  </si>
  <si>
    <t>elastography; poroelastic; viscoelastic; simulation; phantom</t>
  </si>
  <si>
    <t>INTERSTITIAL PRESSURE; MECHANICAL-PROPERTIES; BRAIN; DEFORMATION; ALGORITHM</t>
  </si>
  <si>
    <t>Intrinsic actuation MR elastography (IA-MRE) exploits natural pulsations of the brain as a motion source to estimate mechanical property maps. The low frequency motion of IA-MRE introduces new considerations for inversion algorithms relative to traditional external actuation MRE. Specifically, inertial forces become very small, which leaves low frequency viscoelastic inversions with a non-unique scalar multiplier. Biphasic poroelastic inversions include additional fluid-solid interaction forces to balance the elastic forces, which avoids the non-uniqueness. Analyzing the convergence behavior from different starting values using 1 Hz simulated data, IA-MRE data from a gelatin phantom and in vivo brain IA-MRE data reveal that higher frequency (50 Hz) viscoelastic inversion reaches the correct, unique solution regardless of initial property estimate; whereas, low frequency viscoelastic inversion recovers relative values of shear modulus. In the presence of measurement noise, the non-unique scalar multiplier is determined by the softest material reaching the prescribed lower bound on shear modulus. Poroelastic inversion produces a unique solution at both 50 Hz and 1 Hz; however, hydraulic conductivity must be known or accurately estimated in order to recover quantitatively accurate shear modulus maps at low frequency.</t>
  </si>
  <si>
    <t>[McGarry, Matthew; Solamen, Ligin; Gordon-Wylie, Scott; Weaver, John; Paulsen, Keith] Dartmouth Coll, Thayer Sch Engn, Hanover, NH 03755 USA; [Van Houten, Elijah] Univ Sherbrooke, Sherbrooke, PQ J1K 2R1, Canada; [Weaver, John; Paulsen, Keith] Dartmouth Hitchcock Med Ctr, Lebanon, NH 03756 USA</t>
  </si>
  <si>
    <t>Dartmouth College; University of Sherbrooke; Dartmouth College</t>
  </si>
  <si>
    <t>McGarry, M (通訊作者)， Dartmouth Coll, Thayer Sch Engn, Hanover, NH 03755 USA.</t>
  </si>
  <si>
    <t>matthew.d.mcgarry@dartmouth.edu</t>
  </si>
  <si>
    <t>Van Houten, Elijah/MYQ-7877-2025</t>
  </si>
  <si>
    <t>National Institute of Biomedical Imaging and Bioengineering (NIBIB) of the National Institutes of Health [R01EB018230]</t>
  </si>
  <si>
    <t>National Institute of Biomedical Imaging and Bioengineering (NIBIB) of the National Institutes of Health(United States Department of Health &amp; Human ServicesNational Institutes of Health (NIH) - USANIH National Institute of Biomedical Imaging &amp; Bioengineering (NIBIB))</t>
  </si>
  <si>
    <t>;Research reported in this publication was supported by the National Institute of Biomedical Imaging and Bioengineering (NIBIB) of the National Institutes of Health under award number R01EB018230. The content is solely the responsibility of the authors and does not necessarily represent the official views of the National Institutes of Health.</t>
  </si>
  <si>
    <t>10.1088/1361-6560/ab0a7d</t>
  </si>
  <si>
    <t>WOS:000462743600002</t>
  </si>
  <si>
    <t>Edimo, P; Kroshko, A; Beaulieu, L; Archambault, L</t>
  </si>
  <si>
    <t>Edimo, Paul; Kroshko, Angelika; Beaulieu, Luc; Archambault, Louis</t>
  </si>
  <si>
    <t>A stochastic frontier analysis for enhanced treatment quality of high-dose-rate brachytherapy plans</t>
  </si>
  <si>
    <t>stochastic frontiers analysis; brachytherapy; quality control; geometric parameters</t>
  </si>
  <si>
    <t>HDR-BRACHYTHERAPY; OPTIMIZATION</t>
  </si>
  <si>
    <t>The purpose of the present study is to develop patient specific unbiased quality control (QC) models for high dose rate (HDR) brachytherapy plans. The proposed models are based on the stochastic frontier analysis formalism, a method of economic modeling. They act as a QC tool by predicting before the treatment planning process starts, the dosimetric coverage achievable for a HDR brachytherapy prostate plan. The geometric parameters considered in developing the models were: patient clinical target volume (CTV), organs at risk (OAR) volume, the bidirectional Hausdorff distance between CTV and OARs, and a fourth parameter measuring the catheters degree of non-parallelism within the target volume. Dosimetry parameters of interest are V-100 for the CTV, V-75 (bladder, rectum) and D-10 (urethra). Results show that the built models can provide valuable information on the personalization of the optimization process based on the patient geometric parameters. The impact on the quality plan due to the planner's experience variability and judgment can be reduced by using those models, since the planner will attempt to achieve dosimetric parameters predicted by the models. Furthermore, the models provide information on the better trade-off between the target volume coverage and OARs sparing that can be achieved, regardless of the planner's experience; the latter being achieved by moving each plan at least around their respective frontier for V-100, V-75 and D-10. The shortfall of the dosimetric parameters values computed by the treatment planning system (TPS) from those predicted by the models for a proportion of plans in the dataset reveals that optimized plans from a TPS, even clinically acceptable, are not necessarily the best that could be achieved. These represent 83% of plans in the training set for the target volume coverage (V-100), similar to 50% for the bladder (V-75) and similar to 72% for the urethra (D-10).</t>
  </si>
  <si>
    <t>[Edimo, Paul; Kroshko, Angelika; Beaulieu, Luc; Archambault, Louis] Univ Laval, Dept Radiooncol, 11 Cote Palais, Quebec City, PQ G1R 2J6, Canada; [Edimo, Paul; Kroshko, Angelika; Beaulieu, Luc; Archambault, Louis] Univ Laval, CR CHU Quebec, 11 Cote Palais, Quebec City, PQ G1R 2J6, Canada; [Edimo, Paul; Kroshko, Angelika; Beaulieu, Luc; Archambault, Louis] Univ Laval, Dept Phys Genie Phys &amp; Opt, 2325 Rue Univ, Quebec City, PQ G1V 0A6, Canada; [Edimo, Paul; Kroshko, Angelika; Beaulieu, Luc; Archambault, Louis] Univ Laval, Ctr Rech Cancerol, 2325 Rue Univ, Quebec City, PQ G1V 0A6, Canada</t>
  </si>
  <si>
    <t>Laval University; Laval University; Laval University; Laval University</t>
  </si>
  <si>
    <t>Archambault, L (通訊作者)， Univ Laval, Dept Radiooncol, 11 Cote Palais, Quebec City, PQ G1R 2J6, Canada.;Archambault, L (通訊作者)， Univ Laval, CR CHU Quebec, 11 Cote Palais, Quebec City, PQ G1R 2J6, Canada.;Archambault, L (通訊作者)， Univ Laval, Dept Phys Genie Phys &amp; Opt, 2325 Rue Univ, Quebec City, PQ G1V 0A6, Canada.;Archambault, L (通訊作者)， Univ Laval, Ctr Rech Cancerol, 2325 Rue Univ, Quebec City, PQ G1V 0A6, Canada.</t>
  </si>
  <si>
    <t>Louis.Archambault@phy.ulaval.ca</t>
  </si>
  <si>
    <t>Natural Sciences and Engineering Research Council (NSERC) [432290]; Ministere de la Sante et des Services sociaux du Quebec; NSERC [435510, 385773]</t>
  </si>
  <si>
    <t>Natural Sciences and Engineering Research Council (NSERC)(Natural Sciences and Engineering Research Council of Canada (NSERC)); Ministere de la Sante et des Services sociaux du Quebec; NSERC(Natural Sciences and Engineering Research Council of Canada (NSERC))</t>
  </si>
  <si>
    <t>This work was partly supported by the CREATE Medical Physics Research Training Network grant of the Natural Sciences and Engineering Research Council (NSERC) under Grant No 432290, and the Fellowships Program of the ` Ministere de la Sante et des Services sociaux du Quebec'. The present work was also supported by the NSERC Grant Nos 435510 and 385773. The authors are greatly indebted to the radiation oncology physicists Ms MarieClaude Lavallee and Annie Letourneau, medical physicists at the CHU de Quebec-Universite Laval (Quebec, Canada), for their help in collecting patient sample for the development of this project.</t>
  </si>
  <si>
    <t>10.1088/1361-6560/ab0522</t>
  </si>
  <si>
    <t>Science Citation Index Expanded (SCI-EXPANDED); Social Science Citation Index (SSCI)</t>
  </si>
  <si>
    <t>WOS:000461426100001</t>
  </si>
  <si>
    <t>Barnat, N; Grisey, A; Lecuelle, B; Anquez, J; Gerold, B; Yon, S; Aubry, JF</t>
  </si>
  <si>
    <t>Barnat, N.; Grisey, A.; Lecuelle, B.; Anquez, J.; Gerold, B.; Yon, S.; Aubry, J-F</t>
  </si>
  <si>
    <t>Noninvasive vascular occlusion with HIFU for venous insufficiency treatment: preclinical feasibility experience in rabbits</t>
  </si>
  <si>
    <t>HIFU; ultrasound; thermal occlusion; vascular occlusion; vein</t>
  </si>
  <si>
    <t>INTENSITY FOCUSED ULTRASOUND; SAPHENOUS-VEIN; THERMAL-DAMAGE; BLOOD-VESSELS; LIVER-TISSUE; IN-VIVO; TEMPERATURE; ATTENUATION; PROPAGATION; DEPENDENCE</t>
  </si>
  <si>
    <t>Venous insufficiency is a common disease arising when veins of the lower limb become incompetent. A conventional surgical strategy consists in stripping the incompetent veins. However, this treatment option is invasive and carries complication risks. In the present study, we propose noninvasive high-intensity focused ultrasound (HIFU) to treat lower limbs venous insufficiency, in particular incompetent perforating veins (mean diameter between 2-6 mm). Sonication parameters were designed by numerical simulations using the k-Wave toolbox to ensure continuous coagulation of a vein with a diameter superior or equal to 2 mm. The selected ultrasound exposures were 4s pulses in continuous wave mode. Two types of sonication were studied: (1) fixed pulses and (2) moving pulses at constant speed (0.75 mm s(-1)) across the vein. The potential of these exposures to thermally occlude veins were investigated in vivo on rabbit saphenous veins. The impact of vein compression during ultrasonic exposure was also investigated. Fifteen rabbits were used in these trials. A total of 27 saphenous veins (mean diameter 2.0 +/- 0.6 mm) were sonicated with a transducer operated at 3 MHz. After a mean 15 d follow-up, rabbits were euthanized and venous samples were extracted and sent for histologic assessment. Only samples with the vein within the HIFU lesion were considered for analysis. Simulated thermal damage distribution demonstrated that fixed pulses and moving pulses respectively placed every 1.5 and 0.5 mm along the vein and delivered at an acoustic power of 85 W and for 4s were able to induce continuous thermal damages along the vein segments. Experimentally, both treatment parameters (1) and (2) have proven effective to occlude veins with a success rate of 82%. Occlusion was always observed when compression was applied. Our results demonstrate that HIFU can durably and non-invasively occlude veins of diameters comparable to human veins.</t>
  </si>
  <si>
    <t>[Barnat, N.; Aubry, J-F] Inst Langevin, INSERM U979, Paris, France; [Barnat, N.; Aubry, J-F] PSL Res Univ, ESPCI Paris, Inst Langevin, Paris, France; [Barnat, N.; Aubry, J-F] Inst Langevin, CNRS UMR 7587, Paris, France; [Barnat, N.; Grisey, A.; Anquez, J.; Gerold, B.; Yon, S.] Theraclion, Malakoff, France; [Lecuelle, B.] CRBM, Ecole Natl Vet Alft, Maisons Alfort, France</t>
  </si>
  <si>
    <t>Institut National de la Sante et de la Recherche Medicale (Inserm); Universite Paris Cite; Universite Paris Cite; Universite PSL; Ecole Superieure de Physique et de Chimie Industrielles de la Ville de Paris (ESPCI); Centre National de la Recherche Scientifique (CNRS); CNRS - Institute for Engineering &amp; Systems Sciences (INSIS); Universite PSL; Ecole Superieure de Physique et de Chimie Industrielles de la Ville de Paris (ESPCI); Universite Paris Cite; Ecole Nationale Veterinaire d'Alfort (ENVA); Universite de Montpellier</t>
  </si>
  <si>
    <t>Barnat, N (通訊作者)， Inst Langevin, INSERM U979, Paris, France.;Barnat, N (通訊作者)， PSL Res Univ, ESPCI Paris, Inst Langevin, Paris, France.;Barnat, N (通訊作者)， Inst Langevin, CNRS UMR 7587, Paris, France.;Barnat, N (通訊作者)， Theraclion, Malakoff, France.</t>
  </si>
  <si>
    <t>nesrine.barnat@theraclion.com</t>
  </si>
  <si>
    <t>Aubry, Jean-Francois/I-8491-2016</t>
  </si>
  <si>
    <t>Aubry, Jean-Francois/0000-0003-2644-3945</t>
  </si>
  <si>
    <t>10.1088/1361-6560/aaf58d</t>
  </si>
  <si>
    <t>WOS:000455360700003</t>
  </si>
  <si>
    <t>Chen, HB; Lu, WG; Chen, ML; Zhou, LH; Timmerman, R; Tu, D; Nedzi, L; Wardak, Z; Jiang, S; Zhen, X; Gu, XJ</t>
  </si>
  <si>
    <t>Chen, Haibin; Lu, Weiguo; Chen, Mingli; Zhou, Linghong; Timmerman, Robert; Tu, Dan; Nedzi, Lucien; Wardak, Zabi; Jiang, Steve; Zhen, Xin; Gu, Xuejun</t>
  </si>
  <si>
    <t>A recursive ensemble organ segmentation (REOS) framework: application in brain radiotherapy</t>
  </si>
  <si>
    <t>segmentation; deep learning; brain radiotherapy</t>
  </si>
  <si>
    <t>NECK CT IMAGES; AUTOMATIC SEGMENTATION; HEAD; DELINEATION; VALIDATION; ALGORITHMS; RISK</t>
  </si>
  <si>
    <t>The aim of this work is to develop a novel recursive ensemble OARs segmentation (REOS) framework for accurate organs-at-risk (OARs) automatic segmentation. The REOS recursively segment individual OARs by ensembling images features extracted from an organ localization module and a contour detection module. Both modules are based on a 3D U-Net architecture. The organ localization module is trained for rough segmentation to localize a region of interest (ROI) that encompasses the to-be-delineated OAR, while the contour detection module is trained to segment the OAR within the identified ROI. In this study, the developed REOS framework is applied for brain radiotherapy on segmenting six OARS including the eyes, the brainstem (BS), the optical nerves and the chiasm. Eighty T1-weighted magnetic resonance images (MRI) from 80 brain cancer patients' cases with OARs' gold standard contours were collected for training and testing REOS. On 20 testing cases, the REOS achieve a high segmentation accuracy with Dice similarity coefficient (DSC) mean and standard deviation of 93.9% +/- 1.4%, 94.5% +/- 2.0%, 90.6% +/- 2.7%, on the left and right eyes and the BS, respectively. On small and segmentation-challenging organs, the left and right optical nerves and the chiasm, the REOS achieves DSC of 78.0% +/- 10.5%, 82.2% +/- 5.9% and 71.1% +/- 9.1%. The satisfactory performances demonstrated the effectiveness of the REOS in OARS segmentation.</t>
  </si>
  <si>
    <t>[Chen, Haibin; Zhou, Linghong; Zhen, Xin] Southern Med Univ, Sch Biomed Engn, Guangzhou 510515, Guangdong, Peoples R China; [Chen, Haibin; Lu, Weiguo; Chen, Mingli; Timmerman, Robert; Tu, Dan; Nedzi, Lucien; Wardak, Zabi; Jiang, Steve; Gu, Xuejun] Univ Texas Southwestern Med Ctr Dallas, Dept Radiat Oncol, Dallas, TX 75390 USA; [Chen, Haibin] Sun Yat Sen Univ, Sch Data &amp; Comp Sci, Guangzhou 510275, Guangdong, Peoples R China</t>
  </si>
  <si>
    <t>Southern Medical University - China; University of Texas System; University of Texas Southwestern Medical Center; Sun Yat Sen University</t>
  </si>
  <si>
    <t>Zhen, X (通訊作者)， Southern Med Univ, Sch Biomed Engn, Guangzhou 510515, Guangdong, Peoples R China.;Gu, XJ (通訊作者)， Univ Texas Southwestern Med Ctr Dallas, Dept Radiat Oncol, Dallas, TX 75390 USA.</t>
  </si>
  <si>
    <t>xinzhen@smu.edu.cn; xuejun.gu@utsouthwestern.edu</t>
  </si>
  <si>
    <t>; Jiang, Steve/GRO-3951-2022; CHEN, MO/JAO-3630-2023; Dan, Tu/Y-7250-2019</t>
  </si>
  <si>
    <t>Lu, Weiguo/0000-0003-3036-7287; Dan, Tu/0000-0003-1154-0507; CHEN, HAIBIN/0000-0002-5542-683X; Chen, Mingli/0000-0002-9758-3788</t>
  </si>
  <si>
    <t>Varian Medical Systems, Inc. [OTD-109235]; National Natural Science Foundation of China [81728016, 81571771]; Guangdong Natural Science Foundation [2015A030313302]; National Key Research and Development Program of China [2017YFC0112900]</t>
  </si>
  <si>
    <t>Varian Medical Systems, Inc.; National Natural Science Foundation of China(National Natural Science Foundation of China (NSFC)); Guangdong Natural Science Foundation(National Natural Science Foundation of Guangdong Province); National Key Research and Development Program of China(National Key Research &amp; Development Program of China)</t>
  </si>
  <si>
    <t>This work is supported by Varian Medical Systems, Inc. (#OTD-109235), the National Natural Science Foundation of China (81728016 and 81571771), the Guangdong Natural Science Foundation 2015A030313302), and the National Key Research and Development Program of China (2017YFC0112900).</t>
  </si>
  <si>
    <t>10.1088/1361-6560/aaf83c</t>
  </si>
  <si>
    <t>WOS:000455823300012</t>
  </si>
  <si>
    <t>Bastiaannet, R; van der Velden, S; Lam, MGEH; Viergever, MA; de Jong, HWAM</t>
  </si>
  <si>
    <t>Bastiaannet, Remco; van der Velden, Sandra; Lam, Marnix G. E. H.; Viergever, Max A.; de Jong, Hugo W. A. M.</t>
  </si>
  <si>
    <t>Fast and accurate quantitative determination of the lung shunt fraction in hepatic radioembolization</t>
  </si>
  <si>
    <t>lung shunt fraction; radioembolization; quantitation; SPECT; dosimetry</t>
  </si>
  <si>
    <t>RADIATION PNEUMONITIS; SPECT RECONSTRUCTION; MOTION</t>
  </si>
  <si>
    <t>Radioembolization treatment is preceded by a Tc-99m-MAA safety procedure, which is used to estimate the lung shunt fraction (LSF). Normally, the LSF is estimated by using the geometric mean of planar scintigraphy (PS-GM). However, concern has been raised about the potential overestimation of the LSF by PS-GM. Alternatively, SPECT/CT may be used for LSF estimation, but requires lengthy acquisitions, 3D segmentation, and has a limited field of view, which calls for extrapolation of the reconstructed lung counts, which introduces another source of error. We have developed a simplified SPECT/CT protocol for LSF estimation, called the quantitative orthogonal planar (QOP) method that requires only four projections to quantitatively reconstruct liver and lung activity. This mitigates the problems associated with LSF estimations from SPECT/CT. The purpose of this study was to introduce and evaluate QOP by comparing its performance to PS-GM and SPECT/CT in a retrospective patient study, and by supporting simulation experiments. Patients who received at least one Tc-99m-MAA safety procedure in our center were included in this study. QOP and PS-GM were compared to SPECT/CT in Bland?Altman analyses. Supporting digital phantom experiments with a known ground-truth were performed to evaluate the performance of this method. Analysis of PS-GM versus SPECT/CT LSF estimates revealed both a larger imprecision and significant bias by PS-GM (limits of agreement: 8.1 percentage points (pp); bias: 2.7 pp). The QOP method agreed better with the SPECT/CT-based estimation (limits of agreement: 2.07 pp; bias: 0.52 pp). This observation was consistent with the digital phantom experiments. We have proposed and evaluated a novel method called QOP for LSF estimation that performs almost as accurate as SPECT/CT, but without the need for lung mass extrapolation, long scan duration, or extensive manual segmentation, making it as fast as current PS-GM.</t>
  </si>
  <si>
    <t>[Bastiaannet, Remco; van der Velden, Sandra; Lam, Marnix G. E. H.; de Jong, Hugo W. A. M.] Univ Med Ctr Utrecht, Dept Radiol &amp; Nucl Med, Utrecht, Netherlands; [Bastiaannet, Remco; van der Velden, Sandra; Viergever, Max A.] Univ Med Ctr Utrecht, Image Sci Inst, Utrecht, Netherlands</t>
  </si>
  <si>
    <t>Bastiaannet, R (通訊作者)， Univ Med Ctr Utrecht, Dept Radiol &amp; Nucl Med, Utrecht, Netherlands.;Bastiaannet, R (通訊作者)， Univ Med Ctr Utrecht, Image Sci Inst, Utrecht, Netherlands.</t>
  </si>
  <si>
    <t>r.bastiaannet@umcutrecht.nl</t>
  </si>
  <si>
    <t>Viergever, Max/J-1215-2014; Bastiaannet, Remco/K-9072-2019</t>
  </si>
  <si>
    <t>Bastiaannet, Remco/0000-0001-7056-3229</t>
  </si>
  <si>
    <t>Siemens Medical Solutions (HWAMdJ); European Research Council (ERC) under the European Union [646734]; ENEN + project - Euratom research and training work programme 2016-2017-1 [755576]; European Research Council (ERC) [646734] Funding Source: European Research Council (ERC)</t>
  </si>
  <si>
    <t>Siemens Medical Solutions (HWAMdJ); European Research Council (ERC) under the European Union(European Research Council (ERC)); ENEN + project - Euratom research and training work programme 2016-2017-1; European Research Council (ERC)(European Research Council (ERC))</t>
  </si>
  <si>
    <t>This work was supported in part by a research grant from Siemens Medical Solutions (HWAMdJ). This project has received funding from the European Research Council (ERC) under the European Union's Horizon 2020 research and innovation program (Grant Agreement No (646734)) (HWAMdJ). This work has been partially supported by the ENEN + project that has received funding from the Euratom research and training work programme 2016-2017-1 #755576 (RB).</t>
  </si>
  <si>
    <t>10.1088/1361-6560/ab4e49</t>
  </si>
  <si>
    <t>JR0WY</t>
  </si>
  <si>
    <t>WOS:000499357500001</t>
  </si>
  <si>
    <t>Caballo, M; Michielsen, K; Fedon, C; Sechopoulos, I</t>
  </si>
  <si>
    <t>Caballo, Marco; Michielsen, Koen; Fedon, Christian; Sechopoulos, Ioannis</t>
  </si>
  <si>
    <t>Towards 4D dedicated breast CT perfusion imaging of cancer: development and validation of computer simulated images</t>
  </si>
  <si>
    <t>breast cancer; dedicated breast CT; image simulations; perfusion imaging; quantitative imaging</t>
  </si>
  <si>
    <t>MODULATION TRANSFER-FUNCTION; DETECTOR PERFORMANCE; MAMMOGRAPHY; QUALITY; TOMOSYNTHESIS; ACCURACY; MRI</t>
  </si>
  <si>
    <t>Dedicated breast CT is a fully tomographic breast imaging modality with potential for various applications throughout breast cancer care. If implemented to perform dynamic contrast-enhanced (CE) imaging (4D breast CT), it could be useful to obtain functional information at high combined spatio-temporal resolution. Before developing a 4D dedicated breast CT system, a computer simulation method for breast CT perfusion imaging is proposed. The simulation uses previously developed patient-based 4D digital breast phantoms, and generates realistic images with the selected acquisition parameters, allowing to investigate the effect of different acquisition settings on image quality. The simulation pipeline includes all steps of the image generation process, from ray tracing and scatter map generation, to the addition of realistic resolution losses and noise models. The pipeline was validated against experimental measurements performed on physical phantoms with a dedicated breast CT system, in terms of average error compared to ground truth projections (6.0% +/- 1.65%), Hounsfield unit (HU) values in a homogeneous phantom (acquired: -149 HU +/- 2 HU; simulated: -140 HU +/- 2 HU), signal-to-noise ratio (SNR) (average error 6.7% +/- 4.2%), noise power spectra (NPS) (average error 4.3% +/- 2.5%), modulation transfer function (MTF) (average error 8.4% +/- 7.2%), and attenuation of different adipose/glandular equivalent mixtures (average error 6.9% +/- 4.0%) and glandular plus iodinated contrast medium concentrations equivalent mixtures (average error of 9.1% +/- 9.0%). 4D patient images were then simulated for different 4D digital breast phantoms at different air kerma levels to determine the effect of noise on the extracted tumor perfusion curves. In conclusion, the proposed pipeline could simulate images with a good level of realism, resulting in a tool that can be used for the design, development, and optimization of a 4D dedicated breast CT system.</t>
  </si>
  <si>
    <t>[Caballo, Marco; Michielsen, Koen; Fedon, Christian; Sechopoulos, Ioannis] Radboud Univ Nijmegen, Dept Radiol &amp; Nucl Med, Med Ctr, POB 9101, NL-6500 HB Nijmegen, Netherlands; [Fedon, Christian] Ist Nazl Fis Nucl, Sez Trieste, I-34127 Trieste, Italy; [Sechopoulos, Ioannis] Dutch Expert Ctr Screening LRCB, POB 6873, NL-6503 GJ Nijmegen, Netherlands</t>
  </si>
  <si>
    <t>Radboud University Nijmegen; Istituto Nazionale di Fisica Nucleare (INFN)</t>
  </si>
  <si>
    <t>Sechopoulos, I (通訊作者)， Radboud Univ Nijmegen, Dept Radiol &amp; Nucl Med, Med Ctr, POB 9101, NL-6500 HB Nijmegen, Netherlands.;Sechopoulos, I (通訊作者)， Dutch Expert Ctr Screening LRCB, POB 6873, NL-6503 GJ Nijmegen, Netherlands.</t>
  </si>
  <si>
    <t>Ioannis.Sechopoulos@radboudumc.nl</t>
  </si>
  <si>
    <t>Sechopoulos, Ioannis/B-4762-2016; Fedon, Christian/O-4376-2019; Fedon, Christian/P-5672-2016; Michielsen, Koen/Y-2952-2018</t>
  </si>
  <si>
    <t>Fedon, Christian/0000-0002-5998-453X; Sechopoulos, Ioannis/0000-0001-9615-8205; Michielsen, Koen/0000-0002-6949-7209; Caballo, Marco/0000-0002-3700-2785</t>
  </si>
  <si>
    <t>National Cancer Institute, National Institutes of Health [R01CA181171]</t>
  </si>
  <si>
    <t>National Cancer Institute, National Institutes of Health(United States Department of Health &amp; Human ServicesNational Institutes of Health (NIH) - USANIH National Cancer Institute (NCI))</t>
  </si>
  <si>
    <t>This research was supported by grant R01CA181171 from the National Cancer Institute, National Institutes of Health. The content is solely the responsibility of the authors and does not necessarily represent the official views of the National Cancer Institute, or the National Institutes of Health. The authors are grateful to Luuk Oostveen and Shawn Liu for the valuable support in the characterization of the dedicated breast CT system.</t>
  </si>
  <si>
    <t>10.1088/1361-6560/ab55ac</t>
  </si>
  <si>
    <t>WOS:000513009900004</t>
  </si>
  <si>
    <t>Fan, M; Liu, ZH; Xie, SD; Xu, MS; Wang, SW; Gao, X; Li, LH</t>
  </si>
  <si>
    <t>Fan, Ming; Liu, Zuhui; Xie, Sudan; Xu, Maosheng; Wang, Shiwei; Gao, Xin; Li, Lihua</t>
  </si>
  <si>
    <t>Integration of dynamic contrast-enhanced magnetic resonance imaging and T2-weighted imaging radiomic features by a canonical correlation analysis-based feature fusion method to predict histological grade in ductal breast carcinoma</t>
  </si>
  <si>
    <t>ductal breast carcinoma; dynamic contrast-enhanced magnetic resonance imaging; T2-weighted imaging; canonical correlation analysis</t>
  </si>
  <si>
    <t>DIFFUSION-COEFFICIENT VALUE; DCE-MRI; PROGNOSTIC-FACTORS; TEXTURE ANALYSIS; CANCER; DIAGNOSIS; LEVEL; CLASSIFICATION; INFORMATION; SEQUENCES</t>
  </si>
  <si>
    <t>Tumour histological grade has prognostic implications in breast cancer. Tumour features in dynamic contrast-enhanced magnetic resonance imaging (DCE-MRI) and T2-weighted (T2W) imaging can provide related and complementary information in the analysis of breast lesions to improve MRI-based histological status prediction in breast cancer. A dataset of 167 patients with invasive ductal carcinoma (IDC) was assembled, consisting of 72 low/intermediate-grade and 95 high-grade cases with preoperative DCE-MRI and T2W images. The data cohort was separated into development (n = 111) and validation (n = 56) cohorts. Each tumour was segmented in the precontrast and the intermediate and last postcontrast DCE-MR images and was mapped to the tumour in the T2W images. Radiomic features, including texture, morphology, and histogram distribution features in the tumour image, were extracted for those image series. Features from the DCE-MR and T2W images were fused by a canonical correlation analysis (CCA)-based method. The support vector machine (SVM) classifiers were trained and tested on the development and validation cohorts, respectively. SVM-based recursive feature elimination (SVM-RFE) was adopted to identify the optimal features for prediction. The areas under the ROC curves (AUCs) for the T2W images and the DCE-MRI series of precontrast, intermediate and last postcontrast images were 0.750 +/- 0.047, 0.749 +/- 0.047, and 0.788 +/- 0.045, respectively, for the development cohort and 0.715 +/- 0.068, 0.704 +/- 0.073, and 0.744 +/- 0.067, respectively, for the validation cohort. After the CCA-based fusion of features from the DCE-MRI series and T2W images, the AUCs increased to 0.751 +/- 0.065, 0.803 +/- 0.0600 and 794 +/- 0.060 in the validation cohort. Moreover, the method of fusing features between DCE-MRI and T2W images using CCA achieved better performance than the concatenation-based feature fusion or classifier fusion methods. Our results demonstrated that anatomical and functional MR images yield complementary information, and feature fusion of radiomic features by matrix transformation to optimize their correlations produced a classifier with improved performance for predicting the histological grade of IDC.</t>
  </si>
  <si>
    <t>[Fan, Ming; Liu, Zuhui; Xie, Sudan; Li, Lihua] Hangzhou Dianzi Univ, Inst Biomed Engn &amp; Instrumentat, Hangzhou, Peoples R China; [Xu, Maosheng] Zhejiang Chinese Med Univ, Affiliated Hosp 1, Dept Radiol, Hangzhou, Zhejiang, Peoples R China; [Gao, Xin] KAUST, Computat Biosci Res Ctr CBRC, Comp Elect &amp; Math Sci &amp; Engn Div CEMSE, Thuwal 239556900, Saudi Arabia</t>
  </si>
  <si>
    <t>Hangzhou Dianzi University; Zhejiang Chinese Medical University; King Abdullah University of Science &amp; Technology</t>
  </si>
  <si>
    <t>Li, LH (通訊作者)， Hangzhou Dianzi Univ, Inst Biomed Engn &amp; Instrumentat, Hangzhou, Peoples R China.</t>
  </si>
  <si>
    <t>lilh@hdu.edu.cn</t>
  </si>
  <si>
    <t>Gao, Xin/D-5487-2013</t>
  </si>
  <si>
    <t>Gao, Xin/0000-0002-7108-3574</t>
  </si>
  <si>
    <t>National Natural Science Foundation of China [61871428, 61731008, U1809205, 61401131]; Natural Science Foundation of Zhejiang Province of China [LJ19H180001]; King Abdullah University of Science and Technology (KAUST) Office of Sponsored Research (OSR) [URF/1/3450-01]</t>
  </si>
  <si>
    <t>National Natural Science Foundation of China(National Natural Science Foundation of China (NSFC)); Natural Science Foundation of Zhejiang Province of China(Natural Science Foundation of Zhejiang Province); King Abdullah University of Science and Technology (KAUST) Office of Sponsored Research (OSR)</t>
  </si>
  <si>
    <t>This work has received funding from the National Natural Science Foundation of China (61871428, 61731008, U1809205 and 61401131), the Natural Science Foundation of Zhejiang Province of China (LJ19H180001), and the King Abdullah University of Science and Technology (KAUST) Office of Sponsored Research (OSR) under Award No. URF/1/3450-01.</t>
  </si>
  <si>
    <t>10.1088/1361-6560/ab3fd3</t>
  </si>
  <si>
    <t>WOS:000518764400001</t>
  </si>
  <si>
    <t>Irmen, P; Reft, C; Fitzherbert, C; Solin, L; Hand, C</t>
  </si>
  <si>
    <t>Irmen, Peyton; Reft, Chester; Fitzherbert, Caitlyn; Solin, Lawrence; Hand, Christopher</t>
  </si>
  <si>
    <t>Verification of representative data for output factors of SRS cones utilizing IAEA TRS 483 recommendations</t>
  </si>
  <si>
    <t>small fields; representative data; gold beam data; SRS cones; TrueBeam</t>
  </si>
  <si>
    <t>SILICON DIODE; SMALL FIELDS; PHOTON</t>
  </si>
  <si>
    <t>Measurements of small fields continue to be a clinical challenge despite the recent work done to identify their characteristics. Due to this challenge, many physicists use representative data supplied by their vendors to verify their own measurements for small field output factors. However, with recent guidelines being released in IAEA TRS 483, the question remains if this representative data provides an accurate representation for small field dosimetry. A Sun Nuclear EDGE detector, PTW 60012 stereotactic diode, and GafChromic EBT3 films were used to measure the output factor for a set of Varian SRS cones (4 mm-17.5-mm diameters) on a TrueBeam linear accelerator. The measured output factors were then compared to the Varian provided SRS representative data. IAEA TRS 483 recommendations for measuring small field output factors were applied and the impact of those recommendations were examined. The EDGE detector showed good agreement with the representative data when correction factors were not applied (0.01%-1.64% difference) but the PTW 60012 diode showed larger deviation (0.61%-3.35% difference). The EBT3 film showed the largest difference with the representative data (0.66%-9.19%). After application of IAEA TRS 483 detector specific correction factors the output factors measured by the diodes showed good agreement with the EBT3 film for 6MV (&lt;1.8% difference) but showed a large deviation with the representative data (up to 9% difference). The 6FFF energy output factors agreed between the EDGE, the PTW 60012, and EBT3 Film. This work shows that the use of uncorrected representative data on the Truebeam can lead to a significant over estimation of the SRS cone output factors.</t>
  </si>
  <si>
    <t>[Irmen, Peyton; Solin, Lawrence] Univ Penn, Dept Radiat Oncol, Philadelphia, PA 19104 USA; [Reft, Chester] Univ Chicago, Dept Radiat &amp; Cellular Oncol, Chicago, IL 60637 USA; [Fitzherbert, Caitlyn; Solin, Lawrence; Hand, Christopher] Albert Einstein Med Ctr, Dept Radiat Oncol, Philadelphia, PA 19141 USA</t>
  </si>
  <si>
    <t>University of Pennsylvania; University of Chicago; Yeshiva University</t>
  </si>
  <si>
    <t>Hand, C (通訊作者)， Albert Einstein Med Ctr, Dept Radiat Oncol, Philadelphia, PA 19141 USA.</t>
  </si>
  <si>
    <t>HandChri@einstein.edu</t>
  </si>
  <si>
    <t>10.1088/1361-6560/ab47dd</t>
  </si>
  <si>
    <t>JK5BW</t>
  </si>
  <si>
    <t>WOS:000494859600001</t>
  </si>
  <si>
    <t>Burigo, LN; Greilich, S</t>
  </si>
  <si>
    <t>Burigo, Lucas N.; Greilich, Steffen</t>
  </si>
  <si>
    <t>Impact of new ICRU 90 key data on stopping-power ratios and beam quality correction factors for carbon ion beams</t>
  </si>
  <si>
    <t>ionization chamber dosimetry; reference dosimetry; beam calibration; stopping-power ratio</t>
  </si>
  <si>
    <t>DOSIMETRY; SIMULATION; PARTICLE</t>
  </si>
  <si>
    <t>The recent update of key dosimetric data by the International Commission on Radiation Units and Measurements (ICRU) makes several changes to the computation of beam quality correction factors k(Q) with regard to, for example, the mean excitation energies, I, which enter the stopping power computation for water and air, the computation procedure itself, the average energy expended in the production of an ion pair in air, W/e, as well as chamber-specific factors for cobalt-60. With the new recommendations an accurate assessment of the water-to-air stopping-power ratio, s(w,air), in reference conditions is necessary to update the dosimetry protocols for carbon ion beams. The ICRU 90 key data were considered for computation of s(w,air) for carbon ion beams using Monte Carlo transport simulations for a number of reference conditions, namely monoenergetic carbon ion beams with a range in water from 3 to 30 cm and spread-out Bragg peaks (SOBPs) of different widths and depths in water. New recommendations for s(w,air) are presented, namely 1.1247 for the reference condition of depth 1 g cm(-2) for monoenergetic carbon ion beams and 1.1273 at the center of physically optimized SOBPs. The recommendation of a constant value (1.126) represents the stopping-power ratio within a 0.3% variation of s(w,air) for all reference conditions considered. The impact of these new s(w,air )values and the updated key data on k(Q) for carbon ion beams was evaluated in a second step. Changes and the difference from experimental data were found to be non-significant, but larger discrepancies to measurements were observed for plane-parallel ionization chambers. The combined uncertainty for k in carbon ion beams decreased to 2.4%. In future, it could be further lowered by using chamber-specific Monte Carlo transport simulations, for which the implementation of ICRU 90 key data as done in this study is a prerequisite.</t>
  </si>
  <si>
    <t>[Burigo, Lucas N.; Greilich, Steffen] German Canc Res Ctr, Heidelberg, Germany; [Burigo, Lucas N.; Greilich, Steffen] HIRO, Natl Ctr Radiat Res Oncol NCRO, Heidelberg, Germany</t>
  </si>
  <si>
    <t>Burigo, LN (通訊作者)， German Canc Res Ctr, Heidelberg, Germany.;Burigo, LN (通訊作者)， HIRO, Natl Ctr Radiat Res Oncol NCRO, Heidelberg, Germany.</t>
  </si>
  <si>
    <t>l.burigo@dkfz-heidelberg.de</t>
  </si>
  <si>
    <t>Burigo, Lucas/H-5013-2013</t>
  </si>
  <si>
    <t>10.1088/1361-6560/ab376e</t>
  </si>
  <si>
    <t>WOS:000487555100005</t>
  </si>
  <si>
    <t>Horst, F; Adi, W; Aricò, G; Brinkmann, KT; Durante, M; Reidel, CA; Rovituso, M; Weber, U; Zaunick, HG; Zink, K; Schuy, C</t>
  </si>
  <si>
    <t>Horst, Felix; Adi, Wihan; Arico, Giulia; Brinkmann, Kai-Thomas; Durante, Marco; Reidel, Claire-Anne; Rovituso, Marta; Weber, Uli; Zaunick, Hans-Georg; Zink, Klemens; Schuy, Christoph</t>
  </si>
  <si>
    <t>Measurement of PET isotope production cross sections for protons and carbon ions on carbon and oxygen targets for applications in particle therapy range verification</t>
  </si>
  <si>
    <t>particle therapy PET; nuclear reaction; proton therapy; heavy ion therapy; PET isotope; positron emission tomography; activation</t>
  </si>
  <si>
    <t>IN-BEAM PET; HIGH-ENERGY; RADIATION; C-12; FRAGMENTATION; ACTIVATION; BERYLLIUM; INDUITES; O-16</t>
  </si>
  <si>
    <t>Measured cross sections for the production of the PET isotopes C-10, C-11 and O-15 from carbon and oxygen targets induced by protons (40-220 MeV) and carbon ions (65-430 MeV u(-1)) are presented. These data were obtained via activation measurements of irradiated graphite and beryllium oxide targets using a set of three scintillators coupled by a coincidence logic. The measured cross sections are relevant for the PET particle range verification method where accurate predictions of the beta(+) emitter distribution produced by therapeutic beams in the patient tissue are required. The presented dataset is useful for validation and optimization of the nuclear reaction models within Monte Carlo transport codes. For protons the agreement of a radiation transport calculation using the measured cross sections with a thick target PET measurement is demonstrated.</t>
  </si>
  <si>
    <t>[Horst, Felix; Adi, Wihan; Zink, Klemens] THM Univ Appl Sci Giessen, Inst Med Phys &amp; Radiat Protect IMPS, D-35390 Giessen, Germany; [Horst, Felix; Durante, Marco; Reidel, Claire-Anne; Weber, Uli; Schuy, Christoph] GSI Helmholtzzentrum Schwerionenforsch, D-64291 Darmstadt, Germany; [Adi, Wihan; Brinkmann, Kai-Thomas; Zaunick, Hans-Georg] Justus Liebig Univ, Phys Inst 2, D-35392 Giessen, Germany; [Arico, Giulia] European Org Nucl Res CERN, CH-1211 Geneva, Switzerland; [Durante, Marco] Tech Univ Darmstadt, D-64289 Darmstadt, Germany; [Reidel, Claire-Anne] Univ Strasbourg, CNRS, IPHC UMR 7871, F-67000 Strasbourg, France; [Rovituso, Marta] TIFPA, I-38123 Povo, Italy; [Rovituso, Marta] HollandPTC, NL-2629 Delft, Netherlands; [Zink, Klemens] Univ Med Ctr Giessen Marburg, Dept Radiotherapy &amp; Radiooncol, D-35043 Marburg, Germany; [Zink, Klemens] FIAS, D-60438 Frankfurt, Germany</t>
  </si>
  <si>
    <t>Helmholtz Association; GSI Helmholtz-Center for Heavy Ion Research; Justus Liebig University Giessen; European Organization for Nuclear Research (CERN); Technical University of Darmstadt; Universites de Strasbourg Etablissements Associes; Universite de Strasbourg; Centre National de la Recherche Scientifique (CNRS); University Hospital of Giessen &amp; Marburg</t>
  </si>
  <si>
    <t>Schuy, C (通訊作者)， GSI Helmholtzzentrum Schwerionenforsch, D-64291 Darmstadt, Germany.</t>
  </si>
  <si>
    <t>c.schuy@gsi.de</t>
  </si>
  <si>
    <t>; Horst, Felix/KDO-1318-2024; Zink, Klemens/M-3220-2013; Durante, Marco/L-4795-2017</t>
  </si>
  <si>
    <t>Schuy, Christoph/0000-0001-8407-9358; Horst, Felix/0000-0003-0707-0856; Zink, Klemens/0000-0001-5785-4101; Zaunick, Hans-Georg/0000-0002-6835-0109</t>
  </si>
  <si>
    <t>Hessisches Ministerium fur Wissenschaft und Kunst within the Forderprogramm MIT-Forschung; European Union [675265]; Marie Curie Actions (MSCA) [675265] Funding Source: Marie Curie Actions (MSCA)</t>
  </si>
  <si>
    <t>Hessisches Ministerium fur Wissenschaft und Kunst within the Forderprogramm MIT-Forschung; European Union(European Union (EU)); Marie Curie Actions (MSCA)(Marie Curie Actions)</t>
  </si>
  <si>
    <t>The experiments at MIT performed within this project were funded by Hessisches Ministerium fur Wissenschaft und Kunst within the Forderprogramm MIT-Forschung. Thanks to Yannick Senger for assistance and support before and during the MIT experiments. The experimental setup was tested in advance at the Trento proton therapy center which is kindly acknowledged for providing their beam and for the support. Another thanks to Dr Christian Baumer and Claus Maximilian Backer from Essen/Dortmund for fruitful discussions about the comparability of our efficiency calculation and measurement methods. GA wishes to thank the European Union's Horizon 2020 research and innovation programme under the Marie Sklodowska-Curie Grant agreement No. 675265 OMA-Optimisation of Medical Accelerators-for funding her research project.</t>
  </si>
  <si>
    <t>10.1088/1361-6560/ab4511</t>
  </si>
  <si>
    <t>WOS:000500247900012</t>
  </si>
  <si>
    <t>Makkia, R; Nelson, K; Zaidi, H; Dingfelder, M</t>
  </si>
  <si>
    <t>Makkia, Rasha; Nelson, Keith; Zaidi, Habib; Dingfelder, Michael</t>
  </si>
  <si>
    <t>Construction of realistic hybrid computational fetal phantoms from radiological images in three gestational ages for radiation dosimetry applications</t>
  </si>
  <si>
    <t>hybrid phantoms; fetus; segmentation; 3D modeling; NURBS; radiation dosimetry</t>
  </si>
  <si>
    <t>PREGNANT FEMALE; MODELS; FETUS; THERAPY</t>
  </si>
  <si>
    <t>Radiation exposure and associated radiation risks are major concerns for fetal development for pregnant patients who undergo radiation therapy or diagnostic imaging procedures. In order to accurately estimate the radiation dose to the fetus and assess the uncertainty of fetal position and rotation, three hybrid computational fetus phantoms were constructed using magnetic resonance imaging (MRI) for each fetus model as a starting point to construct a complete anatomically accurate fetus, gravid uterus, and placenta. A total of 27 fetal organs were outlined from radiological images via the Velocity Treatment Planning System. The DICOM-Structure set was imported to Rhinoceros software for further reconstruction of 3D fetus phantom model sets. All fetal organ masses were compared with ICRP-89 reference data. Our fetal model series corresponds to 20, 31, and 35 weeks of pregnancy, thus covering the second and third trimester. Fetal positions and locations were carefully adapted to represent the real fetus locations inside the uterus for each trimester of pregnancy. The new series of hybrid computational fetus models together with pregnant female models can be used in evaluating fetal radiation doses in diagnostic imaging and radiotherapy procedures.</t>
  </si>
  <si>
    <t>[Makkia, Rasha; Dingfelder, Michael] East Carolina Univ, Dept Phys, Greenville, NC 27858 USA; [Nelson, Keith] East Carolina Univ, Dept Obstet &amp; Gynecol, Greenville, NC 27858 USA; [Zaidi, Habib] Geneva Univ Hosp, Div Nucl Med &amp; Mol Imaging, CH-1211 Geneva, Switzerland; [Zaidi, Habib] Univ Geneva, Geneva Neurosci Ctr, Geneva, Switzerland; [Zaidi, Habib] Univ Groningen, Dept Nucl Med &amp; Mol Imaging, Univ Med Ctr Groningen, Groningen, Netherlands; [Zaidi, Habib] Univ Southern Denmark, Dept Nucl Med, DK-500 Odense, Denmark</t>
  </si>
  <si>
    <t>University of North Carolina; East Carolina University; University of North Carolina; East Carolina University; University of Geneva; University of Geneva; University of Groningen; University of Southern Denmark</t>
  </si>
  <si>
    <t>Makkia, R (通訊作者)， East Carolina Univ, Dept Phys, Greenville, NC 27858 USA.</t>
  </si>
  <si>
    <t>makkiar13@gmail.com; dingfelderm@ecu.edu</t>
  </si>
  <si>
    <t>Makkia, Rasha/AAX-3761-2020; Zaidi, Habib/I-4669-2017</t>
  </si>
  <si>
    <t>Zaidi, Habib/0000-0001-7559-5297; Dingfelder, Michael/0000-0002-3171-3498</t>
  </si>
  <si>
    <t>10.1088/1361-6560/ab44f8</t>
  </si>
  <si>
    <t>WOS:000500247900003</t>
  </si>
  <si>
    <t>Stockhoff, M; Van Holen, R; Vandenberghe, S</t>
  </si>
  <si>
    <t>Stockhoff, Mariele; Van Holen, Roel; Vandenberghe, Stefaan</t>
  </si>
  <si>
    <t>Optical simulation study on the spatial resolution of a thick monolithic PET detector</t>
  </si>
  <si>
    <t>scintillation detector; monolithic scintillator; Monte Carlo simulation; optical simulation; spatial resolution; PET detector</t>
  </si>
  <si>
    <t>CALIBRATION PROCEDURE; POSITION ESTIMATION; LIGHT COLLECTION; NEURAL-NETWORK; TOF-PET; SCINTILLATORS; PHOTONS; MODEL; CMICE</t>
  </si>
  <si>
    <t>The intrinsic spatial resolution of clinical positron emission tomography (PET) detectors is similar to 3-4 mm. A further improvement of the resolution using pixelated detectors will not only result in a prohibitive cost, but is also inevitably accompanied by a strong degradation of important performance parameters like timing, energy resolution and sensitivity. Therefore, it is likely that future generation high resolution PET detectors will be based on continuous monolithic scintillation detectors. Monolithic detectors have attractive properties to reach superior 3D spatial resolution while outperforming pixelated detectors in timing, energy resolution and sensitivity. In this work, optical simulations including an advanced surface reflection model, allow us to investigate the influence of three parameters on the spatial resolution: silicon photomultiplier (SiPM) pixel size, photon detection efficiency (PDE) and the number of channels used to read out the SiPM array. A lutetium-yttrium oxyorthosilicate (LYSO) crystal with dimensions 50 x 50 x 16 mm(3) coupled to an SiPM array is calibrated and a nearest neighbor (NN) algorithm is used to position events. Findings show that the tested parameters affect the spatial resolution resulting in 0.40-0.66 mm full width at half maximum (FWHM). Best resolution could be obtained with smaller SiPM pixels, higher PDE, and an individual channel readout. However, it was shown that combining channels by adding their signals can significantly reduce the amount of readout channels while having small or no significant impact on the resolution. The mean depth of interaction (DOI) estimation error is 1.6 mm. This study demonstrates the ultimate spatial resolution that can be obtained with this detector without being constrained by practical limitations of experimental setups. In the future these optical simulations may be used as a more precise and fast method to obtain calibration data for real monolithic detectors.</t>
  </si>
  <si>
    <t>[Stockhoff, Mariele; Van Holen, Roel; Vandenberghe, Stefaan] Univ Ghent, Med Image &amp; Signal Proc MEDISIP, Ghent, Belgium</t>
  </si>
  <si>
    <t>Ghent University</t>
  </si>
  <si>
    <t>Stockhoff, M (通訊作者)， Univ Ghent, Med Image &amp; Signal Proc MEDISIP, Ghent, Belgium.</t>
  </si>
  <si>
    <t>mariele.stockhoff@ugent.be</t>
  </si>
  <si>
    <t>Van Holen, Roel/O-7147-2014</t>
  </si>
  <si>
    <t>FWO, Sphynx, ERA-Net PHOTONICS</t>
  </si>
  <si>
    <t>This work was supported by FWO, Sphynx, ERA-Net PHOTONICS.</t>
  </si>
  <si>
    <t>10.1088/1361-6560/ab3b83</t>
  </si>
  <si>
    <t>WOS:000487555100003</t>
  </si>
  <si>
    <t>Matsumoto, Y; Kabuki, S; Sugawara, A; Kitahara, T; Akiba, T; Fujita, Y; Kawamata, I; Yamada, K; Amino, K; Sasaki, Y; Nishida, M; Murakami, K; Sugahara, K; Saito, N; Kunieda, E</t>
  </si>
  <si>
    <t>Matsumoto, Y.; Kabuki, S.; Sugawara, A.; Kitahara, T.; Akiba, T.; Fujita, Y.; Kawamata, I; Yamada, K.; Amino, K.; Sasaki, Y.; Nishida, M.; Murakami, K.; Sugahara, K.; Saito, N.; Kunieda, E.</t>
  </si>
  <si>
    <t>Basic evaluation of a novel 4D target and human body phantom</t>
  </si>
  <si>
    <t>4D phantom; verification; stereotactic body radiation therapy (SART); accuracy; reproducibility</t>
  </si>
  <si>
    <t>LUNG-TUMOR MOTION; QUALITY-ASSURANCE; RADIOTHERAPY; VERIFICATION; DELIVERY; SYSTEM; CANCER</t>
  </si>
  <si>
    <t>Stereotactic body radiation therapy (SBRT) is usually verified with a dynamic phantom or solid phantom, but there is a demand for phantoms that can accurately simulate tumor dynamics within an individual that would allow customized validation in every patient. We developed a new 4D dynamic target phantom (multi-cell 4D phantom) that allows simulation of tumor movement in patients. The basic quality and dynamic reproducibility of this new phantom was verified in this investigation. The newly developed multi-cell 4D phantom comprises four main components: soft tissue, bones, lungs, and tumor (target). The phantom structure was based on computed tomography (CT) data of a male. In this study, we investigated the basic performance of a multi-cell 4D phantom. All the CT numbers of the phantom were very close to those of human data. The geometric maximum amplitudes were 4.57 mm in the lateral direction, 4.59 mm in the ventrodorsal direction, and 3.68 mm in the cranio-caudal direction. Geometric errors were 0.84, 0.58, and 0.40 mm, respectively. Movements of the abdominal surface were stable for 60 s. Repeated measurements show no actual differences in target movements between multiple measurements and indicated high reproducibility (r &gt; 0.97). End-to-end tests using Gafchromic film revealed a gamma pass rate of 98% or above (2 mm/3%). Although our phantom performed limited reproducibility in the movement of the patient tumor at present, a satisfactory level of precision was confirmed in general. This is a very promising device for use in the verification of radiation therapy for moving targets.</t>
  </si>
  <si>
    <t>[Matsumoto, Y.; Sugawara, A.; Kitahara, T.] Tokai Univ, Hachioji Hosp, Dept Radiat Oncol, Hachioji, Tokyo 1920032, Japan; [Kabuki, S.; Akiba, T.; Kunieda, E.] Tokai Univ, Sch Med, Dept Radiat Oncol, Isehara, Kanagawa 2591193, Japan; [Fujita, Y.] Komazawa Univ, Dept Radiat Sci, Setagaya Ku, Tokyo 2591193, Japan; [Kawamata, I; Yamada, K.] Tokai Univ, Grad Sch Med, Isehara, Kanagawa 2591193, Japan; [Amino, K.; Sasaki, Y.; Nishida, M.; Murakami, K.] Tokai Univ, Hachioji Hosp, Clin Technol Div, Radiol Technol Dept, Hachioji, Tokyo 1920032, Japan; [Sugahara, K.] Accuthera Inc, R&amp;D Div, Kawasaki, Kanagawa 2150033, Japan; [Saito, N.] ARRK Corp, Prod Technol Grp, Fujiyoshida, Yamanashi 4030018, Japan</t>
  </si>
  <si>
    <t>Tokai University; Tokai University; Komazawa University; Tokai University; Tokai University</t>
  </si>
  <si>
    <t>Matsumoto, Y (通訊作者)， Tokai Univ, Hachioji Hosp, Dept Radiat Oncol, Hachioji, Tokyo 1920032, Japan.</t>
  </si>
  <si>
    <t>yoshitsugu@tokai.ac.jp</t>
  </si>
  <si>
    <t>Kitahara, Tetsuro/GLT-8937-2022</t>
  </si>
  <si>
    <t>Tokai University</t>
  </si>
  <si>
    <t>This work was supported by Tokai University General Research Organization Grant.</t>
  </si>
  <si>
    <t>10.1088/1361-6560/ab259c</t>
  </si>
  <si>
    <t>WOS:000475378800002</t>
  </si>
  <si>
    <t>Lee, D; Kim, H; Choi, B; Kim, HJ</t>
  </si>
  <si>
    <t>Lee, Donghoon; Kim, Hwiyoung; Choi, Byungwook; Kim, Hee-Joung</t>
  </si>
  <si>
    <t>Development of a deep neural network for generating synthetic dual-energy chest x-ray images with single x-ray exposure</t>
  </si>
  <si>
    <t>dual-energy chest radiography; deep learning; U-net; anticorrelated relationship</t>
  </si>
  <si>
    <t>CONVOLUTIONAL FRAMELETS; NOISE; NODULES; CT; SEGMENTATION; RADIOGRAPHS; SUBTRACTION</t>
  </si>
  <si>
    <t>Dual-energy chest radiography (DECR) is a medical imaging technology that can improve diagnostic accuracy. This technique can decompose single-energy chest radiography (SECR) images into separate bone- and soft tissue-only images. This can, however, double the radiation exposure to the patient. To address this limitation, we developed an algorithm for the synthesis of DECR from a SECR through deep learning. To predict high resolution images, we developed a novel deep learning architecture by modifying a conventional U-net to take advantage of the high frequency-dominant information that propagates from the encoding part to the decoding part. In addition, we used the anticorrelated relationship (ACR) of DECR for improving the quality of the predicted images. For training data, 300 pairs of SECR and their corresponding DECR images were used. To test the trained model, 50 DECR images from Yonsei University Severance Hospital and 662 publicly accessible SECRs were used. To evaluate the performance of the proposed method, we compared DECR and predicted images using a structural similarity approach (SSIM). In addition, we quantitatively evaluated image quality calculating the modulation transfer function and coefficient of variation. The proposed model selectively predicted the bone-and soft tissue-only CR images from an SECR image. The strategy for improving the spatial resolution by ACR was effective. Quantitative evaluation showed that the proposed method with ACR showed relatively high SSIM (over 0.85). In addition, predicted images with the proposed ACR model achieved better image quality measures than those of U-net. In conclusion, the proposed method can obtain high-quality bone-and soft tissue-only CR images without the need for additional hardware for double x-ray exposures in clinical practice.</t>
  </si>
  <si>
    <t>[Lee, Donghoon; Kim, Hee-Joung] Yonsei Univ, Res Inst Hlth Sci, Dept Radiat Convergence Engn, 1 Yonseidae Gil, Wonju, Gangwon, South Korea; [Kim, Hwiyoung; Choi, Byungwook] Yonsei Univ, Coll Med, Res Inst Radiol Sci, Dept Radiol, 50-1 Yonsei Ro, Seoul, South Korea; [Kim, Hwiyoung; Choi, Byungwook] Yonsei Univ, Coll Med, Ctr Clin Imaging Data Sci, 50-1 Yonsei Ro, Seoul, South Korea</t>
  </si>
  <si>
    <t>Yonsei University; Yonsei University; Yonsei University Health System; Yonsei University; Yonsei University Health System</t>
  </si>
  <si>
    <t>Kim, HJ (通訊作者)， Yonsei Univ, Res Inst Hlth Sci, Dept Radiat Convergence Engn, 1 Yonseidae Gil, Wonju, Gangwon, South Korea.;Choi, B (通訊作者)， Yonsei Univ, Coll Med, Res Inst Radiol Sci, Dept Radiol, 50-1 Yonsei Ro, Seoul, South Korea.;Choi, B (通訊作者)， Yonsei Univ, Coll Med, Ctr Clin Imaging Data Sci, 50-1 Yonsei Ro, Seoul, South Korea.</t>
  </si>
  <si>
    <t>bchoi@yonsei.ac.kr; hjk1@yonsei.ac.kr</t>
  </si>
  <si>
    <t>Choi, Byoung Wook/0000-0002-8873-5444</t>
  </si>
  <si>
    <t>Radiation Technology R&amp;D program through the National Research Foundation of Korea; Ministry of Food and Drug Safety [18173MFDS331]; Ministry of Science, ICT &amp; Future Planning [NRF-2017M2A2A6A01070263]</t>
  </si>
  <si>
    <t>Radiation Technology R&amp;D program through the National Research Foundation of Korea(National Research Foundation of Korea); Ministry of Food and Drug Safety(Ministry of Food &amp; Drug Safety (MFDS), Republic of Korea); Ministry of Science, ICT &amp; Future Planning(Ministry of Science, ICT &amp; Future Planning, Republic of Korea)</t>
  </si>
  <si>
    <t>This work was supported by the Radiation Technology R&amp;D program through the National Research Foundation of Korea, which is funded by the Ministry of Science, ICT &amp; Future Planning (No. NRF-2017M2A2A6A01070263) and This research was supported by a grant (18173MFDS331) from Ministry of Food and Drug Safety in 2018.</t>
  </si>
  <si>
    <t>10.1088/1361-6560/ab1cee</t>
  </si>
  <si>
    <t>WOS:000470205600001</t>
  </si>
  <si>
    <t>Chee, G; O'Connell, D; Yang, YM; Singhrao, K; Low, DA; Lewis, JH</t>
  </si>
  <si>
    <t>Chee, G.; O'Connell, D.; Yang, Y. M.; Singhrao, K.; Low, D. A.; Lewis, J. H.</t>
  </si>
  <si>
    <t>McSART: an iterative model-based, motion-compensated SART algorithm for CBCT reconstruction</t>
  </si>
  <si>
    <t>CBCT; motion; lung; model; reconstruction; image; radiation</t>
  </si>
  <si>
    <t>CONE-BEAM CT; IMAGE-RECONSTRUCTION; COMPUTED-TOMOGRAPHY; RESPIRATORY MOTION; TUMOR MOTION; LUNG; PROJECTION</t>
  </si>
  <si>
    <t>4D cone beam computed tomography (CBCT) images of the thorax and abdomen can have reduced quality due to the limited number of projections per respiratory bin used in gated image reconstruction. In this work, we present a new algorithm to reconstruct high quality CBCT images by simultaneously reconstructing images and generating an associated respiratory motion model. This is done by updating model parameters to compensate for motion during the iterative image reconstruction process. CBCT image acquisition was simulated using the digital eXternal CArdiac Torso (XCAT) phantom, simulating breathing motion using four patient breathing traces. 4DCBCT images were reconstructed using the simultaneous algebraic reconstruction technique (SART), and compared to the proposed motion-compensated SART (McSART) algorithm. McSART used a motion model that describes tissue position as a function of diaphragm amplitude and velocity. The McSART algorithm alternately updated the motion model and image reconstruction, increasing the number of projections used for image reconstruction with every iteration. The model was able to interpolate and extrapolate deformations according to the magnitude of the surrogate signal. Without noise, the final iteration McSART images had HU errors at 31%, 34%, and 44% of their SART-reconstructed counterparts compared to ground truth XCAT images, with corresponding root-mean-square (RMS) motion model errors of 0.75 mm, 1.08 mm, and 1.17 mm respectively. With added image noise, McSART's HU error was 31% of the SART-reconstructed 4DCBCT error, with a 1.43 mm RMS motion model error. Qualitatively, blurring and streaking artifacts were reduced in all the reconstructed images compared to 3D or SART-reconstructed 4DCBCT. The output of the algorithm was a high quality reference image and a corresponding motion model, that could be used to deform the reference image to any other point in a breathing cycle.</t>
  </si>
  <si>
    <t>[Chee, G.; O'Connell, D.; Yang, Y. M.; Singhrao, K.; Low, D. A.; Lewis, J. H.] Univ Calif Los Angeles, David Geffen Sch Med, Dept Radiat Oncol, Los Angeles, CA 90095 USA</t>
  </si>
  <si>
    <t>University of California System; University of California Los Angeles; University of California Los Angeles Medical Center; David Geffen School of Medicine at UCLA</t>
  </si>
  <si>
    <t>Lewis, JH (通訊作者)， Univ Calif Los Angeles, David Geffen Sch Med, Dept Radiat Oncol, Los Angeles, CA 90095 USA.</t>
  </si>
  <si>
    <t>jhlewis@mednet.ucla.edu</t>
  </si>
  <si>
    <t>Singhrao, Kamal/ABF-1658-2020; Yang, Youming/X-1153-2018</t>
  </si>
  <si>
    <t>Yang, Youming/0000-0003-2902-3989</t>
  </si>
  <si>
    <t>Varian Medical Systems</t>
  </si>
  <si>
    <t>This research was partially supported by Varian Medical Systems.</t>
  </si>
  <si>
    <t>10.1088/1361-6560/ab07d6</t>
  </si>
  <si>
    <t>WOS:000466266500004</t>
  </si>
  <si>
    <t>Stierstorfer, K; Hupfer, M; Köster, N</t>
  </si>
  <si>
    <t>Stierstorfer, Karl; Hupfer, Martin; Koester, Niko</t>
  </si>
  <si>
    <t>Modeling the DQE(f) of photon-counting detectors: impact of the pixel sensitivity profile</t>
  </si>
  <si>
    <t>photon counting detector; detective quantum efficiency; cascaded system; probability generating function; energy threshold; Monte Carlo simulation</t>
  </si>
  <si>
    <t>QUANTUM EFFICIENCY; SYSTEMS</t>
  </si>
  <si>
    <t>Purpose. To find comprehensive equations for the frequency-dependent MTF and DQE of photon counting detectors including the effect that the combination of crosstalk with an energy threshold is changing the pixel sensitivity profile and to compare the results with measurements. Methods: The framework of probability-generating functions (PGF) is used to find a simple method to derive the MTF and the DQE directly from a Monte-Carlo model of the detection process. Results. In combination with realistic model parameters for the detector, the method is used to predict the MTF and the DQE for different pixel sizes and thresholds. Particularly for small pixels, the modification of the sensitivity profile due to crosstalk substantially affects the frequency dependence of both quantities. Conclusion. The phenomenon of the pixel sensitivity profile, i.e. the fact that the choice of the threshold is affecting the detector sharpness, may play a substantial role in exploiting the full potential of photon counting detectors. The model compares well with measurements: with only two model parameters, the model can predict the MTF(f) and the DQE(f) for a wide range of thresholds.</t>
  </si>
  <si>
    <t>[Stierstorfer, Karl; Hupfer, Martin; Koester, Niko] Siemens Healthcare, Siemensstr 3, D-91301 Forchheim, Germany</t>
  </si>
  <si>
    <t>Siemens AG; Siemens Germany</t>
  </si>
  <si>
    <t>Stierstorfer, K (通訊作者)， Siemens Healthcare, Siemensstr 3, D-91301 Forchheim, Germany.</t>
  </si>
  <si>
    <t>karl.stierstorfer@siemens-healthineers.com</t>
  </si>
  <si>
    <t>Stierstorfer, Karl/0000-0002-4304-9731</t>
  </si>
  <si>
    <t>10.1088/1361-6560/ab1766</t>
  </si>
  <si>
    <t>WOS:000467702500003</t>
  </si>
  <si>
    <t>Cai, WX; Oesten, H; Clasie, B; Winey, B; Jee, KW</t>
  </si>
  <si>
    <t>Cai, Weixing; Oesten, Hakan; Clasie, Benjamin; Winey, Brian; Jee, Kyung-Wook</t>
  </si>
  <si>
    <t>Semi-automated IGRT QA using a cone-shaped scintillator screen detector for proton pencil beam scanning treatments</t>
  </si>
  <si>
    <t>proton therapy; pencil beam scanning; quality assurance; image-guided radiation therapy</t>
  </si>
  <si>
    <t>THERAPY; SYSTEM; ACCELERATOR</t>
  </si>
  <si>
    <t>To promote accurate image-guided radiotherapy (IGRT) for a proton pencil beam scanning (PBS) system, a new quality assurance (QA) procedure employing a cone-shaped scintillator detector has been developed for multiple QA tasks in a semi-automatic manner. The cone-shaped scintillator detector (XRV-124, Logos Systems, CA) is sensitive to both x-ray and proton beams. It records scintillation on the cone surface as a 2D image, from which the geometry of the radiation field that enters and exits the cone can be extracted. Utilizing this feature, QA parameters that are essential to PBS IGRT treatment were measured and analyzed. The first applications provided coincidence checks of laser, imaging and radiation isocenters, and dependencies on gantry angle and beam energies. The analysis of the Winston-Lutz test was made available by combining the centricity measurements of the x-ray beam and the pencil beam. The accuracy of the gantry angle was validated against console readings provided by the digital encoder and an agreement of less than 0.2 was found. The accuracy of the position measurement was assessed with a robotic patient positioning system (PPS) and an agreement of less than 0.5 mm was obtained. The centricity of the two onboard x-ray imaging systems agreed well with that from the routinely used Digital Imaging Positioning System (DIPS), up to a consistent small shift of (-0.5 mm, 0.0 mm, -0.3 mm). The pencil beam spot size, in terms of a of Gaussian fitting, agreed within 0.2 mm for most energies when compared to the conventional measurements by a 2D ion-chamber array (MatriXX-PT, IBA Dosimetry, Belgium). The cone-shaped scintillator system showed advantages in making multi-purpose measurements with a single setup. The in-house algorithms were successfully implemented to measure and analyze key QA parameters in a semi-automatic manner. This study presents an alternative and more efficient approach for IGRT QA for PBS and potentially for linear accelerators.</t>
  </si>
  <si>
    <t>[Cai, Weixing] Mem Sloan Kettering Canc Ctr, Dept Med Phys, 500 Westchester Ave, White Plains, NY 10604 USA; [Cai, Weixing; Oesten, Hakan; Clasie, Benjamin; Winey, Brian; Jee, Kyung-Wook] Massachusetts Gen Hosp, Dept Radiat Oncol, 55 Fruit St, Boston, MA 02114 USA; [Cai, Weixing; Oesten, Hakan; Clasie, Benjamin; Winey, Brian; Jee, Kyung-Wook] Harvard Med Sch, 55 Fruit St, Boston, MA 02114 USA; [Cai, Weixing] Brigham &amp; Womens Hosp, Dept Radiat Oncol, 75 Francis St, Boston, MA 02115 USA; [Cai, Weixing] Harvard Med Sch, 75 Francis St, Boston, MA 02115 USA; [Oesten, Hakan] HZDR, Inst Radiooncol OncoRay, Dresden, Germany; [Oesten, Hakan] Tech Univ Dresden, Helmholtz Zentrum Dresden Rossendorf, Fac Med, Dresden, Germany; [Oesten, Hakan] Tech Univ Dresden, Helmholtz Zentrum Dresden Rossendorf, Univ Hosp Carl Gustav Carus, OncoRay Natl Ctr Radiat Res Oncol, Dresden, Germany</t>
  </si>
  <si>
    <t>Memorial Sloan Kettering Cancer Center; Harvard University; Harvard University Medical Affiliates; Massachusetts General Hospital; Harvard University; Harvard Medical School; Harvard University; Harvard University Medical Affiliates; Brigham &amp; Women's Hospital; Harvard University; Harvard Medical School; Helmholtz Association; Helmholtz-Zentrum Dresden-Rossendorf (HZDR); Helmholtz Association; Helmholtz-Zentrum Dresden-Rossendorf (HZDR); Technische Universitat Dresden; Helmholtz Association; Helmholtz-Zentrum Dresden-Rossendorf (HZDR); Technische Universitat Dresden; Carl Gustav Carus University Hospital</t>
  </si>
  <si>
    <t>Jee, KW (通訊作者)， Massachusetts Gen Hosp, Dept Radiat Oncol, 55 Fruit St, Boston, MA 02114 USA.;Jee, KW (通訊作者)， Harvard Med Sch, 55 Fruit St, Boston, MA 02114 USA.</t>
  </si>
  <si>
    <t>kyungwook.jee@mgh.harvard.edu</t>
  </si>
  <si>
    <t>; Winey, Brian/JEO-9252-2023</t>
  </si>
  <si>
    <t>Winey, Brian/0000-0002-3894-3755;</t>
  </si>
  <si>
    <t>Harvard Medical Physics Residency Program at Harvard Medical School</t>
  </si>
  <si>
    <t>We acknowledge the support of the Harvard Medical Physics Residency Program at Harvard Medical School for generous support to Weixing Cai.</t>
  </si>
  <si>
    <t>10.1088/1361-6560/ab056d</t>
  </si>
  <si>
    <t>WOS:000518923400004</t>
  </si>
  <si>
    <t>Nguyen, D; Jia, X; Sher, D; Lin, MH; Iqbal, Z; Liu, H; Jiang, S</t>
  </si>
  <si>
    <t>Dan Nguyen; Jia, Xun; Sher, David; Lin, Mu-Han; Iqbal, Zohaib; Liu, Hui; Jiang, Steve</t>
  </si>
  <si>
    <t>3D radiotherapy dose prediction on head and neck cancer patients with a hierarchically densely connected U-net deep learning architecture</t>
  </si>
  <si>
    <t>radiation therapy; deep learning; artificial intelligence; dose prediction; head and neck cancer; U-net; DenseNet</t>
  </si>
  <si>
    <t>INTENSITY-MODULATED RADIOTHERAPY; KNOWLEDGE-BASED PREDICTION; SQUAMOUS-CELL CARCINOMAS; RADIATION-THERAPY IMRT; CONFORMAL RADIOTHERAPY; ARC THERAPY; TREATMENT TIME; LOCAL-CONTROL; PLAN QUALITY; AT-RISK</t>
  </si>
  <si>
    <t>The treatment planning process for patients with head and neck (H&amp;N) cancer is regarded as one of the most complicated due to large target volume, multiple prescription dose levels, and many radiation-sensitive critical structures near the target. Treatment planning for this site requires a high level of human expertise and a tremendous amount of effort to produce personalized high quality plans, taking as long as a week, which deteriorates the chances of tumor control and patient survival. To solve this problem, we propose to investigate a deep learning-based dose prediction model, Hierarchically Densely Connected U-net, based on two highly popular network architectures: U-net and DenseNet. We find that this new architecture is able to accurately and efficiently predict the dose distribution, outperforming the other two models, the Standard U-net and DenseNet, in homogeneity, dose conformity, and dose coverage on the test data. Averaging across all organs at risk, our proposed model is capable of predicting the organ-at-risk max dose within 6.3% and mean dose within 5.1% of the prescription dose on the test data. The other models, the Standard U-net and DenseNet, performed worse, having an averaged organ-at-risk max dose prediction error of 8.2% and 9.3%, respectively, and averaged mean dose prediction error of 6.4% and 6.8%, respectively. In addition, our proposed model used 12 times less trainable parameters than the Standard U-net, and predicted the patient dose 4 times faster than DenseNet.</t>
  </si>
  <si>
    <t>[Dan Nguyen; Jia, Xun; Sher, David; Lin, Mu-Han; Iqbal, Zohaib; Liu, Hui; Jiang, Steve] Univ Texas Southwestern Med Ctr Dallas, Dept Radiat Oncol, Med Artificial Intelligence &amp; Automat Lab, Dallas, TX 75390 USA</t>
  </si>
  <si>
    <t>Nguyen, D (通訊作者)， Univ Texas Southwestern Med Ctr Dallas, Dept Radiat Oncol, Med Artificial Intelligence &amp; Automat Lab, Dallas, TX 75390 USA.</t>
  </si>
  <si>
    <t>Dan.Nguyen@UTSouthwestern.edu</t>
  </si>
  <si>
    <t>; Jiang, Steve/GRO-3951-2022</t>
  </si>
  <si>
    <t>Nguyen, Dan/0000-0002-9590-0655; Iqbal, Zohaib/0000-0002-5024-7509</t>
  </si>
  <si>
    <t>Cancer Prevention and Research Institute of Texas (CPRIT) [IIRA RP150485, MIRA RP160661]</t>
  </si>
  <si>
    <t>We would like to thank the support from Cancer Prevention and Research Institute of Texas (CPRIT) (IIRA RP150485, MIRA RP160661).</t>
  </si>
  <si>
    <t>10.1088/1361-6560/ab039b</t>
  </si>
  <si>
    <t>WOS:000461636100001</t>
  </si>
  <si>
    <t>Parajuli, RK; Sakai, M; Kada, W; Torikai, K; Kikuchi, M; Arakawa, K; Torikoshi, M; Nakano, T</t>
  </si>
  <si>
    <t>Parajuli, Raj Kumar; Sakai, Makoto; Kada, Wataru; Torikai, Kota; Kikuchi, Mikiko; Arakawa, Kazuo; Torikoshi, Masami; Nakano, Takashi</t>
  </si>
  <si>
    <t>Annihilation gamma imaging for carbon ion beam range monitoring using Si/CdTe Compton camera</t>
  </si>
  <si>
    <t>carbon ion radiotherapy; annihilation gamma imaging; compton camera; Beam monitoring</t>
  </si>
  <si>
    <t>TUMOR-THERAPY; BRAGG PEAK; PROTON; VERIFICATION; RESOLUTION; EMISSION; PARTICLE</t>
  </si>
  <si>
    <t>In this study, we performed on-beam monitoring of 511 keV annihilation gamma emissions using a Compton camera. Beam monitoring experiments were conducted using carbon ion beams of 290 MeV/u irradiated on a polymethyl methacrylate (PMMA) phantom. The intensity of the beams was 3 x 10(9) particles per pulse, with 20 pulses per minute. A Compton camera based on a silicon/cadmium telluride (Si/CdTe) detector was used to monitor the annihilation gamma rays emitted from the phantom. We successfully reconstructed the energy events of 511 keV annihilation gamma rays and developed Compton images using a simple back-projection method. The distribution of the annihilation gamma ray generation traced the beam trajectory and the peak intensity position was a few millimeters shorter than the Bragg peak position. Moreover, the effect of the beam range shifter with 30, 60, and 90 mm water equivalent thickness (WET) was clearly visualized in the reconstructed Compton images. The experimentally measured values of the corresponding range shifts in the PMMA phantom (28.70 mm, 52.49 mm, and 76.77 mm, respectively) were consistent with the shifts of the Bragg peak position (25.50 mm, 51.30 mm and 76.70 mm, respectively) evaluated by Monte Carlo simulation. The results show that the Si/CdTe Compton camera has strong potential for on-beam monitoring of annihilation gamma rays in particle therapy in clinical situations.</t>
  </si>
  <si>
    <t>[Parajuli, Raj Kumar; Sakai, Makoto; Torikai, Kota; Kikuchi, Mikiko; Arakawa, Kazuo; Torikoshi, Masami; Nakano, Takashi] Gunma Univ, Heavy Ion Med Ctr, 3-39-22 Showa Machi, Maebashi, Gunma, Japan; [Kada, Wataru] Gunma Univ, Grad Sch Sci &amp; Technol, 1-5-1 Tenjin Cho, Kiryu, Gunma, Japan</t>
  </si>
  <si>
    <t>Gunma University; Gunma University</t>
  </si>
  <si>
    <t>Sakai, M (通訊作者)， Gunma Univ, Heavy Ion Med Ctr, 3-39-22 Showa Machi, Maebashi, Gunma, Japan.</t>
  </si>
  <si>
    <t>sakai-m@gunma-u.ac.jp</t>
  </si>
  <si>
    <t>, Takahiko/H-6660-2019; Sakai, Makoto/AAW-1902-2020; Kada, Wataru/I-6898-2013</t>
  </si>
  <si>
    <t>Parajuli, Raj Kumar/0000-0001-7776-6336; SAKAI, Makoto/0000-0001-9928-2375; Kada, Wataru/0000-0003-4863-3037</t>
  </si>
  <si>
    <t>Gunma University Initiative for Advanced Research (GIAR)</t>
  </si>
  <si>
    <t>We would like to thank S Takeda, T Takahashi, M Yamaguchi, N Nagao, and N Kawachi for their valuable suggestions and support. We also would like to thank the development members of PHITS, especially Mr Shintaro Hashimoto for his kind support for our queries regarding the PHITS simulation software. We would also like to thank Accelerator Engineering Corporation Japan (AEC) for their technical support in the beam experiments. This work was partly funded by the Gunma University Initiative for Advanced Research (GIAR).</t>
  </si>
  <si>
    <t>10.1088/1361-6560/ab00b2</t>
  </si>
  <si>
    <t>WOS:000459325000003</t>
  </si>
  <si>
    <t>Solamen, LM; Gordon-Wylie, SW; McGarry, MD; Weaver, JB; Paulsen, KD</t>
  </si>
  <si>
    <t>Solamen, Ligin M.; Gordon-Wylie, Scott W.; McGarry, Matthew D.; Weaver, John B.; Paulsen, Keith D.</t>
  </si>
  <si>
    <t>Phantom evaluations of low frequency MR elastography</t>
  </si>
  <si>
    <t>elastography; NLI-MRE; intrinsic activation; poroelastic; viscoelastic; 1 Hz; low frequency</t>
  </si>
  <si>
    <t>MAGNETIC-RESONANCE ELASTOGRAPHY; POISSONS RATIO; ELASTIC WAVES; RECONSTRUCTION; 3D; PROPAGATION</t>
  </si>
  <si>
    <t>Intrinsic activation MR elastography (IA-MRE) is a novel technique which seeks to estimate brain mechanical properties non-invasively and without external mechanical drivers. The method eliminates actuation hardware and patient discomfort while capitalizing on the brain's intrinsic low frequency motion. This study explores low frequency actuation (1 Hz) MR elastography in phantoms and analyzes performance of non-linear inversion (NLI) of viscoelastic and poroelastic mechanical models as a framework for assessing clinical results from IA-MRE. We present results from four gelatin phantoms and report stiffness resolution of 6 mm (two measurement voxels) with a stiffness contrast ratio of 4.21 relative to the background and 9 mm (three measurement voxels) with a lower stiffness contrast ratio of near 1.77. Stiffness edge resolution was also evaluated using edge spread and line spread functions and yielded a stiffness edge response distance of 9 mm. The intraclass correlation coefficient was high (0.93) between mechanical testing and poroelastic estimates, although quantitative agreement was affected by model-data mismatch. Viscoelastic MRE at low frequencies has issues with non-uniqueness due to small inertial forces, and performed worse than poroelastic MRE in terms of inclusion detection and consistency with mechanical testing. These results present the first evaluation of MR elastography using displacement measurements from an actuation frequency less than 5 Hz and support the validity of brain IA-MRE to recover spatially resolved stiffness changes. They provide a baseline of performance in terms of standard metrics for future animal and human brain stiffness studies and analyses based on intrinsic motion.</t>
  </si>
  <si>
    <t>[Solamen, Ligin M.; Gordon-Wylie, Scott W.; McGarry, Matthew D.; Weaver, John B.; Paulsen, Keith D.] Dartmouth Coll, Thayer Sch Engn, Hanover, NH 03755 USA; [Weaver, John B.] Dartmouth Hitchcock Med Ctr, Dept Radiol, Lebanon, NH 03756 USA; [Paulsen, Keith D.] Dartmouth Hitchcock Med Ctr, Norris Cotton Canc Ctr, Lebanon, NH 03756 USA</t>
  </si>
  <si>
    <t>Solamen, LM (通訊作者)， Dartmouth Coll, Thayer Sch Engn, Hanover, NH 03755 USA.</t>
  </si>
  <si>
    <t>ligin.m.solamen.th@dartmouth.edu</t>
  </si>
  <si>
    <t>NIH [R01-EB018230-01]</t>
  </si>
  <si>
    <t>We gratefully acknowledge support from the NIH Grant No. R01-EB018230-01. We would also like to thank Guillaume Gilbert (Philips Healthcare) for his valuable input.</t>
  </si>
  <si>
    <t>10.1088/1361-6560/ab0290</t>
  </si>
  <si>
    <t>HO6SE</t>
  </si>
  <si>
    <t>WOS:000461060600004</t>
  </si>
  <si>
    <t>Stothers, LA; Hou, X; Vuckovic, M; Buckley, K; Bénard, F; Schaffer, P; Celler, A</t>
  </si>
  <si>
    <t>Stothers, L. A.; Hou, X.; Vuckovic, M.; Buckley, K.; Benard, F.; Schaffer, P.; Celler, A.</t>
  </si>
  <si>
    <t>Analysis of radioactive waste generated during the cyclotron production of 99mTc</t>
  </si>
  <si>
    <t>cyclotron-produced Tc-99m; gamma spectroscopy; radioactive waste</t>
  </si>
  <si>
    <t>PROTON-INDUCED REACTIONS</t>
  </si>
  <si>
    <t>Past and prospective shortages of medical radioisotopes have driven recent developments in the direct production of Tc-99m via the Mo-100(p,2n) Tc-99m reaction. The cyclotron-based production method has been shown to successfully produce Tc-99m, however trace impurities present in the enriched molybdenum target can also lead to the unintended creation of other radioisotopes which constitute waste. The isotopic composition of the waste has to be investigated in order to determine how it can be handled, transported and safely stored. In this article, we report which waste radioisotopes are created alongside Tc-99m during target irradiation. Results are based on the gamma spectroscopy of waste produced. Significant complexities in the emission spectra made automated identification of radioisotopes inaccurate; complexities were resolved using a manual radioisotope identification procedure. The impact of target composition, integrated beam current and duration of target irradiation on the waste produced was studied. Results indicate that an average of 0.059 +/- 0.003 GBq of waste is generated per 1 GBq of Tc-99m produced. Two-thirds of the total waste activity produced was attributed to Mo-99 (T-1/2 = 66 h) alone, while a total of fifty radioisotopes were found in the waste. Long-lived isotopes (T-1/2 &gt; 2 months) constituted only 1% of the total waste activity at end of beam (EOB). In conclusion, it was determined that the waste generated during cyclotron-based Tc-99m production was acceptably low for routine clinical production.</t>
  </si>
  <si>
    <t>[Stothers, L. A.; Hou, X.; Benard, F.; Schaffer, P.; Celler, A.] Univ British Columbia, Vancouver, BC, Canada; [Vuckovic, M.; Benard, F.] BC Canc Agcy, Vancouver, BC, Canada; [Buckley, K.; Schaffer, P.] TRIUMF, Vancouver, BC, Canada</t>
  </si>
  <si>
    <t>University of British Columbia; British Columbia Cancer Agency; University of British Columbia</t>
  </si>
  <si>
    <t>Stothers, LA (通訊作者)， Univ British Columbia, Vancouver, BC, Canada.</t>
  </si>
  <si>
    <t>lstothers@physics.ubc.ca</t>
  </si>
  <si>
    <t>Benard, Francois/M-7720-2015; Schaffer, Paul/AAW-7654-2021</t>
  </si>
  <si>
    <t>Benard, Francois/0000-0001-7995-3581;</t>
  </si>
  <si>
    <t>Natural Sciences and Engineering Research Council of Canada: Discovery Grants Program</t>
  </si>
  <si>
    <t>Natural Sciences and Engineering Research Council of Canada: Discovery Grants Program(Natural Sciences and Engineering Research Council of Canada (NSERC))</t>
  </si>
  <si>
    <t>This work was supported by the Natural Sciences and Engineering Research Council of Canada: Discovery Grants Program.</t>
  </si>
  <si>
    <t>10.1088/1361-6560/ab00bc</t>
  </si>
  <si>
    <t>WOS:000459740600002</t>
  </si>
  <si>
    <t>Kostara, E; Sportelli, G; Belcari, N; Camarlinghi, N; Cerello, P; Del Guerra, A; Ferrero, V; Fiorina, E; Giraudo, G; Morrocchi, M; Pennazio, F; Pullia, M; Rivetti, A; Rolo, MD; Rosso, V; Wheadon, R; Bisogni, MG</t>
  </si>
  <si>
    <t>Kostara, E.; Sportelli, G.; Belcari, N.; Camarlinghi, N.; Cerello, P.; Del Guerra, A.; Ferrero, V; Fiorina, E.; Giraudo, G.; Morrocchi, M.; Pennazio, F.; Pullia, M.; Rivetti, A.; Rolo, M. D.; Rosso, V; Wheadon, R.; Bisogni, M. G.</t>
  </si>
  <si>
    <t>Particle beam microstructure reconstruction and coincidence discrimination in PET monitoring for hadron therapy</t>
  </si>
  <si>
    <t>in-beam PET monitoring; random correction techniques; fast Fourier transform</t>
  </si>
  <si>
    <t>POSITRON-EMISSION-TOMOGRAPHY; IN-BEAM; PROTON THERAPY; RADIATION-THERAPY; VERIFICATION; IRRADIATION; ROOM</t>
  </si>
  <si>
    <t>Positron emission tomography is one of the most mature techniques for monitoring the particles range in hadron therapy, aiming to reduce treatment uncertainties and therefore the extent of safety margins in the treatment plan. In-beam PET monitoring has been already performed using inter-spill and post-irradiation data, i.e. while the particle beam is off or paused. The full beam acquisition procedure is commonly discarded because the particle spills abruptly increase the random coincidence rates and therefore the image noise. This is because random coincidences cannot be separated by annihilation photons originating from radioactive decays and cannot be corrected with standard random coincidence techniques due to the time correlation of the beam-induced background with the ion beam microstructure. The aim of this paper is to provide a new method to recover in-spill data to improve the images obtained with full-beam PET acquisitions. This is done by estimating the temporal microstructure of the beam and thus selecting input PET events that are less likely to be random ones. The PET detector we used was the one developed within the INSIDE project and tested at the CNAO synchrotron-based facility. The data were taken on a PMMA phantom irradiated with 72 MeV proton pencil beams. The obtained results confirm the possibility of improving the acquired PET data without any external signal coming from the synchrotron or ad hoc detectors.</t>
  </si>
  <si>
    <t>[Kostara, E.; Sportelli, G.; Belcari, N.; Camarlinghi, N.; Fiorina, E.; Morrocchi, M.; Rosso, V; Bisogni, M. G.] Ist Nazl Fis Nucl, Pisa, Italy; [Kostara, E.] Univ Siena, Dept Phys Sci Earth &amp; Environm, Siena, Italy; [Sportelli, G.; Belcari, N.; Camarlinghi, N.; Del Guerra, A.; Morrocchi, M.; Rosso, V; Bisogni, M. G.] Univ Pisa, Dept Phys, Pisa, Italy; [Ferrero, V] Univ Torino, Dept Phys, Turin, Italy; [Cerello, P.; Ferrero, V; Giraudo, G.; Pennazio, F.; Rivetti, A.; Rolo, M. D.; Wheadon, R.] Ist Nazl Fis Nucl, Turin, Italy; [Fiorina, E.; Pullia, M.] Fdn CNAO, Str Campeggi 53, I-27100 Pavia, Italy</t>
  </si>
  <si>
    <t>Istituto Nazionale di Fisica Nucleare (INFN); University of Siena; University of Pisa; University of Turin; Istituto Nazionale di Fisica Nucleare (INFN); Centro Nazionale di Adroterapia Oncologica (CNAO)</t>
  </si>
  <si>
    <t>Sportelli, G (通訊作者)， Ist Nazl Fis Nucl, Pisa, Italy.;Sportelli, G (通訊作者)， Univ Pisa, Dept Phys, Pisa, Italy.</t>
  </si>
  <si>
    <t>giancarlo.sportelli@unipi.it</t>
  </si>
  <si>
    <t>; Da Rocha Rolo, Manuel Dionisio/G-7575-2016; Fiorina, Elisa/AAA-9905-2021; Sportelli, Giancarlo/H-9555-2015; Da Rocha Rolo, Manuel/N-7680-2019; Pennazio, Francesco/AAA-3386-2022; Ferrero, Veronica/ABD-4224-2020; Belcari, Nicola/M-4811-2015</t>
  </si>
  <si>
    <t>Pennazio, Francesco/0000-0001-8323-0132; Pullia, Marco/0000-0003-1851-431X; Da Rocha Rolo, Manuel Dionisio/0000-0001-8518-3755; Cerello, Piergiorgio/0000-0002-2443-5178; Ferrero, Veronica/0000-0003-3900-6680; Fiorina, Elisa/0000-0002-8172-4283; Belcari, Nicola/0000-0002-7648-9450; Camarlinghi, Niccolo'/0000-0003-2297-4941</t>
  </si>
  <si>
    <t>Italian Ministry of University and Research (MIUR) under the program PRIN 2010/2011 INSIDE project [2010P98A75]; People Programme (Marie Curie Actions) of the European Union's Seventh Framework Programme FP7/2007-2013 under REA grant [317446]</t>
  </si>
  <si>
    <t>Italian Ministry of University and Research (MIUR) under the program PRIN 2010/2011 INSIDE project(Ministry of Education, Universities and Research (MIUR)); People Programme (Marie Curie Actions) of the European Union's Seventh Framework Programme FP7/2007-2013 under REA grant(European Union (EU))</t>
  </si>
  <si>
    <t>This work has been mainly supported by the Italian Ministry of University and Research (MIUR) under the program PRIN 2010/2011 INSIDE project 2010P98A75. The research leading to these results has received funding from the People Programme (Marie Curie Actions) of the European Union's Seventh Framework Programme FP7/2007-2013 under REA grant agreement n. 317446 INFIERI 'INtelligent Fast Interconnected and Efficient Devices for Frontier Exploitation in Research and Industry'. The authors are also very grateful to CNAO personnel, particularly to Mario Ciocca, Marco Donetti and Sandro Rossi for their kind collaboration in the data acquisition and the discussion of results.</t>
  </si>
  <si>
    <t>10.1088/1361-6560/aafa28</t>
  </si>
  <si>
    <t>HI3CS</t>
  </si>
  <si>
    <t>WOS:000456324800001</t>
  </si>
  <si>
    <t>Su, Z; Li, ZF; Henderson, R; Hoppe, B; Nichols, RC; Bryant, C; Mendenhall, W; Mendenhall, N</t>
  </si>
  <si>
    <t>Su, Zhong; Li, Zuofeng; Henderson, Randal; Hoppe, Bradford; Nichols, R. Charles; Bryant, Curtis; Mendenhall, William; Mendenhall, Nancy</t>
  </si>
  <si>
    <t>PTV margin analysis for prostate patients treated with initial pelvic nodal IMRT and prostate proton boost</t>
  </si>
  <si>
    <t>intrafractional motion; PTV margin; marker seed matching</t>
  </si>
  <si>
    <t>INTENSITY-MODULATED RADIOTHERAPY; INTRAFRACTION MOTION; BONY ANATOMY; MARKERS; CORRECT</t>
  </si>
  <si>
    <t>To evaluate the planning target volume (PTV) margins for prostate cancer patients treated with initial intensity-modulated radiation therapy (IMRT) to pelvic lymph nodes and a proton boost to the prostate using cone-beam computed tomography (CBCT) and radiographs as image guidance. We analyzed data from prostate patients (n = 15) treated with initial pelvic IMRT and a proton boost to the prostate. CBCT and 2-dimensional (2D) radiographs were used for IMRT and proton pre-treatment alignments, respectively. Translations from bony-matching, implanted marker seed matching, and seed-bony differences were obtained from CBCTs. Pretreatment and post-treatment 2D radiographs were analyzed for residual setup errors and intrafractional organ motion. PTV margins of prostate and pelvic lymph nodes for seed-matching, bony-matching and the skin mark-matching approach were obtained using 2.5 * Sigma + 0.7 * sigma formula, where Sigma is the systematic error and sigma is the random error summed in quadrature of various error components. For the seed-matching approach, the prostate margins were 1.5 mm, 3.5 mm, and 2.7 mm for the left-right (LR), superior-inferior (SI), and anterior-posterior (AP) directions, respectively; pelvic lymph node margins were 2.3 mm, 7.1 mm, and 7.0 mm. For the bony-matching approach, the prostate margins were 2.7 mm, 7.8 mm, and 7.5 mm for the LR, SI, and AP directions, respectively; pelvic lymph node margins were 0.7 mm, 1.5 mm, and 1.4 mm. For the skin mark-matching approach, the prostate margins were 7.6 mm, 13.4 mm, and 11.4 mm for the LR, SI, and AP directions, respectively; pelvic lymph node margins were 8.2 mm, 12.6 mm, and 12.3 mm. The seed-matching approach, as compared to the bony-matching approach, reduced prostate margins, which may in turn reduce dose to the bladder and rectum at the expense of increased but acceptable margins for the pelvic lymph nodes.</t>
  </si>
  <si>
    <t>[Su, Zhong; Li, Zuofeng; Henderson, Randal; Hoppe, Bradford; Nichols, R. Charles; Bryant, Curtis; Mendenhall, William; Mendenhall, Nancy] Univ Florida, Dept Radiat Oncol, Gainesville, FL 32611 USA; [Su, Zhong] Univ Florida, Hlth Proton Therapy Inst, Jacksonville, FL 32209 USA</t>
  </si>
  <si>
    <t>State University System of Florida; University of Florida; State University System of Florida; University of Florida</t>
  </si>
  <si>
    <t>Su, Z (通訊作者)， Univ Florida, Dept Radiat Oncol, Gainesville, FL 32611 USA.;Su, Z (通訊作者)， Univ Florida, Hlth Proton Therapy Inst, Jacksonville, FL 32209 USA.</t>
  </si>
  <si>
    <t>zsu@floridaproton.org</t>
  </si>
  <si>
    <t>Su, Zhong/AAS-9025-2020</t>
  </si>
  <si>
    <t>04NT04</t>
  </si>
  <si>
    <t>10.1088/1361-6560/aafd75</t>
  </si>
  <si>
    <t>WOS:000458205800003</t>
  </si>
  <si>
    <t>Visscher, M; Lajoinie, G; Blazejewski, E; Veldhuis, G; Versluis, M</t>
  </si>
  <si>
    <t>Visscher, Mirjam; Lajoinie, Guillaume; Blazejewski, Emilie; Veldhuis, Gert; Versluis, Michel</t>
  </si>
  <si>
    <t>Laser-activated microparticles for multimodal imaging: ultrasound and photoacoustics</t>
  </si>
  <si>
    <t>photoacoustics; ultrasound; contrast agents; cavitation; polymeric microcapsules</t>
  </si>
  <si>
    <t>RESONANCE; MICROBUBBLES; DELIVERY; DYNAMICS; THERAPY; LIQUID</t>
  </si>
  <si>
    <t>The increasing personalization of medical treatment demands refined imaging and increased monitoring capabilities, as well as an improved efficacy through targeted drug delivery. Such a transition in health care can be facilitated by the use of multimodal contrast agents. In this paper, we present a novel type of multimodal contrast agents, that enhances contrast both in ultrasound and in photoacoustic imaging, while at the same time being capable of triggered drug delivery. Upon pulsed laser irradiation, polymeric microparticles-containing a dye and an oil core-can create a cavitation bubble that subsequently emits a strong acoustic wave. We investigated different formulations of these particles, by changing the oil content, dye concentration and probing conditions using a combination of pulsed laser excitation and an ultrasound chirp. We demonstrated that capsules with a core containing a low boiling point oil give the highest photoacoustic and acoustic response. The laser activation threshold for this system is high in the visible range, but within the near infrared medical limits. The same system also produces a stable bubble. US scattering by these stable bubbles results in medically relevant frequencies, making the particles of interest for biomedical and pre-clinical imaging. Finally, the system has potential to carry a functional drug-load, and a route to these applications is discussed.</t>
  </si>
  <si>
    <t>[Visscher, Mirjam; Lajoinie, Guillaume; Versluis, Michel] Univ Twente, Tech Med TechMed Ctr, Phys Fluids Grp, POB 217, NL-7500 AE Enschede, Netherlands; [Visscher, Mirjam; Lajoinie, Guillaume; Versluis, Michel] Univ Twente, MESA Inst Nanotechnol, POB 217, NL-7500 AE Enschede, Netherlands; [Visscher, Mirjam] Erasmus Univ, Thorax Ctr, Dept Biomed Engn, Med Ctr, POB 2040, NL-3000 CA Rotterdam, Netherlands; [Blazejewski, Emilie; Veldhuis, Gert] Nan Monosphere Technol, Zutphenstr 51, NL-7575 EJ Oldenzaal, Netherlands</t>
  </si>
  <si>
    <t>University of Twente; University of Twente; Erasmus University Rotterdam; Erasmus MC</t>
  </si>
  <si>
    <t>Versluis, M (通訊作者)， Univ Twente, Tech Med TechMed Ctr, Phys Fluids Grp, POB 217, NL-7500 AE Enschede, Netherlands.;Versluis, M (通訊作者)， Univ Twente, MESA Inst Nanotechnol, POB 217, NL-7500 AE Enschede, Netherlands.</t>
  </si>
  <si>
    <t>m.versluis@utwente.nl</t>
  </si>
  <si>
    <t>Lajoinie, Guillaume/A-6613-2016; Versluis, Michel/F-3541-2011</t>
  </si>
  <si>
    <t>Lajoinie, Guillaume/0000-0002-8226-7301; Visscher, Mirjam/0000-0002-6867-7398; Versluis, Michel/0000-0002-2296-1860</t>
  </si>
  <si>
    <t>NanoNextNL, a micro and nanotechnology consortium of the Government of the Netherlands</t>
  </si>
  <si>
    <t>This work is supported by NanoNextNL, a micro and nanotechnology consortium of the Government of the Netherlands and 130 partners. The authors gratefully acknowledge the technical support of Bas Benschop, Martin Bos and Gert-Wim Bruggert.</t>
  </si>
  <si>
    <t>10.1088/1361-6560/aaf4a2</t>
  </si>
  <si>
    <t>HJ4XR</t>
  </si>
  <si>
    <t>WOS:000457182200001</t>
  </si>
  <si>
    <t>Botas, P; Kim, J; Winey, B; Paganetti, H</t>
  </si>
  <si>
    <t>Botas, P.; Kim, J.; Winey, B.; Paganetti, H.</t>
  </si>
  <si>
    <t>Online adaption approaches for intensity modulated proton therapy for head and neck patients based on cone beam CTs and Monte Carlo simulations</t>
  </si>
  <si>
    <t>intensity-modulated proton therapy; head and neck; online-adaptive proton therapy; online treatment planning; Monte Carlo; GPU; cone beam CT</t>
  </si>
  <si>
    <t>DOSE CALCULATION; RADIATION-THERAPY; DEFORMABLE REGISTRATION; COMPUTED-TOMOGRAPHY; RANGE UNCERTAINTIES; IMAGE REGISTRATION; CANCER; PHOTON; FEASIBILITY; IMPACT</t>
  </si>
  <si>
    <t>To develop an online plan adaptation algorithm for intensity modulated proton therapy (IMPT) based on fast Monte Carlo dose calculation and cone beam CT (CBCT) imaging. A cohort often head and neck cancer patients with an average of six CBCT scans were studied. To adapt the treatment plan to the new patient geometry, contours were propagated to the CBCTs with a vector field (VF) calculated with deformable image registration between the CT and the CBCTs. Within the adaptive planning algorithm, beamlets were shifted following the VF at their distal falloff and raytraced in the CBCT to adjust their energies, creating a geometrically adapted plan. Four geometric adaptation modes were studied: unconstrained geometric shifts (Free), isocenter shift (Iso), a range shifter (RS), or isocenter shift and range shifter (Iso-RS). After evaluation of the geometrical adaptation, the weights of a selected subset of beamlets were automatically tuned using MC-generated influence matrices to fulfill the original plan requirements. All beamlet calculations were done with a fast Monte Carlo running on a GPU (graphics processing unit). Geometrical adaptation alone only worked with small anatomy changes. The weight-tuned adaptation worked for every fraction, with the Free and Iso modes performing similarly and being superior than the two range shifters modes. The mean V95 and V107 were 99.4 +/- 0.9 and 6.4% +/- 4.7% in the Free mode with weight tuning. The calculation time per fraction was similar to 5 min, but further task parallelization could reduce it to similar to 1-2 min for delivery adaptation right after patient setup. An online adaptation algorithm was developed that significantly improved the treatment quality for inter-fractional geometry changes. Clinical implementation of the algorithm would allow delivery adaptation right before treatment and thus allow planning margin reductions for IMPT.</t>
  </si>
  <si>
    <t>[Botas, P.; Kim, J.; Winey, B.; Paganetti, H.] Massachusetts Gen Hosp, Dept Radiat Oncol, Boston, MA 02114 USA; [Botas, P.] Heidelberg Univ, Fac Phys &amp; Astron, Heidelberg, Germany; [Kim, J.; Winey, B.; Paganetti, H.] Harvard Med Sch, Dept Radiat Oncol, Boston, MA USA</t>
  </si>
  <si>
    <t>Harvard University; Harvard University Medical Affiliates; Massachusetts General Hospital; Ruprecht Karls University Heidelberg; Harvard University; Harvard Medical School</t>
  </si>
  <si>
    <t>Botas, P (通訊作者)， Massachusetts Gen Hosp, Dept Radiat Oncol, Boston, MA 02114 USA.;Botas, P (通訊作者)， Heidelberg Univ, Fac Phys &amp; Astron, Heidelberg, Germany.</t>
  </si>
  <si>
    <t>botas.phys@gmail.com</t>
  </si>
  <si>
    <t>; Winey, Brian/JEO-9252-2023; Kim, Jinkwon/AAR-6729-2021</t>
  </si>
  <si>
    <t>Kim, Jihun/0000-0003-4856-6305; Botas, Pablo/0000-0001-7090-9648; Winey, Brian/0000-0002-3894-3755</t>
  </si>
  <si>
    <t>We would like to thank Dr C Grassberger for the very fruitful discussions. This work was supported by NIH NCI U19 CA-21239.</t>
  </si>
  <si>
    <t>10.1088/1361-6560/aaf30b</t>
  </si>
  <si>
    <t>WOS:000454078500002</t>
  </si>
  <si>
    <t>Urk, GA; Ider, YZ</t>
  </si>
  <si>
    <t>Urk, Gokhan Arit; Ider, Yusuf Ziya</t>
  </si>
  <si>
    <t>B1+ phase retrieval for non-quadrature radio frequency excitation and its preliminary application in MR-EPT</t>
  </si>
  <si>
    <t>B-1(+) phase acquisition; non-quadrature excitation; MR-EPT; multichannel RF transmission; TEM transceiver array; B-1 shimming</t>
  </si>
  <si>
    <t>ELECTRICAL-PROPERTIES TOMOGRAPHY; HUMAN BRAIN; BODY MRI; 7 T; COIL; ARRAY; TRANSMIT</t>
  </si>
  <si>
    <t>Non-quadrature radio frequency (RF) excitation has been widely studied in the fields of RF shimming, local SAR estimation, and MR-EPT with the use of multi-channel transceiver arrays. These studies generally require the retrieval of the complex transmit field (B-1(+)), which can be accomplished by acquiring its magnitude and phase in different steps. Magnitude of the transmit field is acquired with the conventional methods which give accurate results for both quadrature and non-quadrature excitations. On the other hand, there is no straightforward method to acquire the absolute phase of the transmit field and generally approximations in MRI experiments are made in order to get it. However, many of these approximations fail in non-quadrature excitation and/or in ultra high fields. In this study, we propose a simple method to acquire the absolute transmit phase in non-quadrature excitation with an eight channel transceiver TEM array for 3 T. The proposed method requires the application of a single additional quadrature drive in order to get the receive phases of the individual channels of the transceiver coil. These receive phases are then subtracted from the transceive phase of the non-quadrature drive experiment to acquire its transmit phase. The developed ideas are tested in the framework of simulations and MRI experiments with the use of four different non-quadrature drive configurations. It has been observed that the simulated and experimentally acquired transmit phase distributions tend to have a strong consensus which supports the validity of the proposed method. Finally, the estimated transmit phase distribution of non-quadrature drive is used in the standard MR-EPT study to get the conductivity reconstructions in order for the validation of its eligibility in MR-EPT studies.</t>
  </si>
  <si>
    <t>[Urk, Gokhan Arit; Ider, Yusuf Ziya] Bilkent Univ, Dept Elect &amp; Elect Engn, Ankara, Turkey</t>
  </si>
  <si>
    <t>Ihsan Dogramaci Bilkent University</t>
  </si>
  <si>
    <t>Ider, YZ (通訊作者)， Bilkent Univ, Dept Elect &amp; Elect Engn, Ankara, Turkey.</t>
  </si>
  <si>
    <t>ider@ee.bilkent.edu.tr</t>
  </si>
  <si>
    <t>Ider, Yusuf/AES-0104-2022</t>
  </si>
  <si>
    <t>Ariturk, Gokhan/0000-0001-7920-1275</t>
  </si>
  <si>
    <t>Scientific and Technological Research Council of Turkey (Tubitak) [114E522]</t>
  </si>
  <si>
    <t>Scientific and Technological Research Council of Turkey (Tubitak)(Turkiye Bilimsel ve Teknolojik Arastirma Kurumu (TUBITAK))</t>
  </si>
  <si>
    <t>This work was supported by The Scientific and Technological Research Council of Turkey (Tubitak) under Grant 114E522. The MRI experiments and coil measurements were conducted in the National Magnetic Resonance Research Center (UMRAM). The authors thank to Prof Ergin Atalar and Taner Demir for their support in the use of the MRI Scanner and the RF pre-amplifiers.</t>
  </si>
  <si>
    <t>02NT02</t>
  </si>
  <si>
    <t>10.1088/1361-6560/aaf7be</t>
  </si>
  <si>
    <t>WOS:000455823500002</t>
  </si>
  <si>
    <t>Nayak, R; Fatemi, M; Alizad, A</t>
  </si>
  <si>
    <t>Nayak, Rohit; Fatemi, Mostafa; Alizad, Azra</t>
  </si>
  <si>
    <t>Adaptive background noise bias suppression in contrast-free ultrasound microvascular imaging</t>
  </si>
  <si>
    <t>microvessel imaging; power Doppler imaging; ultrafast ultrasound; noise bias suppression</t>
  </si>
  <si>
    <t>FRAME RATE ULTRASONOGRAPHY; PLANE-WAVE; DOPPLER; QUANTIFICATION; ANGIOGENESIS; PERFUSION</t>
  </si>
  <si>
    <t>Non-invasive, contrast-free imaging of small vessel blood flow is diagnostically invaluable for detection, diagnosis and monitoring of disease. Recent advances in ultrafast imaging and tissue clutter-filtering have considerably improved the sensitivity of power Doppler (PD) imaging in detecting small vessel blood flow. However, suppression of tissue clutter exposes the depth-dependent time-gain compensated noise bias that noticeably degrades the PD image. We hypothesized that background suppression of PD images based on noise bias estimated from the entire clutter-filtered singular value spectrum can considerably improve flow signal visualization compared to currently existing techniques. To test our hypothesis, in vivo experiments were conducted on suspicious breast lesions in 10 subjects and deep-seated hepatic and renal microvasculatures in four healthy volunteers. Ultrasound PD images were acquired using a clinical ultrasound scanner, implemented with compounded plane wave imaging. The time gain compensated noise field was computed from the clutter-filtered Doppler ensemble (CFDE) based on its local spatio-temporal correlation, combined with low-rank signal estimation. Subsequently, the background bias in the PD images was suppressed by subtracting the estimated noise field. Background-suppressed PD images obtained using the proposed technique substantially improved visualization of the blood flow signal. The background bias in the noise suppressed PD images varied &lt;0.6 dB, independent of depth, which otherwise increased up to 13.8 dB. Further, the results demonstrated that the proposed technique efficaciously suppressed the background noise bias associated with smaller Doppler ensembles, which are challenging due to increased overlap between blood flow and noise components in the singular value spectrum. These preliminary results demonstrate the utility of the proposed technique to improve the visualization of small vessel blood flow in contrast-free PD images. The results of this feasibility study were encouraging, and warrant further development and additional in vivo validation.</t>
  </si>
  <si>
    <t>[Nayak, Rohit; Alizad, Azra] Mayo Clin, Dept Radiol, Coll Med &amp; Sci, Rochester, MN 55902 USA; [Fatemi, Mostafa] Mayo Clin, Dept Physiol &amp; Biomed Engn, Coll Med &amp; Sci, Rochester, MN 55902 USA</t>
  </si>
  <si>
    <t>Alizad, A (通訊作者)， Mayo Clin, Dept Radiol, Coll Med &amp; Sci, Rochester, MN 55902 USA.</t>
  </si>
  <si>
    <t>Alizad.Azra@mayo.edu</t>
  </si>
  <si>
    <t>Alizad, Azra/0000-0002-7658-1572; Fatemi, Mostafa/0000-0002-6603-9077</t>
  </si>
  <si>
    <t>National Institutes of Health (NIH) [R01CA239548, R01CA168575, R01CA195527, R01CA174723, R01EB17213]</t>
  </si>
  <si>
    <t>This study was supported by National Institutes of Health (NIH) Grants R01CA239548, R01CA168575, R01CA195527, R01CA174723, and R01EB17213. The content is solely the responsibility of the authors and does not necessarily represent the official views of NIH.</t>
  </si>
  <si>
    <t>10.1088/1361-6560/ab5879</t>
  </si>
  <si>
    <t>WOS:000513010200002</t>
  </si>
  <si>
    <t>Zhang, ZY; Cai, MS; Gao, Y; Shi, XJ; Zhang, XJ; Hu, ZH; Tian, J</t>
  </si>
  <si>
    <t>Zhang, Zeyu; Cai, Meishan; Gao, Yuan; Shi, Xiaojing; Zhang, Xiaojun; Hu, Zhenhua; Tian, Jie</t>
  </si>
  <si>
    <t>A novel Cerenkov luminescence tomography approach using multilayer fully connected neural network</t>
  </si>
  <si>
    <t>Cerenkov luminescence tomography (CLT); optical reconstruction; photon propagation; neural network; inverse problem</t>
  </si>
  <si>
    <t>RECONSTRUCTION; MOUSE; MODEL</t>
  </si>
  <si>
    <t>Cerenkov luminescence tomography (CLT) has been proved as an effective tool for various biomedical applications. Because of the severe scattering of Cerenkov luminescence, the performance of CLT remains unsatisfied. This paper proposed a novel CLT reconstruction approach based on a multilayer fully connected neural network (MFCNN). Monte Carlo simulation data was employed to train the MFCNN, and the complex relationship between the surface signals and the true sources was effectively learned by the network. Both simulation and in vivo experiments were performed to validate the performance of MFCNN CLT, and it was further compared with the typical radiative transfer equation (RTE) based method. The experimental data showed the superiority of MFCNN CLT in terms of accuracy and stability. This promising approach for CLT is expected to improve the performance of optical tomography, and to promote the exploration of machine learning in biomedical applications.</t>
  </si>
  <si>
    <t>[Zhang, Zeyu; Tian, Jie] Xidian Univ, Engn Res Ctr Mol &amp; Neuro Imaging, Sch Life Sci &amp; Technol, Minist Educ, Xian 710126, Peoples R China; [Zhang, Zeyu; Cai, Meishan; Gao, Yuan; Shi, Xiaojing; Hu, Zhenhua; Tian, Jie] Chinese Acad Sci, CAS Key Lab Mol Imaging, Beijing Key Lab Mol Imaging, Inst Automat,State Key Lab Management &amp; Control C, Beijing 100190, Peoples R China; [Cai, Meishan; Gao, Yuan; Shi, Xiaojing; Hu, Zhenhua; Tian, Jie] Univ Chinese Acad Sci, Beijing 100049, Peoples R China; [Zhang, Xiaojun] Chinese Peoples Liberat Army Gen Hosp, Dept Nucl Med, Beijing 100853, Peoples R China; [Tian, Jie] Beihang Univ, Beijing Adv Innovat Ctr Big Data Based Precis Med, Beijing 100191, Peoples R China</t>
  </si>
  <si>
    <t>Xidian University; Chinese Academy of Sciences; Institute of Automation, CAS; Chinese Academy of Sciences; University of Chinese Academy of Sciences, CAS; Chinese People's Liberation Army General Hospital; Beihang University</t>
  </si>
  <si>
    <t>Tian, J (通訊作者)， Xidian Univ, Engn Res Ctr Mol &amp; Neuro Imaging, Sch Life Sci &amp; Technol, Minist Educ, Xian 710126, Peoples R China.;Hu, ZH; Tian, J (通訊作者)， Chinese Acad Sci, CAS Key Lab Mol Imaging, Beijing Key Lab Mol Imaging, Inst Automat,State Key Lab Management &amp; Control C, Beijing 100190, Peoples R China.;Hu, ZH; Tian, J (通訊作者)， Univ Chinese Acad Sci, Beijing 100049, Peoples R China.;Tian, J (通訊作者)， Beihang Univ, Beijing Adv Innovat Ctr Big Data Based Precis Med, Beijing 100191, Peoples R China.</t>
  </si>
  <si>
    <t>zhenhua.hu@ia.ac.cn; tian@ieee.org</t>
  </si>
  <si>
    <t>Zhang, Zeyu/F-9326-2016; Hu, Zhenhua/V-1399-2019; Tian, Jie/H-1190-2011</t>
  </si>
  <si>
    <t>RAMLI, ZARINA/0009-0007-1729-7057</t>
  </si>
  <si>
    <t>National Key Research and Development Program of China [2017YFA0205200, 2016YFC0102600]; National Natural Science Foundation of China (NSFC) [81930053, 61622117, 81671759, 81227901, 81527805]; Chinese Academy of Sciences [GJJSTD20170004]; Beijing Nova Program [Z181100006218046]; Scientific Instrument Developing Project of the Chinese Academy of Sciences [YZ201672]; Key Research Program of the Chinese Academy of Sciences [KGZD-EW-T03]; innovative research team of high-level local universities in Shanghai</t>
  </si>
  <si>
    <t>National Key Research and Development Program of China(National Key Research &amp; Development Program of China); National Natural Science Foundation of China (NSFC)(National Natural Science Foundation of China (NSFC)); Chinese Academy of Sciences(Chinese Academy of Sciences); Beijing Nova Program(Beijing Municipal Science &amp; Technology Commission); Scientific Instrument Developing Project of the Chinese Academy of Sciences; Key Research Program of the Chinese Academy of Sciences(Chinese Academy of Sciences); innovative research team of high-level local universities in Shanghai</t>
  </si>
  <si>
    <t>This study was supported by the National Key Research and Development Program of China (2017YFA0205200, 2016YFC0102600), National Natural Science Foundation of China (NSFC) (81930053, 61622117, 81671759, 81227901, 81527805), the Chinese Academy of Sciences (GJJSTD20170004), Beijing Nova Program (Z181100006218046),the Scientific Instrument Developing Project of the Chinese Academy of Sciences (YZ201672), the Key Research Program of the Chinese Academy of Sciences (KGZD-EW-T03) and the innovative research team of high-level local universities in Shanghai. The authors would like to acknowledge the instrumental and technical support of the multi-modal biomedical imaging experimental platform, Institute of Automation, Chinese Academy of Sciences.</t>
  </si>
  <si>
    <t>10.1088/1361-6560/ab5bb4</t>
  </si>
  <si>
    <t>WOS:000513009900010</t>
  </si>
  <si>
    <t>Vassiliev, ON; Peterson, CB; Cao, WH; Grosshans, DR; Mohan, R</t>
  </si>
  <si>
    <t>Vassiliev, Oleg N.; Peterson, Christine B.; Cao, Wenhua; Grosshans, David R.; Mohan, Radhe</t>
  </si>
  <si>
    <t>Systematic microdosimetric data for protons of therapeutic energies calculated with Geant4-DNA</t>
  </si>
  <si>
    <t>proton therapy; microdosimetry; Geant4-DNA; proton RBE</t>
  </si>
  <si>
    <t>RELATIVE BIOLOGICAL EFFECTIVENESS; MONTE-CARLO-SIMULATION; LIQUID WATER; CELL-SURVIVAL; TRACK CALCULATIONS; PHYSICS PROCESSES; DISTRIBUTIONS; MODEL; IONIZATION; TARGETS</t>
  </si>
  <si>
    <t>The purpose of this study was to generate physical data needed for microdosimetry-based models of proton RBE. Our focus was on the frequency and dose average lineal energies, y(F) and y(D). We report data for proton energies from 0.1 to 100 MeV, for spherical volumes 2-103 nm in diameter. These data were calculated using Geant4-DNA Monte Carlo software. The physics implemented in Geant4-DNA has been extensively tested for this type of calculations but data on y(F) and y(D) for protons generated with this code have been very limited. An innovative aspect of our study is that we introduced a straightforward procedure for calculation of y(F) and y(D) for polyenergetic beams and presented the data in a format that simplifies these calculations. We compared our data with previous studies that used different Monte Carlo codes and with experimental data.</t>
  </si>
  <si>
    <t>[Vassiliev, Oleg N.; Cao, Wenhua; Mohan, Radhe] Univ Texas MD Anderson Canc Ctr, Dept Radiat Phys, Houston, TX 77030 USA; [Peterson, Christine B.] Univ Texas MD Anderson Canc Ctr, Dept Biostat, Houston, TX 77030 USA; [Grosshans, David R.] Univ Texas MD Anderson Canc Ctr, Dept Radiat Oncol, Houston, TX 77030 USA</t>
  </si>
  <si>
    <t>University of Texas System; UTMD Anderson Cancer Center; University of Texas System; UTMD Anderson Cancer Center; University of Texas System; UTMD Anderson Cancer Center</t>
  </si>
  <si>
    <t>Vassiliev, ON (通訊作者)， Univ Texas MD Anderson Canc Ctr, Dept Radiat Phys, Houston, TX 77030 USA.</t>
  </si>
  <si>
    <t>onvassil@mdanderson.org</t>
  </si>
  <si>
    <t>; Peterson, Christine/AGG-1378-2022; Vassiliev, Oleg/Q-1086-2019</t>
  </si>
  <si>
    <t>Peterson, Christine/0000-0003-3316-0468;</t>
  </si>
  <si>
    <t>National Cancer Institute [R01 CA225961, U19 CA021239, P30 CA016672]</t>
  </si>
  <si>
    <t>This study was supported by the National Cancer Institute Grants R01 CA225961, U19 CA021239 and P30 CA016672 (we used the Biostatistics Resource Group). Sarah Bronson (ELS) of MD Anderson's Department of Scientific Publications provided editorial assistance.</t>
  </si>
  <si>
    <t>10.1088/1361-6560/ab47cc</t>
  </si>
  <si>
    <t>WOS:000494858500004</t>
  </si>
  <si>
    <t>Yang, K; Li, ZM; Li, XH; Liu, B</t>
  </si>
  <si>
    <t>Yang, Kai; Li, Zhimin; Li, Xinhua; Liu, Bob</t>
  </si>
  <si>
    <t>Characterization of dynamic collimation mechanisms for helical CT scans with direct measurements</t>
  </si>
  <si>
    <t>CT; radiation dose; helical scan; dynamic collimation</t>
  </si>
  <si>
    <t>COMPUTED-TOMOGRAPHY; PEDIATRIC-PATIENTS; MULTISECTION CT; DOSE REDUCTION; VOLUMETRIC CT; QUANTIFICATION; SCANNERS</t>
  </si>
  <si>
    <t>Dynamic collimation is an important dose reduction mechanism for helical CT scans, especially for modern wide-beam scanner models. Its implementation and efficacy need to be studied to optimize CT scan protocols and to reduce unnecessary patient dose. The purpose of this study is to evaluate dynamic beam collimation for modern wide-beam CT scanners with direct measurements and to estimate the efficacy for dose reduction. By using a linear-array solid state detector, primary x-ray beam coverage was measured for four CT scanner models: GE Revolution CT, Siemens Somatom Force, Philips iQon, and GE LightSpeed VCT. Supported independently from patient table, the detector remained stationary at the isocenter during helical scans. Data lines were recorded every 0.24 ms throughout one entire helical scan, with a spatial resolution of 0.8 mm along the craniocaudal direction. The measurements were repeated for various scan parameters related to dynamic collimation, including beam collimation width, pitch, rotation time, and scan length. The recorded beam coverage area was used as a surrogate to total primary dose, to model different dynamic collimation mechanisms. The directly measured total radiation range was compared to table travel distance and nominal scan length which equals to the ratio between DLP and CTDIvol. Equations to calculate the percentage dose reduction with dynamic collimation were derived for different mechanisms. Three different dynamic collimation mechanisms were revealed and related linear model parameters were reported for different helical scan parameters. The nominal scan length used to calculate DLP was shown to vary for different dynamic collimation mechanisms. For typical head and abdomen scans with nominal scan lengths of 17.5 cm and 25 cm, percentage dose reduction from dynamic collimation ranged from 2% to 32%. In conclusion, with direct measurements of primary x-ray beam coverage, dynamic collimation mechanisms and related dose reduction effects were characterized for four modern wide-beam CT scanners.</t>
  </si>
  <si>
    <t>[Yang, Kai; Li, Zhimin; Li, Xinhua; Liu, Bob] Massachusetts Gen Hosp, Dept Radiol, Div Diagnost Imaging Phys, 55 Fruit St, Boston, MA 02114 USA</t>
  </si>
  <si>
    <t>Harvard University; Harvard University Medical Affiliates; Massachusetts General Hospital</t>
  </si>
  <si>
    <t>Yang, K (通訊作者)， Massachusetts Gen Hosp, Dept Radiol, Div Diagnost Imaging Phys, 55 Fruit St, Boston, MA 02114 USA.</t>
  </si>
  <si>
    <t>kyang11@mgh.harvard.edu</t>
  </si>
  <si>
    <t>; Li, Zhimin/A-3323-2012; li, zhimin/A-3323-2012</t>
  </si>
  <si>
    <t>Liu, Bob/0000-0001-6221-1047; li, zhimin/0000-0002-0988-9374</t>
  </si>
  <si>
    <t>10.1088/1361-6560/ab3eaa</t>
  </si>
  <si>
    <t>WOS:000518764400006</t>
  </si>
  <si>
    <t>Schlüter, M; Fürweger, C; Schlaefer, A</t>
  </si>
  <si>
    <t>Schlueter, Matthias; Fuerweger, Christoph; Schlaefer, Alexander</t>
  </si>
  <si>
    <t>Optimizing robot motion for robotic ultrasound-guided radiation therapy</t>
  </si>
  <si>
    <t>radiation therapy; robotic ultrasound; path planning; treatment planning; image guidance</t>
  </si>
  <si>
    <t>MULTILEAF COLLIMATOR; TRACKING; OPTIMIZATION; CYBERKNIFE; ALGORITHM; GUIDANCE; SYSTEM; COMPENSATION; RADIOTHERAPY; DESIGN</t>
  </si>
  <si>
    <t>An important aspect of robotic radiation therapy is active compensation of target motion. Recently, ultrasound has been proposed to obtain real-time volumetric images of abdominal organ motion. One approach to realize flexible probe placement throughout the treatment fraction is based on a robotic arm holding the ultrasound probe. However, the probe and the robot holding it may obstruct some of the beams with a potentially adverse effect on the plan quality. This can be mitigated by using a kinematically redundant robot, which allows maintaining a steady pose of the ultrasound probe while moving its elbow in order to minimize beam blocking. Ultimately, the motion of both the beam source carrying and the ultrasound probe holding robot contributes to the overall treatment time, i.e. beam delivery and robot motion. We propose an approach to optimize the motion and coordination of both robots based on a generalized traveling salesman problem. Furthermore, we study an application of the model to a prostate treatment scenario. Because the underlying optimization problem is hard, we compare results from a state-of-the-art heuristic solver and an approximation scheme with low computational effort. Our results show that integration of the robot holding the ultrasound probe is feasible with acceptable overhead in overall treatment time. For clinically realistic velocities of the robots, the overhead is less than 4% which is a small cost for the added benefit of continuous, volumetric, and non-ionizing tracking of organ motion over periodic x-ray-based tracking.</t>
  </si>
  <si>
    <t>[Schlueter, Matthias; Schlaefer, Alexander] Hamburg Univ Technol, Inst Med Technol, Hamburg, Germany; [Fuerweger, Christoph] Europaisches Cyberknife Zentrum Munchen Grosshade, Munich, Germany; [Fuerweger, Christoph] Univ Cologne, Fac Med, Dept Stereotaxy &amp; Funct Neurosurg, Cologne, Germany; [Fuerweger, Christoph] Univ Hosp Cologne, Cologne, Germany</t>
  </si>
  <si>
    <t>Hamburg University of Technology; University of Cologne; University of Cologne</t>
  </si>
  <si>
    <t>Schlüter, M (通訊作者)， Hamburg Univ Technol, Inst Med Technol, Hamburg, Germany.</t>
  </si>
  <si>
    <t>matthias.schlueter@tuhh.de; schlaefer@tuhh.de</t>
  </si>
  <si>
    <t>Schlaefer, Alexander/HPE-1451-2023</t>
  </si>
  <si>
    <t>Schlaefer, Alexander/0000-0001-9201-8854; Schluter, Matthias/0000-0002-2019-1102</t>
  </si>
  <si>
    <t>Deutsche Forschungsgemeinschaft [SCHL 1844/3-1]</t>
  </si>
  <si>
    <t>Deutsche Forschungsgemeinschaft(German Research Foundation (DFG))</t>
  </si>
  <si>
    <t>This work was partially funded by Deutsche Forschungsgemeinschaft (Grant SCHL 1844/3-1).</t>
  </si>
  <si>
    <t>10.1088/1361-6560/ab3bfb</t>
  </si>
  <si>
    <t>WOS:000505954300002</t>
  </si>
  <si>
    <t>Hou, XC; Zhao, W; Beauregard, JM; Celler, A</t>
  </si>
  <si>
    <t>Hou, Xinchi; Zhao, Wei; Beauregard, Jean-Mathieu; Celler, Anna</t>
  </si>
  <si>
    <t>Personalized kidney dosimetry in 177Lu-octreotate treatment of neuroendocrine tumours: a comparison of kidney dosimetry estimates based on a whole organ and small volume segmentations</t>
  </si>
  <si>
    <t>Lu-177-octreotate; neuroendocrine tumors; dosimetry; kidney; quantitative SPECT/CT</t>
  </si>
  <si>
    <t>RECEPTOR RADIONUCLIDE THERAPY; INDIVIDUALIZED DOSIMETRY; LU-177-DOTATATE; OCTREOTATE; TOXICITY; ACCURACY; EFFICACY</t>
  </si>
  <si>
    <t>Peptide receptor radionuclide therapy (PRRT) with Lu-177- radiolabeled octreotate is an effective treatment method for inoperable neuroendocrine tumours (NETs). There is growing evidence that estimates of the organ-at-risks (OARs) doses are necessary for the optimization of personalized PRRT (P-PRRT). Dosimetry, however, requires a complicated and time-consuming procedure, which hinders its implementation in the clinic. The aim of this study is to develop a practical and automatic technique to simplify personalized dosimetry of kidney, the major OAR in Lu-177 P-PRRT. The data from 30 NETs patients undergoing 44 personalized Lu-177-DOTA-TATE therapy cycles were analyzed. To determine the biokinetics of the radiopharmaceutical in the kidneys, for each patient three SPECT/CT scans were acquired, at about 4 h, 24 h and 70 h after injection. The kidneys doses were evaluated using three different approaches: (1) a traditional approach based on whole kidney (WK) segmentation; (2) a small volume (SV) manual approach (M-SV) with observer-defined SV location; and (3) a software based SV-approach that automatically defines SV location (A-SV). Four different methods of automatic SV location selections were investigated. The SV kidney doses estimated using M-SV and A-SV approaches was evaluated and the accuracy of these two approaches were compared to the WK dosimetry. The kidney bio-kinetics, in terms of effective half-lives, obtained from both of the A-SV and M-SV approaches agreed to within 10% with those obtained from the WK segmentation. The average ratios of SV doses to WK doses were mostly about 1.8 +/- 0.2 for both A-SV and M-SV approaches. The linear correlation coefficients between SV doses (both A-SV and M-SV) and WK doses were up to 0.9 with p &lt; 0.001. The differences between A-SV and M-SV were minor. By comparing different methods of SV location selections, independently selecting SV in images from each of the acquisitions was proved the most appropriate and accurate approach. An automatic, observer-independent method for selecting the location of the small volume in kidneys was developed. The accuracy of this dose estimation approach has been demonstrated by comparing it with the manual SV dosimetry, as well as the WK dosimetry. The proposed automatic approach can potentially be considered as a practical and simple method for dose estimation in the future clinical studies.</t>
  </si>
  <si>
    <t>[Hou, Xinchi; Celler, Anna] Univ British Columbia, Dept Radiol, 828 West 10th Ave,Rm 366, Vancouver, BC V5Z 1L8, Canada; [Zhao, Wei; Celler, Anna] Univ British Columbia, Dept Phys &amp; Astron, Vancouver, BC, Canada; [Beauregard, Jean-Mathieu] Univ Laval, Dept Radiol &amp; Nucl Med, Quebec City, PQ, Canada; [Beauregard, Jean-Mathieu] Univ Laval, Canc Res Ctr, Quebec City, PQ, Canada; [Beauregard, Jean-Mathieu] Univ Laval, CHU Quebec, CHU Quebec Res Ctr, Dept Med Imaging, Quebec City, PQ, Canada; [Beauregard, Jean-Mathieu] Univ Laval, CHU Quebec, CHU Quebec Res Ctr, Oncol Branch, Quebec City, PQ, Canada</t>
  </si>
  <si>
    <t>University of British Columbia; University of British Columbia; Laval University; Laval University; Laval University; Laval University Hospital; Laval University; Laval University Hospital</t>
  </si>
  <si>
    <t>Hou, XC (通訊作者)， Univ British Columbia, Dept Radiol, 828 West 10th Ave,Rm 366, Vancouver, BC V5Z 1L8, Canada.</t>
  </si>
  <si>
    <t>xchou@mail.ubc.ca; wzhao910@phas.ubc.ca; Jean-Mathieu.Beauregard@chudequebec.ca; aceller@phas.ubc.ca</t>
  </si>
  <si>
    <t>Zhao, Wei/0000-0002-9311-2583; Beauregard, Jean-Mathieu/0000-0003-2123-145X</t>
  </si>
  <si>
    <t>The authors would like to thank Andrea Frezza for his comments and data transfer. This study was funded by Canadian Institutes of Health Research (CIHR) grant MOP-142233.</t>
  </si>
  <si>
    <t>10.1088/1361-6560/ab32a1</t>
  </si>
  <si>
    <t>WOS:000483095200004</t>
  </si>
  <si>
    <t>Li, M; Abbaszadeh, S</t>
  </si>
  <si>
    <t>Li, Mohan; Abbaszadeh, Shiva</t>
  </si>
  <si>
    <t>Depth-of-interaction study of a dual-readout detector based on TOFPET2 application-specific integrated circuit</t>
  </si>
  <si>
    <t>dual-ended readout; PET; depth-of-interaction; TOFPET2 ASIC</t>
  </si>
  <si>
    <t>PET DETECTOR; ENDED READOUT; PERFORMANCE; SCANNER; DESIGN; SYSTEM; PHOTODIODE; MM</t>
  </si>
  <si>
    <t>Depth-of-interaction (DOI) capability is important for achieving high spatial resolution and sensitivity in dedicated organ and small animal positron emission tomography (PET) scanners. The dual-ended readout is one of the common methods that can achieve good DOI resolution. The aim of this study is to evaluate a dual-ended readout detector based on silicon photomultiplier (SiPM) and TOFPET2 application-specific integrated circuit (ASIC). The detector is based on 4 x 4 lutetium-yttrium oxyorthosilicate (LYSO) units, each unit contained 6 x 6 LYSO crystals, and the crystal size was 1 x 1 x 20 min(3). The four lateral surfaces of LYSO crystals were mechanically ground to W14 (surface roughness 10-14 mu m), and the two ended surfaces were polished (surface roughness &lt;0.5 mu m). The reflector was Toray Lumirror E60, and the packing fraction of the LYSO block was 86.5%. Each LYSO unit was read out from both ends with two Hamamatsu S13361-3050AE-08 SiPM arrays. The analog output signals of SiPM were digitized by PETsys TOFPET2 ASIC and acquired by PETsys SiPM Readout System. The ASIC and SiPM were cooled by a fan and a Peltier element. To investigate the crystal resolvability, different light guide thicknesses including 0.8,1,1.2 and 2 min were tested. The light guide was made of optical glass (H-K9L-Foctek Photoincs), and the size and refractive index were 6.45 x 6.45 mm(2) and 1.53 (at 420 nm), respectively. To characterize the detector performance at different depths, another 1 x 25.8 x 20 mm 3 single LYSO slab was used. Data were acquired at 10 depths (1, 3, ... ,19 mm), and each depth had a 10 min acquisition time and about 40 thousand coincidence events. During the experiment, the SiPM temperature was controlled as 27.6 +/- 0.4 degrees C. The results showed that the 1.2 mm light guide offered the best crystal resolvability. The energy, coincidence time, and DOI resolution full-width at half-maximum of the detector were characterized as 15.66% +/- 0.66%, 602.98 +/- 10.58 ps, and 2.33 +/- 0.07 mm, respectively. The good DOI resolution indicates the potential of utilizing the detector for high-resolution PET applications.</t>
  </si>
  <si>
    <t>[Li, Mohan; Abbaszadeh, Shiva] Univ Illinois, Dept Nucl Plasma &amp; Radiol Engn, Urbana, IL 61801 USA</t>
  </si>
  <si>
    <t>Li, M (通訊作者)， Univ Illinois, Dept Nucl Plasma &amp; Radiol Engn, Urbana, IL 61801 USA.</t>
  </si>
  <si>
    <t>mohanli2@illinois.edu; sabbasza@illinois.edu</t>
  </si>
  <si>
    <t>Carle Foundation Hospital; University of Illinois; National Institute of Biomedical Imaging and Bioengineering of the National Institutes of Health [R01EB028091]; National Institute of Biomedical Imaging and Bioengineering [R01EB028091] Funding Source: NIH RePORTER</t>
  </si>
  <si>
    <t>Carle Foundation Hospital; University of Illinois; National Institute of Biomedical Imaging and Bioengineering of the National Institutes of Health(United States Department of Health &amp; Human ServicesNational Institutes of Health (NIH) - USANIH National Institute of Biomedical Imaging &amp; Bioengineering (NIBIB)); National Institute of Biomedical Imaging and Bioengineering(United States Department of Health &amp; Human ServicesNational Institutes of Health (NIH) - USANIH National Institute of Biomedical Imaging &amp; Bioengineering (NIBIB))</t>
  </si>
  <si>
    <t>The authors would also like to thank the Cancer Scholars for Translational and Applied Research Program (C*STAR) jointly funded by Carle Foundation Hospital and the University of Illinois. We also acknowledge support from the National Institute of Biomedical Imaging and Bioengineering of the National Institutes of Health under Award Number R01EB028091.</t>
  </si>
  <si>
    <t>10.1088/1361-6560/ab3866</t>
  </si>
  <si>
    <t>WOS:000484508700001</t>
  </si>
  <si>
    <t>Liu, YZ; Lei, Y; Wang, YN; Wang, TH; Ren, L; Lin, LY; McDonald, M; Curran, WJ; Liu, T; Zhou, J; Yang, XF</t>
  </si>
  <si>
    <t>Liu, Yingzi; Lei, Yang; Wang, Yinan; Wang, Tonghe; Ren, Lei; Lin, Liyong; McDonald, Mark; Curran, Walter J.; Liu, Tian; Zhou, Jun; Yang, Xiaofeng</t>
  </si>
  <si>
    <t>MRI-based treatment planning for proton radiotherapy: dosimetric validation of a deep learning-based liver synthetic CT generation method</t>
  </si>
  <si>
    <t>MRI-only treatment planning; proton therapy; machine learning</t>
  </si>
  <si>
    <t>GEOMETRIC DISTORTION; PSEUDO-CT; THERAPY; HEAD; FEASIBILITY; ACCURACY; BRAIN; IMAGE; NECK; UNCERTAINTIES</t>
  </si>
  <si>
    <t>Magnetic resonance imaging (MRI) has been widely used in combination with computed tomography (CT) radiation therapy because MRI improves the accuracy and reliability of target delineation due to its superior soft tissue contrast over CT. The MRI-only treatment process is currently an active field of research since it could eliminate systematic MR-CT co-registration errors, reduce medical cost, avoid diagnostic radiation exposure, and simplify clinical workflow. The purpose of this work is to validate the application of a deep learning-based method for abdominal synthetic CT (sCT) generation by image evaluation and dosimetric assessment in a commercial proton pencil beam treatment planning system (TPS). This study proposes to integrate dense block into a 3D cycle-consistent generative adversarial networks (cycle GAN) framework in an effort to effectively learn the nonlinear mapping between MRI and CT pairs. A cohort of 21 patients with co-registered CT and MR pairs were used to test the deep learning-based sCT image quality by leave-one-out cross validation. The CT image quality, dosimetric accuracy and the distal range fidelity were rigorously checked, using side-by-side comparison against the corresponding original CT images. The average mean absolute error (MAE) was 72.87 +/- 18.16 HU. The relative differences of the statistics of the PTV dose volume histogram (DVH) metrics between sCT and CT were generally less than 1%. Mean 3D gamma analysis passing rate of 1 mm/1%, 2 mm/2%, 3 mm/3% criteria with 10% dose threshold were 90.76% +/- 5.94%, 96.98% +/- 2.93% and 99.37% +/- 0.99%, respectively. The median, mean and standard deviation of absolute maximum range differences were 0.170 cm, 0.186 cm and 0.155 cm. The image similarity, dosimetric and distal range agreement between sCT and original CT suggests the feasibility of further development of an MRI-only workflow for liver proton radiotherapy.</t>
  </si>
  <si>
    <t>[Liu, Yingzi; Lei, Yang; Wang, Yinan; Wang, Tonghe; Lin, Liyong; McDonald, Mark; Curran, Walter J.; Liu, Tian; Zhou, Jun; Yang, Xiaofeng] Emory Univ, Dept Radiat Oncol, Atlanta, GA 30322 USA; [Liu, Yingzi; Lei, Yang; Wang, Yinan; Wang, Tonghe; Lin, Liyong; McDonald, Mark; Curran, Walter J.; Liu, Tian; Zhou, Jun; Yang, Xiaofeng] Emory Univ, Winship Canc Inst, Atlanta, GA 30322 USA; [Ren, Lei] Duke Univ, Dept Radiat Oncol, Durham, NC 27708 USA</t>
  </si>
  <si>
    <t>Emory University; Emory University; Duke University</t>
  </si>
  <si>
    <t>; Yang, Xiaofeng/G-9479-2012; Lin, Liyong/I-1195-2019; Wang, Tonghe/AAL-9431-2020; Lei, Yang/AAE-5089-2019</t>
  </si>
  <si>
    <t>Wang, Tonghe/0000-0001-9021-1204; Yang, Xiaofeng/0000-0001-9023-5855; Zhou, Jun/0000-0002-6078-9424; Lin, Liyong/0000-0002-0820-8063; Lei, Yang/0000-0002-3572-0345</t>
  </si>
  <si>
    <t>National Cancer Institute of the National Institutes of Health [R01CA215718, R01CA184173]; Emory Winship Cancer Institute pilot grant</t>
  </si>
  <si>
    <t>This research is supported in part by the National Cancer Institute of the National Institutes of Health under Award Number R01CA215718 (Yang) and R01CA184173 (Ren), and Emory Winship Cancer Institute pilot grant.</t>
  </si>
  <si>
    <t>10.1088/1361-6560/ab25bc</t>
  </si>
  <si>
    <t>WOS:000475775200008</t>
  </si>
  <si>
    <t>Ilovitsh, A; Fite, BZ; Ilovitsh, T; Ferrara, KW</t>
  </si>
  <si>
    <t>Ilovitsh, Asaf; Fite, Brett Z.; Ilovitsh, Tali; Ferrara, Katherine W.</t>
  </si>
  <si>
    <t>Acoustic radiation force imaging using a single-shot spiral readout</t>
  </si>
  <si>
    <t>MR-ARFI; MRgFUS; spiral; single-shot spiral</t>
  </si>
  <si>
    <t>FOCUSED ULTRASOUND TREATMENT; ECHO-PLANAR; THERMAL ABLATION; DISPLACEMENT; HIFU</t>
  </si>
  <si>
    <t>The purpose of this study is to develop and validate rapid magnetic resonance acoustic radiation force imaging (MR-ARFI) using a single shot spiral readout for focused ultrasound (FUS) guidance and for local tissue displacement measurements. A magnetic resonance guided FUS system was used to focus a 3 MHz ultrasound beam to a predetermined position. MR-ARFI was performed with a Bruker 7 T MRI using a modified single-shot spiral readout, with additional motion encoding gradients that convert local displacement into the phase image. Post processing was then used to analyze the resulting displacement and to evaluate the method's performance for the detection of tissue changes resulting from thermal ablation. The single-shot spiral readout acquires a single MR-ARFI image in one second, which is up to two orders of magnitude faster than conventional 2D spin-warp spin echo that acquires the k-space data line by line. The ARFI displacement in tissue mimicking phantoms was detected and localized with less than 5% geometric distortion. The ARFI displacement was also measured pre and post thermal ablation in an ex vivo chicken breast. For transmitted peak negative pressure of 8.6 MPa, the maximum displacement of the tissue that was ablated to 70 degrees C was 78% lower than the pre-ablated tissue. Since spiral readout is not prone to geometrical distortion, it is well-suited for FUS guidance, without generating undesired temperature elevation. Additionally, local displacement measurements of tissues can be performed rapidly during thermal ablation procedures and may help to assess the success of the treatment.</t>
  </si>
  <si>
    <t>[Ilovitsh, Asaf; Fite, Brett Z.; Ilovitsh, Tali; Ferrara, Katherine W.] Stanford Univ, Dept Radiol, Palo Alto, CA 94305 USA</t>
  </si>
  <si>
    <t>Ferrara, KW (通訊作者)， Stanford Univ, Dept Radiol, Palo Alto, CA 94305 USA.</t>
  </si>
  <si>
    <t>kwferrar@stanford.edu</t>
  </si>
  <si>
    <t>Ilovitsh, Tali/O-5946-2019; Ferrara, Kathy/ISR-8452-2023</t>
  </si>
  <si>
    <t>Ferrara, Katherine/0000-0002-4976-9107; Ilovitsh, Tali/0000-0001-6215-0299;</t>
  </si>
  <si>
    <t>National Institutes of Health [NIHR01CA112356, NIHR01CA199658, NIHR01CA211602, NIHR01CA210553, NIHR01CA134659, NIHR01CA227687, NIHR01EB026094]</t>
  </si>
  <si>
    <t>This work was supported by the National Institutes of Health (NIHR01CA112356, NIHR01CA199658, NIHR01CA211602, NIHR01CA210553, NIHR01CA134659, NIHR01CA227687, and NIHR01EB026094).</t>
  </si>
  <si>
    <t>10.1088/1361-6560/ab1e21</t>
  </si>
  <si>
    <t>WOS:000471166400004</t>
  </si>
  <si>
    <t>Keelan, J; Chung, EML; Hague, JP</t>
  </si>
  <si>
    <t>Keelan, Jonathan; Chung, Emma M. L.; Hague, James P.</t>
  </si>
  <si>
    <t>Development of a globally optimised model of the cerebral arteries</t>
  </si>
  <si>
    <t>cerebral vasculature; computer simulation; cardiovascular systems; mathematical models; optimisation; MRI</t>
  </si>
  <si>
    <t>MICROVASCULAR NETWORKS; BLOOD-FLOW; RECONSTRUCTION; SYSTEM</t>
  </si>
  <si>
    <t>The cerebral arteries are difficult to reproduce from first principles, featuring interwoven territories, and intricate layers of grey and white matter with differing metabolic demand. The aim of this study was to identify the ideal configuration of arteries required to sustain an entire brain hemisphere based on minimisation of the energy required to supply the tissue. The 3D distribution of grey and white matter within a healthy human brain was first segmented from magnetic resonance images. A novel simulated annealing algorithm was then applied to determine the optimal configuration of arteries required to supply brain tissue. The model was validated through comparison of this ideal, entirely optimised, brain vasculature with the structure and properties of real arteries. This analysis established that the human cerebral vasculature is highly optimised; closely resembling the most energy efficient arrangement of vessels. In addition to local adherence to fluid dynamical optimisation principles, the optimised vasculature reproduced expected brain perfusion territories, featuring well-defined boundaries between anterior, middle and posterior regions. This validated brain vascular model and algorithm can be used for patient-specific modelling of stroke and cerebral haemodynamics, identification of sub-optimal conditions associated with vascular disease, and optimising vascular structures for tissue engineering applications and artificial organ design.</t>
  </si>
  <si>
    <t>[Keelan, Jonathan; Hague, James P.] Open Univ, Sch Phys Sci, Milton Keynes MK7 6AA, Bucks, England; [Chung, Emma M. L.] Univ Leicester, Cerebral Haemodynam Ageing &amp; Stroke Med CHIASM Gr, Dept Cardiovasc Sci, Leicester LE1 7RH, Leics, England; [Chung, Emma M. L.] Univ Hosp Leicester NHS Trust, Leicester Royal Infirm, Med Phys, Leicester LE1 5WW, Leics, England</t>
  </si>
  <si>
    <t>Open University - UK; University of Leicester; University Hospitals of Leicester NHS Trust; University of Leicester</t>
  </si>
  <si>
    <t>Hague, JP (通訊作者)， Open Univ, Sch Phys Sci, Milton Keynes MK7 6AA, Bucks, England.</t>
  </si>
  <si>
    <t>Jim.Hague@open.ac.uk</t>
  </si>
  <si>
    <t>Hague, James/A-1569-2009</t>
  </si>
  <si>
    <t>Hague, James/0000-0002-5760-8696; Chung, Emma/0000-0003-3723-9085</t>
  </si>
  <si>
    <t>EPSRC [EP/P505046/1, EP/L025884/1]; Engineering and Physical Sciences Research Council [EP/L025884/1] Funding Source: researchfish; EPSRC [EP/L025884/1] Funding Source: UKRI</t>
  </si>
  <si>
    <t>EPSRC(UK Research &amp; Innovation (UKRI)Engineering &amp; Physical Sciences Research Council (EPSRC)); Engineering and Physical Sciences Research Council(UK Research &amp; Innovation (UKRI)Engineering &amp; Physical Sciences Research Council (EPSRC)); EPSRC(UK Research &amp; Innovation (UKRI)Engineering &amp; Physical Sciences Research Council (EPSRC))</t>
  </si>
  <si>
    <t>JK acknowledges support from EPSRC Grant EP/P505046/1. EC acknowledges support from EPSRC Grant EP/L025884/1. The authors declare no competing interests. The authors would also like to thank Mark Horsfield (Xinapse systems) for help with the MRI scans.</t>
  </si>
  <si>
    <t>10.1088/1361-6560/ab2479</t>
  </si>
  <si>
    <t>IJ5TY</t>
  </si>
  <si>
    <t>WOS:000475967000001</t>
  </si>
  <si>
    <t>Khirallah, J; Schmieley, R; Demirel, E; Rehman, TU; Howell, J; Durmaz, YY; Vlaisavljevich, E</t>
  </si>
  <si>
    <t>Khirallah, Jennifer; Schmieley, Rebecca; Demirel, Erhan; Rehman, Tanzeel Ur; Howell, Justin; Durmaz, Yasemin Yuksel; Vlaisavljevich, Eli</t>
  </si>
  <si>
    <t>Nanoparticle-mediated histotripsy (NMH) using perfluorohexane 'nanocones'</t>
  </si>
  <si>
    <t>histotripsy; nanoparticle-mediated histotripsy; ultrasound; cavitation; nanoparticle</t>
  </si>
  <si>
    <t>ACOUSTIC DROPLET VAPORIZATION; ULTRASOUND FREQUENCY; PERFLUOROCARBON DROPLETS; INTRINSIC THRESHOLD; TISSUE STIFFNESS; CAVITATION; ABLATION; PRESSURE; AGENT; TUMOR</t>
  </si>
  <si>
    <t>Nanoparticle-mediated histotripsy (NMH) is an ultrasound treatment strategy that combines acoustically sensitive nanoparticles with histotripsy. Previous NMH studies using perfluorocarbon (PFC) nanodroplets (ND's), similar to 200 nm in diameter, demonstrated that NMH can selectively generate cavitation by reducing the cavitation threshold from similar to 25-30 MPa to similar to 10-15 MPa. Recent studies have also shown that cavitation nucleation in NMH is directly caused by the incident negative pressure (p-) exposed to the PFC, as predicted by classical nucleation theory (CNT), suggesting that the NMH cavitation threshold is dependent on the total volume of PFC present in the focal region. In this study, we investigate the use of a newly developed NMH nanoparticle synthesized using an inclusion complex of methylated beta-cyclodextrin and perfluorohexane (PFH). These 'nanocones' (NCs) have advantages compared to previously used ND's due to their smaller size ( 50 nm), simple synthesis method, higher stability and information of definite PFH amount carried by the NC. To test the hypothesis that NCs can reduce the NMH cavitation threshold similar to ND's, and that the NMH cavitation threshold is dependent upon the total PFH concentration, tissue phantoms containing concentrations of NCs ranging from 10(-5) to 10(-10)) (ml PFH/ml water) were exposed to single cycle ultrasound pulses using a 500 kHz focused transducer where highspeed imaging captured cavitation data. Results showed that NCs significantly reduced the histotripsy cavitation threshold to 11.0 MPa for a concentration of 10(-5) (ml PFH/rnl water), with the threshold increasing at lower concentrations. Finally, the ability of NCs to be used for effective NMH ablation was demonstrated in tissue phantoms containing red blood cells (RBCs). Overall, the results of the study support our hypotheses that NCs can be used for effective NMH therapy and that NC concentration has a predictable threshold-reducing effect.</t>
  </si>
  <si>
    <t>[Khirallah, Jennifer; Schmieley, Rebecca; Howell, Justin; Vlaisavljevich, Eli] Virginia Polytech Inst &amp; State Univ, Dept Biomed Engn &amp; Mech, Blacksburg, VA 24061 USA; [Demirel, Erhan; Rehman, Tanzeel Ur; Durmaz, Yasemin Yuksel] Istanbul Medipol Univ, Dept Biomed Engn, Sch Engn, Istanbul, Turkey; [Demirel, Erhan; Rehman, Tanzeel Ur; Durmaz, Yasemin Yuksel] Istanbul Medipol Univ, Dept Biomed Engn, Sch Nat Sci, Istanbul, Turkey; [Durmaz, Yasemin Yuksel] Istanbul Medipol Univ, Regenerat &amp; Restorat Med Res Ctr REMER, Istanbul, Turkey</t>
  </si>
  <si>
    <t>Virginia Polytechnic Institute &amp; State University; Istanbul Medipol University; Istanbul Medipol University; Istanbul Medipol University</t>
  </si>
  <si>
    <t>Vlaisavljevich, E (通訊作者)， Virginia Polytech Inst &amp; State Univ, Dept Biomed Engn &amp; Mech, Blacksburg, VA 24061 USA.</t>
  </si>
  <si>
    <t>EilV@vt.edu</t>
  </si>
  <si>
    <t>Demirel, Erhan/JPL-3873-2023; Rehman, Tanzeel/AAK-4184-2020; Demirel, Erhan/K-2340-2015</t>
  </si>
  <si>
    <t>Khirallah, Jennifer/0000-0003-2691-2035; Vlaisavljevich, Eli/0000-0002-4097-6257; Demirel, Erhan/0000-0002-4634-3864</t>
  </si>
  <si>
    <t>Virginia Tech Department of Biomedical Engineering and Mechanics; Institute for Critical Technology and Applied Science; Center for Engineering Health; Scientific &amp; Technological Research Council of Turkey (TUBITAK) [118Z324]; Turkish Academy of Sciences (TUBA) through its Outstanding Young Scientist Award Program (TUBA-GEBIP)</t>
  </si>
  <si>
    <t>Virginia Tech Department of Biomedical Engineering and Mechanics; Institute for Critical Technology and Applied Science; Center for Engineering Health; Scientific &amp; Technological Research Council of Turkey (TUBITAK)(Turkiye Bilimsel ve Teknolojik Arastirma Kurumu (TUBITAK)); Turkish Academy of Sciences (TUBA) through its Outstanding Young Scientist Award Program (TUBA-GEBIP)</t>
  </si>
  <si>
    <t>The authors would like to thank the Virginia Tech Department of Biomedical Engineering and Mechanics, the Institute for Critical Technology and Applied Science, and the Center for Engineering Health for their support of this work. Dr Yuksel Durmaz would like to thank the Scientific &amp; Technological Research Council of Turkey (TUBITAK) for financial support of this work (Project No: 118Z324) and Turkish Academy of Sciences (TUBA) for the support through its Outstanding Young Scientist Award Program (TUBA-GEBIP). Disclosure notice: Dr Eli Vlaisavljevich has a consulting relationship with HistoSonics Inc.</t>
  </si>
  <si>
    <t>10.1088/1361-6560/ab207e</t>
  </si>
  <si>
    <t>WOS:000518929400008</t>
  </si>
  <si>
    <t>Ko, GB; Lee, JS</t>
  </si>
  <si>
    <t>Ko, Guen Bae; Lee, Jae Sung</t>
  </si>
  <si>
    <t>Time-based signal sampling using sawtooth-shaped threshold</t>
  </si>
  <si>
    <t>posit emission tomography; readout electronics; silicon photomultiplier; time-based readout; time-over-threshold</t>
  </si>
  <si>
    <t>POSITRON-EMISSION-TOMOGRAPHY; SILICON PHOTOMULTIPLIER PET; OF-FLIGHT; PERFORMANCE EVALUATION; DETECTOR; RESOLUTION; PET/MRI; READOUT; INSERT; SIPM</t>
  </si>
  <si>
    <t>Energy measurement of scintillation pulses by using time-over-threshold (TOT) has advantages of low readout cost, low power consumption, and less complexity compared with conventional analog-to-digital converter (ADC) approaches. Therefore, TOT is attractive in positron emission tomography' (PET) systems based on silicon photomultiplier (SiPM) arrays requiring many readout channels. However, poor energy resolution and linearity of TOT leads to degradation of the overall PET detector and system performance, which is unsuitable for high-performance PET systems. To overcome these limitations, we propose a novel time-based signal-sampling method, sawtooth threshold sampling (STS), for PET scintillation detectors. This method uses a sawtooth-shaped threshold signal generated adaptively to the input scintillation pulse. Based on the time difference between the rising and falling edges of the digital pulse train generated by comparing the input scintillation pulse to the sawtooth signal, we can estimate the input scintillation pulse amplitude at the several time points. We compared several curve-fitting and numerical integration methods for energy estimation from the STS samples. Coincidence data between two identical scintillation detectors composed of one-to-one coupled SiPM and LGSO crystal (3 x 3 x 20 mm(3)) was measured using the proposed STS circuit. For timing- and energy-resolution measurement, STS (10.5% +/- 0.21% and 200 +/- 5.8 ps) was superior than simple TOT (16.4% +/- 0.52% and 224 +/- 8.2 ps) and was similar to high-speed ADC (9.84% +/- 0.11% and 193 +/- 4.3 ps). In conclusion, the proposed method can be a cost-effective solution for data collection in future SiPM-based PET systems.</t>
  </si>
  <si>
    <t>[Ko, Guen Bae; Lee, Jae Sung] Brightonix Imaging Inc, Seoul 04782, South Korea; [Ko, Guen Bae; Lee, Jae Sung] Seoul Natl Univ, Inst Radiat Med, Med Res Ctr, Coll Med, Seoul 03080, South Korea; [Lee, Jae Sung] Seoul Natl Univ, Dept Nucl Med, Coll Med, Seoul 03080, South Korea; [Lee, Jae Sung] Seoul Natl Univ, Dept Biomed Sci, Coll Med, Seoul 03080, South Korea; [Lee, Jae Sung] Seoul Natl Univ, Interdisciplinary Program Radiat Appl Life Sci, Coll Med, Seoul 03080, South Korea</t>
  </si>
  <si>
    <t>Seoul National University (SNU); Seoul National University (SNU); Seoul National University (SNU); Seoul National University (SNU)</t>
  </si>
  <si>
    <t>Lee, JS (通訊作者)， Brightonix Imaging Inc, Seoul 04782, South Korea.;Lee, JS (通訊作者)， Seoul Natl Univ, Inst Radiat Med, Med Res Ctr, Coll Med, Seoul 03080, South Korea.;Lee, JS (通訊作者)， Seoul Natl Univ, Dept Nucl Med, Coll Med, Seoul 03080, South Korea.;Lee, JS (通訊作者)， Seoul Natl Univ, Dept Biomed Sci, Coll Med, Seoul 03080, South Korea.;Lee, JS (通訊作者)， Seoul Natl Univ, Interdisciplinary Program Radiat Appl Life Sci, Coll Med, Seoul 03080, South Korea.</t>
  </si>
  <si>
    <t>Ko, Guen/AAV-4039-2020; Lee, Jae/J-2781-2012</t>
  </si>
  <si>
    <t>Ko, Guen Bae/0000-0002-2532-1535;</t>
  </si>
  <si>
    <t>Basic Science Research Program through the National Research Foundation of Korea (NRF) - Ministry of Education [NRF-2018R1D1A1B07045559]; Ministry of Science and ICT [NRF-2016R1A2B3014645]</t>
  </si>
  <si>
    <t>Basic Science Research Program through the National Research Foundation of Korea (NRF) - Ministry of Education(National Research Foundation of KoreaMinistry of Education (MOE), Republic of KoreaNational Research Council for Economics, Humanities &amp; Social Sciences, Republic of Korea); Ministry of Science and ICT(Ministry of Science, ICT &amp; Future Planning, Republic of Korea)</t>
  </si>
  <si>
    <t>The authors thank Claudio Piemonte and Alessandro Ferri from FBK for the SiPM samples used in this work. This research was supported by Basic Science Research Program through the National Research Foundation of Korea (NRF) funded by the Ministry of Education (NRF-2018R1D1A1B07045559) and Ministry of Science and ICT (NRF-2016R1A2B3014645).</t>
  </si>
  <si>
    <t>10.1088/1361-6560/ab1f23</t>
  </si>
  <si>
    <t>WOS:000518929400010</t>
  </si>
  <si>
    <t>de Prez, L; Woodings, S; de Pooter, J; van Asselen, B; Wolthaus, J; Jansen, B; Raaymakers, B</t>
  </si>
  <si>
    <t>de Prez, Leon; Woodings, Simon; de Pooter, Jacco; van Asselen, Bram; Wolthaus, Jochem; Jansen, Bartel; Raaymakers, Bas</t>
  </si>
  <si>
    <t>Direct measurement of ion chamber correction factors, kQ and kB, in a 7 MV MRI-linac</t>
  </si>
  <si>
    <t>absorbed dose; magnetic field; k(Q); k(B); MRgRT</t>
  </si>
  <si>
    <t>MAGNETIC-FIELD CORRECTION; HIGH-ENERGY PHOTON; IONIZATION-CHAMBER; REFERENCE DOSIMETRY; MONTE-CARLO; ACCELERATOR; SYSTEMS</t>
  </si>
  <si>
    <t>The output of MRI-integrated photon therapy (MRgXT) devices is measured in terms of absorbed dose to water, D-w. Traditionally this is done with reference type ion chambers calibrated in a beam quality Q(0) without magnetic field. To correct the ion chamber response for the application in the magnetic field, a factor needs to be applied that corrects for both beam quality Q and the presence of the magnetic field B, k(Q,B). This can be expressed as the product of k(Q), without magnetic field, and ion chamber magnetic field correction, k(B).k(B) depends on the magnetic field strength and its direction, the direction of the beam and the orientation and type of the ion chamber. In this study, for the first time, both k(Q) and k(B) were measured directly for six waterproof ion chambers (3 x PTW 30013 and 3 x IBA FC65-G) in a pre-clinical 7 MV MRI-linac at 0 T and at 1.5 T. Measurements were done with the only available primary standard built for this purpose, a water calorimeter. Resulting k(Q) factors for PTW and IBA chambers were 0.985(5) and 0.990(4), respectively. k(B) factors were measured with the chambers in antiparallel direction to the magnetic field (parallel to 180 degrees), and perpendicular direction (perpendicular to -90 degrees). k(B parallel to) and k(B perpendicular to) for the PTW chambers were 0.985(6) and 0.963(4), respectively and for IBA chambers 0.995(4) and 0.956(4). Agreement with the available literature values was shown, partly caused by the relatively large standard deviation (SD) in those values. The values in this study are currently the only available measured values for k(Q )and k(B) in an MRI-linac that are directly linked to the international traceability framework for the quantity absorbed dose to water, D-w.</t>
  </si>
  <si>
    <t>[de Prez, Leon; de Pooter, Jacco; Jansen, Bartel] VSL Dutch Metrol Inst, Delft, Netherlands; [de Prez, Leon; Woodings, Simon; van Asselen, Bram; Wolthaus, Jochem; Raaymakers, Bas] Univ Med Ctr Utrecht, Dept Radiotherapy, Utrecht, Netherlands</t>
  </si>
  <si>
    <t>; van Asselen, Bram/Q-4774-2019; de Pooter, Jacco/N-2536-2015; de Prez, Leon/ABC-5631-2021</t>
  </si>
  <si>
    <t>de Prez, Leon/0000-0002-7470-4356; de Pooter, Jacco/0000-0002-7542-257X;</t>
  </si>
  <si>
    <t>This project has received funding from the EMPIR programme, grant 15HLT08 'Metrology for MR guided Radiotherapy', co-financed by the Participating States and from the European Union's Horizon 2020 research and innovation programme.</t>
  </si>
  <si>
    <t>10.1088/1361-6560/ab1511</t>
  </si>
  <si>
    <t>WOS:000468634900005</t>
  </si>
  <si>
    <t>Meier, JG; Einstein, SA; Diab, RH; Erasmus, LJ; Xu, GF; Mawlawi, OR</t>
  </si>
  <si>
    <t>Meier, Joseph G.; Einstein, Samuel A.; Diab, Radwan H.; Erasmus, Lauren J.; Xu, Guofang; Mawlawi, Osama R.</t>
  </si>
  <si>
    <t>Impact of free-breathing CT on quantitative measurements of static and quiescent period-gated PET Images</t>
  </si>
  <si>
    <t>positron emission tomography computed tomography; respiratory motion correction; quiescent period gating; attenuation correction; SUV quantification uncertainty</t>
  </si>
  <si>
    <t>RESPIRATORY MOTION CORRECTION; POSITRON-EMISSION-TOMOGRAPHY; SPATIAL ALIGNMENT</t>
  </si>
  <si>
    <t>Measurements of standardized uptake values (SUV) can vary due to many causes, including respiratory motion. Various methodologies have been introduced to correct for motion in PET, with quiescent-period-gated (QPG) PET being the most popular approach. QPG has been shown to improve PET image quantification compared to static-whole-body (SWB) PET. However, to achieve this improvement, QPG PET requires CT attenuation correction data that matches the QPG PET data. In this paper we investigated the effect of using free-breathing CT for attenuation correction of QPG PET on SUVmax and SUVpeak and compared the results to those of SWB PET. 34 lesions in 27 patients were included. All patients were injected with F-18 FDG. 4D-CT datasets representing all possible phases of respiration that could result from a free-breathing CT were acquired. The 4D-CT datasets were used for attenuation correction of the QPG and SWB PET data. Percentage change in the SUVmax and SUVpeak range was calculated for the reconstructions and compared between QPG and SWB PET. The mean percentage change in the lesion SUVmax and SUVpeak ranges were 19.1% (p = 0.0178) and 25.2% (p = 0.0002) higher for QPG compared to SWB, respectively. The maximum percent change in SUVmax and SUVpeak ranges were 58.5% and 59.0% for QPG, respectively compared to 46.1% and 45.3% for SWB, respectively. The highest SUVmax and SUVpeak measurements corresponded to the CT phase that matched the QPG phase. Utilizing free-breathing CT for attenuation correction can lead to large changes in quantification due to misalignment with PET data. This misalignment has a large quantitative impact on QPG PET as compared to SWB PET. When interpreting quantitative changes in lesions, it is critical to consider the influences of free-breathing CT-based attenuation correction.</t>
  </si>
  <si>
    <t>[Meier, Joseph G.; Einstein, Samuel A.; Erasmus, Lauren J.; Mawlawi, Osama R.] Univ Texas MD Anderson Canc Ctr, Dept Imaging Phys, 1515 Holcombe Blvd, Houston, TX 77030 USA; [Meier, Joseph G.; Mawlawi, Osama R.] Univ Texas MD Anderson Canc Ctr, UTHlth Sci Ctr, Houston Grad Sch Biomed Sci, 6767 Bertner Ave, Houston, TX 77030 USA; [Diab, Radwan H.] Amer Univ Beirut, Fac Med, Beirut, Lebanon; [Xu, Guofang] Univ Texas MD Anderson Canc Ctr, Dept Nucl Med, 1515 Holcombe Blvd, Houston, TX 77030 USA</t>
  </si>
  <si>
    <t>University of Texas System; UTMD Anderson Cancer Center; University of Texas System; UTMD Anderson Cancer Center; American University of Beirut; University of Texas System; UTMD Anderson Cancer Center</t>
  </si>
  <si>
    <t>Mawlawi, OR (通訊作者)， Univ Texas MD Anderson Canc Ctr, Dept Imaging Phys, 1515 Holcombe Blvd, Houston, TX 77030 USA.;Mawlawi, OR (通訊作者)， Univ Texas MD Anderson Canc Ctr, UTHlth Sci Ctr, Houston Grad Sch Biomed Sci, 6767 Bertner Ave, Houston, TX 77030 USA.</t>
  </si>
  <si>
    <t>JGMeier@mdanderson.org; SAEinstein@mdanderson.org; diab.93@gmail.com; erasmuslauren@gmail.com; gxu2@mdanderson.org; OMawlawi@mdanderson.org</t>
  </si>
  <si>
    <t>; Einstein, Samuel/JYO-7306-2024; Xu, Guofang/L-2670-2016</t>
  </si>
  <si>
    <t>Meier, Joseph/0000-0001-6794-9200;</t>
  </si>
  <si>
    <t>10.1088/1361-6560/ab1cdd</t>
  </si>
  <si>
    <t>WOS:000468283000001</t>
  </si>
  <si>
    <t>Parisi, A; Chiriotti, S; De Saint-Hubert, M; Van Hoey, O; Vandevoorde, C; Beukes, P; de Kock, EA; Symons, J; Camero, JN; Slabbert, J; Mégret, P; Debrot, E; Bolst, D; Rosenfeld, A; Vanhavere, F</t>
  </si>
  <si>
    <t>Parisi, Alessio; Chiriotti, Sabina; De Saint-Hubert, Marijke; Van Hoey, Olivier; Vandevoorde, Chariot; Beukes, Philip; de Kock, Evan Alexander; Symons, Julyan; Camero, Jaime Nieto; Slabbert, Jacobus; Megret, Patrice; Debrot, Emily; Bolst, David; Rosenfeld, Anatoly; Vanhavere, Filip</t>
  </si>
  <si>
    <t>A novel methodology to assess linear energy transfer and relative biological effectiveness in proton therapy using pairs of differently doped thermoluminescent detectors</t>
  </si>
  <si>
    <t>proton therapy; RBE; LET; microdosimetry; thermoluminescent detectors; PHITS; GEANT4</t>
  </si>
  <si>
    <t>MICRODOSIMETRIC-KINETIC-MODEL; SOLID-STATE MICRODOSIMETRY; EFFECTIVENESS RBE VALUES; NUCLEAR TRACK DETECTORS; TRANSPORT CODE SYSTEM; CELL-SURVIVAL; SILICON TELESCOPE; TL DETECTORS; CARBON-IONS; RADIATION</t>
  </si>
  <si>
    <t>A new methodology for assessing linear energy transfer (LET) and relative biological effectiveness (RBE) in proton therapy beams using thermoluminescent detectors is presented. The method is based on the different LET response of two different lithium fluoride thermoluminescent detectors (LiF:Mg,Ti and LiF:Mg,Cu,P) for measuring charged particles. The relative efficiency of the two detector types was predicted using the recently developed Microdosimetric d(z) Model in combination with the Monte Carlo code PHITS. Afterwards, the calculated ratio of the expected response of the two detector types was correlated with the fluence- and dose- mean values of the unrestricted proton LET. Using the obtained proton dose mean LET as input, the RBE was assessed using a phenomenological biophysical model of cell survival. The aforementioned methodology was benchmarked by exposing the detectors at different depths within the spread out Bragg peak (SOBP) of a clinical proton beam at iThemba LABS. The assessed LET values were found to be in good agreement with the results of radiation transport computer simulations performed using the Monte Carlo code GEANT4. Furthermore, the estimated RBE values were compared with the RBE values experimentally determined by performing colony survival measurements with Chinese Hamster Ovary (CHO) cells during the same experimental run. A very good agreement was found between the results of the proposed methodology and the results of the in vitro study.</t>
  </si>
  <si>
    <t>[Parisi, Alessio; Chiriotti, Sabina; De Saint-Hubert, Marijke; Van Hoey, Olivier; Vanhavere, Filip] Belgian Nucl Res Ctr SCK CEN, Mol, Belgium; [Parisi, Alessio; Megret, Patrice] Univ Mons, Fac Engn, Mons, Belgium; [Vandevoorde, Chariot; Beukes, Philip; de Kock, Evan Alexander; Symons, Julyan; Camero, Jaime Nieto; Slabbert, Jacobus] iThemba LABS, Cape Town, South Africa; [Debrot, Emily; Bolst, David; Rosenfeld, Anatoly] Univ Wollongong, Ctr Med Radiat Phys, Wollongong, NSW, Australia</t>
  </si>
  <si>
    <t>Belgian Nuclear Research Centre (SCK CEN); University of Mons; National Research Foundation - South Africa; iThemba LABS; University of Wollongong</t>
  </si>
  <si>
    <t>Parisi, A (通訊作者)， Belgian Nucl Res Ctr SCK CEN, Mol, Belgium.;Parisi, A (通訊作者)， Univ Mons, Fac Engn, Mons, Belgium.</t>
  </si>
  <si>
    <t>alessio.parisi@sckcen.be</t>
  </si>
  <si>
    <t>; Rosenfeld, Anatoly/D-1989-2014</t>
  </si>
  <si>
    <t>Parisi, Alessio/0000-0002-9323-8012; Rosenfeld, Anatoly/0000-0001-5116-6308; De Saint-Hubert, Marijke/0000-0003-2374-3280; Vandevoorde, Charlot/0000-0003-2365-9417; Bolst, David/0000-0002-0257-1267; Debrot, Emily/0000-0003-3778-725X; Vanhavere, Filip/0000-0003-3813-0858; Van Hoey, Olivier/0000-0002-6649-2138; MEGRET, Patrice/0000-0001-5154-9384</t>
  </si>
  <si>
    <t>10.1088/1361-6560/aaff20</t>
  </si>
  <si>
    <t>WOS:000518923400005</t>
  </si>
  <si>
    <t>Gundacker, S; Turtos, RM; Auffray, E; Paganoni, M; Lecoq, P</t>
  </si>
  <si>
    <t>Gundacker, Stefan; Turtos, Rosana Martinez; Auffray, Etiennette; Paganoni, Marco; Lecoq, Paul</t>
  </si>
  <si>
    <t>High-frequency SiPM readout advances measured coincidence time resolution limits in TOF-PET</t>
  </si>
  <si>
    <t>high-frequency electronics; TOF-PET; LSO:Ce codoped with Ca; fast timing; coincidence time resolution; single photon time resolution; Cherenkov emission in scintillators</t>
  </si>
  <si>
    <t>TIMING RESOLUTION; SCINTILLATORS; DETECTOR; RISE; RAY</t>
  </si>
  <si>
    <t>Scintillator based radiation detectors readout by SiPMs successively break records in their reached time resolution. Nevertheless, new challenges in time of flight positron emission tomography (TOF-PET) and high energy physics are setting unmatched goals in the 10 ps range. Recently it was shown that high frequency (HF) readout of SiPMs significantly improves the measured single photon time resolution (SPTR), allowing to evaluate the intrinsic performance of large area devices; e.g. FBK NUV-HD SiPMs of 4 x 4 mm(2) area and 40 mu m single photon avalanche diode (SPAD) size achieve 90 ps FWHM. In TOF-PET such readout allows to lower the leading edge detection threshold, so that the fastest photons produced in the crystal can be utilized. This is of utmost importance if a high SPTR and prompt Cherenkov light generated by the hot-recoil electron upon 511 keV photo-absorption should improve timing. This paper shows that high-frequency bipolar transistor readout of state-of-the-art SiPMs coupled to high-performance scintillators can substantially improve the best achievable coincidence time resolution (CTR) in TOF-PET. In this context a CTR of 158 +/- 3 ps FWHM with 2 x 2 x 3 mm(3) BGO crystals coupled to FBK SiPMs is achieved. This faint Cherenkov signal is as well present in standard LSO scintillators, which together with low SPTR values (&lt;90 ps FWHM) improves the CTR of 2 x 2 x 3 mm(3) LSO:Ce:Ca coupled to FBK NUV HD 4 x 4 mm(2) with 25 mu m SPAD size to 61 +/- 2 ps FWHM using HF-electronics, as compared to 73 +/- 2 ps when readout by the NINO front-end ASIC. When coupling the LSO:Ce:Ca crystals to FBK NUV-HD SiPMs of 4 x 4 mm(2) and 40 mu m SPAD size, using HF-electronics, a CTR of even 58 +/- 3 ps for 2 x 2 x 3 mm(3) and 98 +/- 3 ps for 2 x 2 x 20 mm(3) is achieved. This new experimental data will allow to further discuss the timing limits in scintillator-based detectors.</t>
  </si>
  <si>
    <t>[Gundacker, Stefan; Paganoni, Marco] UniMIB, Piazza Ateneo Nuovo 1, I-20126 Milan, Italy; [Gundacker, Stefan; Turtos, Rosana Martinez; Auffray, Etiennette; Lecoq, Paul] CERN, CH-1211 Geneva 23, Switzerland</t>
  </si>
  <si>
    <t>University of Milano-Bicocca; European Organization for Nuclear Research (CERN)</t>
  </si>
  <si>
    <t>Gundacker, S (通訊作者)， UniMIB, Piazza Ateneo Nuovo 1, I-20126 Milan, Italy.;Gundacker, S (通訊作者)， CERN, CH-1211 Geneva 23, Switzerland.</t>
  </si>
  <si>
    <t>stefan.gundacker@cern.ch</t>
  </si>
  <si>
    <t>Gundacker, Stefan/FBD-4491-2022; LECOQ, Paul/S-7246-2019; Paganoni, Marco/A-4235-2016; TURTOS, ROSANA/AAR-2752-2020</t>
  </si>
  <si>
    <t>MARTINEZ TURTOS, ROSANA/0000-0002-1077-4849; Paganoni, Marco/0000-0003-2461-275X; Gundacker, Stefan/0000-0003-2087-3266;</t>
  </si>
  <si>
    <t>COST Action [TD1401]; TICAL ERC advanced grant [338953]</t>
  </si>
  <si>
    <t>COST Action(European Cooperation in Science and Technology (COST)); TICAL ERC advanced grant</t>
  </si>
  <si>
    <t>This work has been performed in the framework of the Crystal Clear Collaboration, COST Action TD1401(FAST) and the TICAL ERC advanced grant #338953. The authors would like to express their highest gratitude to Joshua William Cates and Pierre Jarron for the many interesting and fruitful discussions. Further we want to thank Claudio Piemonte, Alberto Gola and the whole FBK team for kindly providing the SiPM samples used in this study.</t>
  </si>
  <si>
    <t>10.1088/1361-6560/aafd52</t>
  </si>
  <si>
    <t>WOS:000459987300002</t>
  </si>
  <si>
    <t>Zhuang, YD; Li, YH; Zhu, JH; Chen, LX; Liu, XW</t>
  </si>
  <si>
    <t>Zhuang, Yongdong; Li, Yinghui; Zhu, Jinhan; Chen, Lixin; Liu, Xiaowei</t>
  </si>
  <si>
    <t>A trial for EBT3 film without batch-specific calibration using a neural network</t>
  </si>
  <si>
    <t>trial; ANN method; EBT3 film</t>
  </si>
  <si>
    <t>RADIOCHROMIC FILM; DOSIMETRY; PREDICTION; SCANNERS</t>
  </si>
  <si>
    <t>This note reports a trial to establish an ANN (artificial neural network) method applying to EBT3 films of different batches without batch-specific calibration. Based on Pytorch (Facebook, https:// pytorch.org/), a feed-forward ANN model was built to convert the pixel values of scanned images from different batches into absorbed dose. Films from different batches exposed to x-ray doses were digitized in transmission mode on an Epson 11000XL scanner for training and testing. The calculated dose map of TPS (radiation therapy planning system) was used as a label (the desired output) for the ANN model. To verify the performance and generalization of the ANN method, a cross-validation experiment was performed. Using the trained ANN method, the scanned images were converted into absorbed dose maps, and the converted dose maps have good agreement with the calculated dose maps from TPS. For films irradiated via the sliding window mode, the MSEs (mean square errors) of the trained batches were less than 16.0 cGy and the MSEs of the tested batches were less than 18.0 cGy. For patient intensity-modulated radiotherapy (IMRT) films, the gamma(3%, 3 mm) between the dose maps obtained from the trained films and TPS exceeded 97.5%. The gamma(3%, 3 mm) between most of the dose maps obtained from the tested films and TPS exceeded 97.0%. This shows that it is feasible to establish a method for EBT3 films from certain batches to convert pixel values into an absorbed dose without batch-specific calibration, and the method can be applied to other cases.</t>
  </si>
  <si>
    <t>[Zhuang, Yongdong; Li, Yinghui; Liu, Xiaowei] Sun Yat Sen Univ, Sch Phys, Guangzhou 510275, Guangdong, Peoples R China; [Zhu, Jinhan; Chen, Lixin] Sun Yat Sen Univ, State Key Lab Oncol South China, Canc Ctr, Guangzhou 510060, Guangdong, Peoples R China; [Li, Yinghui] Sun Yat Sen Univ, Affiliated FoShan Hosp, Peoples Hosp FoShan 1, Phys Dept,Radiotherapy Dept, Foshan, Guangdong, Peoples R China</t>
  </si>
  <si>
    <t>Sun Yat Sen University; Sun Yat Sen University; State Key Lab Oncology South China; Sun Yat Sen University</t>
  </si>
  <si>
    <t>Liu, XW (通訊作者)， Sun Yat Sen Univ, Sch Phys, Guangzhou 510275, Guangdong, Peoples R China.</t>
  </si>
  <si>
    <t>Li, Yinghui/GSN-8007-2022</t>
  </si>
  <si>
    <t>Natural Science Foundation of Guangdong Province [2016A030313276]; Guangzhou Science and Technology Program [201607010168]</t>
  </si>
  <si>
    <t>Natural Science Foundation of Guangdong Province(National Natural Science Foundation of Guangdong Province); Guangzhou Science and Technology Program</t>
  </si>
  <si>
    <t>This work is supported by Natural Science Foundation of Guangdong Province (2016A030313276) and Guangzhou Science and Technology Program (201607010168).</t>
  </si>
  <si>
    <t>05NTO1</t>
  </si>
  <si>
    <t>10.1088/1361-6560/aafcbb</t>
  </si>
  <si>
    <t>HN2AI</t>
  </si>
  <si>
    <t>WOS:000459987700001</t>
  </si>
  <si>
    <t>Etxebeste, A; Barrio, J; Bernabéu, J; Lacasta, C; Llosá, G; Muñoz, E; Ros, A; Oliver, JF</t>
  </si>
  <si>
    <t>Etxebeste, Ane; Barrio, John; Bernabeu, Jose; Lacasta, Carlos; Llosa, Gabriela; Munoz, Enrique; Ros, Ana; Oliver, Josef F.</t>
  </si>
  <si>
    <t>Study of sensitivity and resolution for full ring PET prototypes based on continuous crystals and analytical modeling of the light distribution</t>
  </si>
  <si>
    <t>continuous crystals; NEMA NU 4-2008; positron emission tomography (PET); Monte Carlo simulations; image reconstruction; depth of interaction</t>
  </si>
  <si>
    <t>SMALL-ANIMAL PET; DETECTOR HEAD; LYSO CRYSTALS; DEPTH; PERFORMANCE; POSITION; LSO; SIMULATION; DESIGN</t>
  </si>
  <si>
    <t>Sensitivity and spatial resolution are the main parameters to maximize in the performance of a PET scanner. For this purpose, detectors consisting of a combination of continuous crystals optically coupled to segmented photodetectors have been employed. With the use of continuous crystals the sensitivity is increased with respect to the pixelated crystals. In addition, spatial resolution is no longer limited to the crystal size. The main drawback is the difficulty in determining the interaction position. In this work, we present the characterization of the performance of a full ring based on cuboid continuous crystals coupled to SiPMs. To this end, we have employed the simulations developed in a previous work for our experimental detector head. Sensitivity could be further enhanced by using tapered crystals. This enhancement is obtained by increasing the solid angle coverage, reducing the wedge-shaped gaps between contiguous detectors. The performance of the scanners based on both crystal geometries was characterized following NEMA NU 4-2008 standardized protocol in order to compare them. An average sensitivity gain over the entire axial field of view of 13.63% has been obtained with tapered geometry while similar performance of the spatial resolution has been proven with both scanners. The activity at which NECR and true peak occur is smaller and the peak value is greater for tapered crystals than for cuboid crystals. Moreover, a higher degree of homogeneity was obtained in the sensitivity map due to the tighter packing of the crystals, which reduces the gaps and results in a better recovery of homogeneous regions than for the cuboid configuration. Some of the results obtained, such as spatial resolution, depend on the interaction position estimation and may vary if other method is employed.</t>
  </si>
  <si>
    <t>[Etxebeste, Ane; Barrio, John; Bernabeu, Jose; Lacasta, Carlos; Llosa, Gabriela; Munoz, Enrique; Ros, Ana; Oliver, Josef F.] Univ Valencia, CSIC, Inst Fis Corpuscular, Valencia, Spain; [Etxebeste, Ane] Univ Lyon 1, Univ Lyon, CREATIS, CNRS UMR5220,Insenrn U1044,INSA Lyon, Villeurbanne, France; [Barrio, John] Univ Politecn Valencia, CSIC, Inst Instrumentac Imagen Mol, Valencia, Spain</t>
  </si>
  <si>
    <t>Consejo Superior de Investigaciones Cientificas (CSIC); CSIC - Instituto de Fisica Corpuscular (IFIC); University of Valencia; Institut National de la Sante et de la Recherche Medicale (Inserm); Institut National des Sciences Appliquees de Lyon - INSA Lyon; Universite Claude Bernard Lyon 1; Centre National de la Recherche Scientifique (CNRS); CNRS - Institute for Engineering &amp; Systems Sciences (INSIS); Consejo Superior de Investigaciones Cientificas (CSIC); Universitat Politecnica de Valencia; CSIC-UPV-CIEMAT - Instituto de Instrumentacion para Imagen Molecular (I3M)</t>
  </si>
  <si>
    <t>Etxebeste, A (通訊作者)， Univ Valencia, CSIC, Inst Fis Corpuscular, Valencia, Spain.;Etxebeste, A (通訊作者)， Univ Lyon 1, Univ Lyon, CREATIS, CNRS UMR5220,Insenrn U1044,INSA Lyon, Villeurbanne, France.</t>
  </si>
  <si>
    <t>ane.etxebeste@ific.uv.es</t>
  </si>
  <si>
    <t>Llosá, Gabriela/F-7791-2014; Etxebeste, Ane/AAJ-3630-2020; Lacasta, Carlos/C-7254-2008; Ros Garcia, Ana/K-5812-2014; Ros García, Ana/K-5812-2014; Llosa, Gabriela/F-7791-2014; Oliver, Josep/I-4830-2012</t>
  </si>
  <si>
    <t>BERNABEU, JOSE/0000-0003-3677-1328; Lacasta, Carlos/0000-0002-2623-6252; Barrio, John/0000-0001-5181-2146; Ros Garcia, Ana/0000-0003-3464-1765; Llosa, Gabriela/0000-0002-0364-8158; Munoz, Enrique/0000-0002-1698-6156; Etxebeste, Ane/0000-0001-6280-9268</t>
  </si>
  <si>
    <t>Spanish Ministerio de Economia y Competitividad [FPA2014-53599-R]; Spanish Ministerio de Economia y Competitividad (IFIC's Center of Excellence Severo Ochoa) [SEV-2014-0398]; Generalitat Valenciana [GV/2013/133]; Ramon y Cajal contract; Generalitat Valenciana contract; UVEG Atraccio de Talent contract</t>
  </si>
  <si>
    <t>Spanish Ministerio de Economia y Competitividad(Spanish Government); Spanish Ministerio de Economia y Competitividad (IFIC's Center of Excellence Severo Ochoa); Generalitat Valenciana(Center for Forestry Research &amp; Experimentation (CIEF)); Ramon y Cajal contract(Spanish Government); Generalitat Valenciana contract; UVEG Atraccio de Talent contract</t>
  </si>
  <si>
    <t>This work was supported in part by the Spanish Ministerio de Economia y Competitividad (FPA2014-53599-R and IFIC's Center of Excellence Severo Ochoa SEV-2014-0398), and by the Generalitat Valenciana (GV/2013/133). Group members are supported by Ramon y Cajal, UVEG Atraccio de Talent and Generalitat Valenciana contracts.</t>
  </si>
  <si>
    <t>10.1088/1361-6560/aaf7ba</t>
  </si>
  <si>
    <t>WOS:000457182500004</t>
  </si>
  <si>
    <t>Gao, Y; Wang, PY; Qian, MZ; Zhao, J; Xu, HZ; Zhang, XT</t>
  </si>
  <si>
    <t>Gao, Yang; Wang, Pinyi; Qian, Meizhen; Zhao, Jie; Xu, Hangzhe; Zhang, Xiaotong</t>
  </si>
  <si>
    <t>A surface loop array for in vivo small animal MRI/fMRI on 7T human scanners</t>
  </si>
  <si>
    <t>MRI; 7T; RF coil; small animal imaging; SE-EPI; Reduced-FOV</t>
  </si>
  <si>
    <t>HIGH-RESOLUTION FMRI; OCULAR DOMINANCE COLUMNS; ORIENTATION COLUMNS; FUNCTIONAL MRI; RECEIVE ARRAY; MACAQUE MRI; HUMAN BRAIN; COIL; MONKEYS; ACTIVATION</t>
  </si>
  <si>
    <t>Small animals such as non-human primate (NHP) and rodent are valuable models in frontier neuroscience researches, and comparative research between the animal model and human is helpful to understand and reveal the functional brain circuits in cognition and underlying mechanism in psychological disease. Small animals can be trained or anesthetized to endure long-term and multiple imaging scans; however, the concomitant needs in subcortical structure and function investigations pose major challenges in, e.g. spatial resolution, scan time efficiency, spatial/temporal signal-tonoise-ratio, as well as apparatus mechanical fixation. In addition, comparative investigations across species are also expected to be conducted under similar physical environment (such as the main magnetic field strength, RF pulse shape, sequence protocols, gradient waveform, system stability, etc in MRI), in order to avoid possible deviation in signal detection under different platforms, as well as to reduce experiment complexity. We have proposed a novel 5-channel surface coil that is equipped on 7T human MRI scanners and designed for small animal structural and functional MRI. Through a series of in vivo experiments over an anesthetized rat and macaque, the presented coil shows its main characteristics in, i.e. flexible coil mounting, reduced FOV, high temporal SNR, and parallel imaging capability. Such design is able to compensate the relatively lower gradient slew rate of human scanners versus those with smaller bores, and thus effectively facilitates in vivo microscopic structural MR images being obtained within a shortened and safe period of anesthesia; besides, it also enables high-resolution functional MRI (i.e. spin-echo based) being achieved with reasonable temporal resolution, distortion level and functional contrast.</t>
  </si>
  <si>
    <t>[Gao, Yang; Wang, Pinyi; Qian, Meizhen; Zhao, Jie; Zhang, Xiaotong] Zhejiang Univ, Coll Biomed Engn &amp; Instrument Sci, Qiushi Acad Adv Studies, Minist Educ,Key Lab Biomed Engn,Interdisciplinary, Hangzhou, Zhejiang, Peoples R China; [Qian, Meizhen] Zhejiang Univ, Sch Med, Hangzhou, Zhejiang, Peoples R China; [Xu, Hangzhe] Zhejiang Univ, Sch Med, Affiliated Hosp 2, Dept Neurosurg, Hangzhou, Zhejiang, Peoples R China</t>
  </si>
  <si>
    <t>Zhejiang University; Zhejiang University; Zhejiang University</t>
  </si>
  <si>
    <t>Zhang, XT (通訊作者)， Zhejiang Univ, Coll Biomed Engn &amp; Instrument Sci, Qiushi Acad Adv Studies, Minist Educ,Key Lab Biomed Engn,Interdisciplinary, Hangzhou, Zhejiang, Peoples R China.</t>
  </si>
  <si>
    <t>zhangxiaotong@zju.edu.cn</t>
  </si>
  <si>
    <t>Xu, Hangzhe/ISR-9750-2023; Gao, Yang/KHT-5571-2024</t>
  </si>
  <si>
    <t>Gao, Yang/0000-0001-8915-5065;</t>
  </si>
  <si>
    <t>National Natural Science Foundation of China [81701774, 61771423, 61671405]; Fundamental Research Funds for the Central Universities, China [2016QN81018]</t>
  </si>
  <si>
    <t>National Natural Science Foundation of China(National Natural Science Foundation of China (NSFC)); Fundamental Research Funds for the Central Universities, China(Fundamental Research Funds for the Central Universities)</t>
  </si>
  <si>
    <t>We would like to thank Drs Gregor Adriany and Anna Wang Roe for helpful discussions. This work was supported by the National Natural Science Foundation of China under Grant 81701774, Grant 61771423, and Grant 61671405, and by the Fundamental Research Funds for the Central Universities, China, under Grant 2016QN81018.</t>
  </si>
  <si>
    <t>10.1088/1361-6560/aaf9e4</t>
  </si>
  <si>
    <t>WOS:000456840500008</t>
  </si>
  <si>
    <t>Hong, SM; Choi, CH; Shah, NJ; Felder, J</t>
  </si>
  <si>
    <t>Hong, Suk-Min; Choi, Chang-Hoon; Shah, N. Jon; Felder, Joerg</t>
  </si>
  <si>
    <t>Design and evaluation of a 1H/31P double-resonant helmet coil for 3T MRI of the brain</t>
  </si>
  <si>
    <t>MRI; H-1/P-31; double resonant helmet coil; RF coil; X-nuclei</t>
  </si>
  <si>
    <t>TUNED BIRDCAGE COIL; IN-VIVO H-1; P-31 MRS; SPECTROSCOPY; HEAD; SENSITIVITY; RELAXATION; STRENGTH; POWER; NA-23</t>
  </si>
  <si>
    <t>Proton magnetic resonance imaging (MRI) can be combined with signals from non-proton nuclei (X-nuclei) to provide metabolic information. Double-resonant coils are often used for X-nuclei MR studies where the proton element is employed for scout imaging and B-0 shimming. This work describes the development of a new double-resonant coil capable of operating at both proton and X-nuclei frequencies. The proposed design extends the wheel-and-spoke coil, which allows for quadrature drive, by adding an extra ring outside the coil to achieve double-resonance. Furthermore, in order to maximise SNR by increasing the filling factor, the shape of the coil has been modified to a helmet style making it suitable for brain applications. The performance of the double-resonant helmet coil was evaluated by simulation and MR measurements. The helmet coil was successfully tuned to the H-1/P-31 resonance frequencies of a 3T MR scanner, with high isolation between the two quadrature ports. MR measurements of a phantom were carried out, and the averaged sensitivity of the double-resonant helmet coil over the whole phantom was found to be higher than that of the conventional double-tuned birdcage coil at both frequencies.</t>
  </si>
  <si>
    <t>[Hong, Suk-Min; Choi, Chang-Hoon; Shah, N. Jon; Felder, Joerg] Forschungszentrum Julich, INM 4, Julich, Germany; [Shah, N. Jon] Forschungszentrum Julich, JARA, INM 11, Julich, Germany; [Shah, N. Jon] JARA BRAIN Translat Med, Aachen, Germany; [Shah, N. Jon] Rhein Westfal TH Aachen, Dept Neurol, Aachen, Germany</t>
  </si>
  <si>
    <t>Helmholtz Association; Research Center Julich; Helmholtz Association; Research Center Julich; RWTH Aachen University</t>
  </si>
  <si>
    <t>Hong, SM (通訊作者)， Forschungszentrum Julich, INM 4, Julich, Germany.</t>
  </si>
  <si>
    <t>s.hong@fz-juelich.de</t>
  </si>
  <si>
    <t>Felder, Jörg/H-9707-2019; Choi, Chang-Hoon/S-9688-2019; Shah, N./H-5849-2013; Shah, N. Jon/H-5849-2013</t>
  </si>
  <si>
    <t>Felder, Jorg/0000-0001-6431-4322; Shah, N. Jon/0000-0002-8151-6169; Choi, Chang-Hoon/0000-0003-3569-0905</t>
  </si>
  <si>
    <t>Helmholtz Alliance ICEMED-Imaging and Curing Environmental Metabolic Diseases, through the Initiative and Network Fund of the Helmholtz Association</t>
  </si>
  <si>
    <t>We thank Ms Weber for her technical assistance with the 3D printing and PCB etching and Ms Rick for English proofreading. NJS is funded in part by the Helmholtz Alliance ICEMED-Imaging and Curing Environmental Metabolic Diseases, through the Initiative and Network Fund of the Helmholtz Association.</t>
  </si>
  <si>
    <t>10.1088/1361-6560/aaf9e2</t>
  </si>
  <si>
    <t>WOS:000456840500002</t>
  </si>
  <si>
    <t>Landry, G; Hansen, D; Kamp, F; Li, ML; Hoyle, B; Weller, J; Parodi, K; Belka, C; Kurz, C</t>
  </si>
  <si>
    <t>Landry, Guillaume; Hansen, David; Kamp, Florian; Li, Minglun; Hoyle, Ben; Weller, Jochen; Parodi, Katia; Belka, Claus; Kurz, Christopher</t>
  </si>
  <si>
    <t>Comparing Unet training with three different datasets to correct CBCT images for prostate radiotherapy dose calculations</t>
  </si>
  <si>
    <t>CBCT; Unet; deep learning; scatter correction; VMAT; PBS; proton therapy</t>
  </si>
  <si>
    <t>CONE-BEAM CT; PROTON THERAPY; COMPUTED-TOMOGRAPHY; SCATTER CORRECTION; REGISTRATION; HEAD; RECALCULATION; FEASIBILITY; REDUCTION</t>
  </si>
  <si>
    <t>Image intensity correction is crucial to enable cone beam computed tomography (CBCT) based radiotherapy dose calculations. This study evaluated three different deep learning based correction methods using a U-shaped convolutional neural network architecture (Unet) in terms of their photon and proton dose calculation accuracy. CT and CBCT imaging data of 42 prostate cancer patients were included. For target ground truth data generation, a CBCT correction method based on CT to CBCT deformable image registration (DIR) was used. The method yields a deformed CT called (i) virtual CT (vCT) which is used to generate (ii) corrected CBCT projections allowing the reconstruction of (iii) a final corrected CBCT image. The single Unet architecture was trained using these three different datasets: (Unet1) raw and corrected CBCT projections, (Unet2) raw CBCT and vCT image slices and (Unet3) raw and reference corrected CBCT image slices. Volumetric arc therapy (VMAT) and proton pencil beam scanning (PBS) single field uniform dose (SFUD) plans were optimized on the reference corrected image and recalculated on the obtained Unet-corrected CBCT images. The mean error (ME) and mean absolute error (MAE) for Unet1/2/3 were -1/2/3 Hounsfield units (HU) and 48/88/56 HU. The 1% dose difference pass rates were better than 98.4% for VMAT for 8 test patients not seen during training, with little difference between Unets. Gamma evaluation results were even better. For protons a gamma evaluation was employed to account for small range shifts, and 2%/2 mm pass rates for Unet1/2/3 were better than 85%/89% and 91%. A 3 mm range difference threshold was established. Only for Unet3 the 5th and 95th percentiles of the range difference distributions over all fields, test patients and dose profiles were within this threshold. A single Unet architecture was successfully trained using both CBCT projections and CBCT image slices. Since the results of the other Unets were poorer than Unet3, we conclude that training using corrected CBCT image slices as target data is optimal for PBS SFUD proton dose calculations, while for VMAT all Unets provided sufficient accuracy.</t>
  </si>
  <si>
    <t>[Landry, Guillaume; Parodi, Katia; Kurz, Christopher] Ludwig Maximilians Univ Munchen LMU Munich, Fak Phys, Dept Med Phys, Garching, Germany; [Hansen, David] Gradient Software, Aarhus, Denmark; [Kamp, Florian; Li, Minglun; Belka, Claus; Kurz, Christopher] Ludwig Maximilians Univ Munchen, Univ Hosp, Dept Radiat Oncol, Munich, Germany; [Hoyle, Ben; Weller, Jochen] Ludwig Maximilians Univ Munchen, Fak Phys, Univ Stenwarte, Mtincheii, Germany; [Hoyle, Ben; Weller, Jochen] Excellence Cluster Universe, Garching, Germany; [Weller, Jochen] Max Planck Inst Extraterr Phys, Garching, Germany; [Belka, Claus] German Canc Consortium DKTK, Munich, Germany</t>
  </si>
  <si>
    <t>University of Munich; University of Munich; University of Munich; University of Munich; Max Planck Society; Helmholtz Association; German Cancer Research Center (DKFZ)</t>
  </si>
  <si>
    <t>Kurz, C (通訊作者)， Ludwig Maximilians Univ Munchen LMU Munich, Fak Phys, Dept Med Phys, Garching, Germany.;Kurz, C (通訊作者)， Ludwig Maximilians Univ Munchen, Univ Hosp, Dept Radiat Oncol, Munich, Germany.</t>
  </si>
  <si>
    <t>christopher.kurz@physik.uni-muenchen.de</t>
  </si>
  <si>
    <t>; Hansen, David/C-4341-2018; Kurz, Christopher/HOF-6606-2023; Li, Minglun/A-8086-2019; Landry, Guillaume/AFL-3214-2022; Weller, Jochen/ABD-6783-2021</t>
  </si>
  <si>
    <t>Weller, Jochen/0000-0002-8282-2010; Hansen, David/0000-0003-0946-8884;</t>
  </si>
  <si>
    <t>German Research Foundation (DFG) Cluster of Excellence Munich Center for Advanced Photonics (MAP); German Cancer Aid (Deutsche Krebshilfe)</t>
  </si>
  <si>
    <t>German Research Foundation (DFG) Cluster of Excellence Munich Center for Advanced Photonics (MAP)(German Research Foundation (DFG)); German Cancer Aid (Deutsche Krebshilfe)(Deutsche Krebshilfe)</t>
  </si>
  <si>
    <t>This work was sponsored by the German Research Foundation (DFG) Cluster of Excellence Munich Center for Advanced Photonics (MAP). Christopher Kurz was supported by the German Cancer Aid (Deutsche Krebshilfe). One of the GPUs used for this research was donated by the NVIDIA Corporation.</t>
  </si>
  <si>
    <t>10.1088/1361-6560/aaf496</t>
  </si>
  <si>
    <t>WOS:000456840500010</t>
  </si>
  <si>
    <t>Sokol, O; Krämer, M; Hild, S; Durante, M; Scifoni, E</t>
  </si>
  <si>
    <t>Sokol, O.; Kraemer, M.; Hild, S.; Durante, M.; Scifoni, E.</t>
  </si>
  <si>
    <t>Kill painting of hypoxic tumors with multiple ion beams</t>
  </si>
  <si>
    <t>ion beam therapy; biological treatment planning; adaptive TPS; hypoxia; cell survival; oxygen enhancement ratio (OER); linear energy transfer (LET)</t>
  </si>
  <si>
    <t>PARTICLE THERAPY; HELIUM-IONS</t>
  </si>
  <si>
    <t>We report on a novel method for simultaneous biological optimization of treatment plans for hypoxic tumors using multiple ion species. Our previously introduced kill painting approach, where the overall cell killing is optimized on biologically heterogeneous targets, was expanded with the capability of handling different ion beams simultaneously. The current version (MIBO) of the research treatment planning system TRiP98 has now been augmented to handle 3D (voxel-by-voxel) target oxygenation data. We present a case of idealized geometries where this method can identify optimal combinations leading to an improved peak-to-entrance effective dose ratio. This is achieved by the redistribution of particle fluences, when the heavier ions are preferentially forwarded to hypoxic target areas, while the lighter ions deliver the remaining dose to its normoxic regions. Finally, we present an in silico skull base chordoma patient case study with a combination of He-4 and O-16 beams, demonstrating specific indications for its potential clinical application. In this particular case, the mean dose, received by the brainstem, was reduced by 3%-5% and by 10%-12% as compared to the pure He-4 and O-16 plans, respectively. The new method allows a full biological optimization of different ion beams, exploiting the capabilities of actively scanned ion beams of modern particle therapy centers. The possible experimental verification of the present approach at ion beam facilities disposing of fast ion switch is presented and discussed.</t>
  </si>
  <si>
    <t>[Sokol, O.; Kraemer, M.; Durante, M.] GSI Helmholtzzentrum Schwerionenforsch GmbH, Biophys Dept, Planckstr 1, D-64291 Darmstadt, Germany; [Hild, S.; Scifoni, E.] Trento Inst Fundamental Phys &amp; Applicat TIFPA INF, Via Sommar 14, I-38123 Trento, Italy; [Hild, S.] Univ Calif San Diego, Dept Radiat Med &amp; Appl Sci, 9500 Gilman Dr, La Jolla, CA 92093 USA; [Durante, M.] Tech Univ Darmstadt, Hsch Str 6, D-64289 Darmstadt, Germany</t>
  </si>
  <si>
    <t>Helmholtz Association; GSI Helmholtz-Center for Heavy Ion Research; University of California System; University of California San Diego; Technical University of Darmstadt</t>
  </si>
  <si>
    <t>Krämer, M (通訊作者)， GSI Helmholtzzentrum Schwerionenforsch GmbH, Biophys Dept, Planckstr 1, D-64291 Darmstadt, Germany.</t>
  </si>
  <si>
    <t>m.kraemer@gsi.de</t>
  </si>
  <si>
    <t>; Scifoni, Emanuele/B-5277-2013; Durante, Marco/L-4795-2017</t>
  </si>
  <si>
    <t>Sokol, Olga/0000-0003-3664-7538; Scifoni, Emanuele/0000-0003-1851-5152; Durante, Marco/0000-0002-4615-553X</t>
  </si>
  <si>
    <t>Instituto Nazionale di Fisica Nucleare CSN5 Call 'MoVe IT'</t>
  </si>
  <si>
    <t>We would like to thank Dr Kristjan Anderle for giving us a detailed introduction into the Slicer software routine. This work was partly supported by the Instituto Nazionale di Fisica Nucleare CSN5 Call 'MoVe IT'.</t>
  </si>
  <si>
    <t>10.1088/1361-6560/aafe40</t>
  </si>
  <si>
    <t>HK7YP</t>
  </si>
  <si>
    <t>WOS:000458206000001</t>
  </si>
  <si>
    <t>Wei, J; Chan, HP; Helvie, MA; Roubidoux, MA; Neal, CH; Lu, Y; Hadjiiski, LM; Zhou, C</t>
  </si>
  <si>
    <t>Wei, Jun; Chan, Heang-Ping; Helvie, Mark A.; Roubidoux, Marilyn A.; Neal, Colleen H.; Lu, Yao; Hadjiiski, Lubomir M.; Zhou, Chuan</t>
  </si>
  <si>
    <t>Synthesizing mammogram from digital breast tomosynthesis</t>
  </si>
  <si>
    <t>breast cancer; digital breast tomosynthesis (DBT); synthesized mammography (SM)</t>
  </si>
  <si>
    <t>POPULATION; PERFORMANCE; COMBINATION; CLASSIFICATION; CALCIFICATIONS; IMPLEMENTATION; EXPERIENCE; IMAGES; MASSES; TRIAL</t>
  </si>
  <si>
    <t>The purpose of this study is to develop a new method for generating synthesized mammogram (SM) from digital breast tomosynthesis (DBT) and to assess its potential as an adjunct to DBT. We first applied multiscale bilateral filtering to the reconstructed DBT slices to enhance the high-frequency features and reduce noise. A maximum intensity projection (MIP) image was then obtained from the high-frequency components of the DBT slices. A multiscale image fusion method was designed to combine the MIP image and the central DBT projection view into an SM and further enhance the high-frequency features. We conducted a pilot reader study to visually assess the image quality of SM in comparison to full field digital mammograms (FFDM). For each DBT craniocaudal or mediolateral view, a clinical FFDM of the corresponding view was retrospectively collected. Three MQSA radiologists, blinded to the pathological and other clinical information, independently interpreted the SM and the corresponding FFDM side by side marked with the lesion locations. The differences in the BI-RADS assessments of both MCs and masses between SM and FFDM did not achieve statistical significance for all three readers. The conspicuity of MCs on SM was superior to that on FFDM and the BI-RADS assessments of MCs were comparable while the conspicuity of masses on SM was degraded and interpretation on SM was less accurate than that on FFDM. The SM may be useful for efficient prescreening of MCs in DBT but the DBT should be used for detection and characterization of masses.</t>
  </si>
  <si>
    <t>[Wei, Jun; Chan, Heang-Ping; Helvie, Mark A.; Roubidoux, Marilyn A.; Neal, Colleen H.; Lu, Yao; Hadjiiski, Lubomir M.; Zhou, Chuan] Univ Michigan, Dept Radiol, 1500 E Med Ctr Dr,Med Inn Bldg C478, Ann Arbor, MI 48109 USA</t>
  </si>
  <si>
    <t>University of Michigan System; University of Michigan</t>
  </si>
  <si>
    <t>Wei, J (通訊作者)， Univ Michigan, Dept Radiol, 1500 E Med Ctr Dr,Med Inn Bldg C478, Ann Arbor, MI 48109 USA.</t>
  </si>
  <si>
    <t>jvwei@med.umich.edu</t>
  </si>
  <si>
    <t>Wei, Jun/0000-0003-3633-7150; Chan, Heang-Ping/0000-0001-7777-9006</t>
  </si>
  <si>
    <t>National Institutes of Health [R01 CA151443, CA195599, R01 CA214981]; National Cancer Institute [R01CA214981] Funding Source: NIH RePORTER</t>
  </si>
  <si>
    <t>National Institutes of Health(United States Department of Health &amp; Human ServicesNational Institutes of Health (NIH) - USA); National Cancer Institute(United States Department of Health &amp; Human ServicesNational Institutes of Health (NIH) - USANIH National Cancer Institute (NCI))</t>
  </si>
  <si>
    <t>This work is supported by National Institutes of Health award number R01 CA151443, CA195599 and R01 CA214981. The content of this paper does not necessarily reflect the position of the funding agencies and no official endorsement of any equipment and product of any companies mentioned should be inferred.</t>
  </si>
  <si>
    <t>10.1088/1361-6560/aafcda</t>
  </si>
  <si>
    <t>WOS:000458375200003</t>
  </si>
  <si>
    <t>Gravel, P; Surti, S; Krishnamoorthy, S; Karp, JS; Matej, S</t>
  </si>
  <si>
    <t>Gravel, Paul; Surti, Suleman; Krishnamoorthy, Srilalan; Karp, Joel S.; Matej, Samuel</t>
  </si>
  <si>
    <t>Spatially-variant image-based modeling of PSF deformations with application to a limited angle geometry from a dual-panel breast-PET imager</t>
  </si>
  <si>
    <t>breast-PET; dual-panel; limited angle; image-based resolution modeling; time-of-flight reconstruction</t>
  </si>
  <si>
    <t>TIME-OF-FLIGHT; DETECTOR RESPONSE FUNCTION; POINT-SPREAD FUNCTION; EM ALGORITHM; LIST-MODE; RECONSTRUCTION; RESOLUTION; SPACE; DESIGN; IMPACT</t>
  </si>
  <si>
    <t>Dual-panel PET system configuration can lead to spatially variable point-spread functions (PSF) of considerable deformations due to depth-of-interaction effects and limited angular coverage. If not modelled properly, these effects result in decreased and inconsistent recovery of lesion activity across the field-of-view (FOV), as well as mispositioning of lesions in the reconstructed image caused by strong PSF asymmetries. We implemented and evaluated models of such PSF deformations with spatially-variant image-based resolution modeling (IRM) within reconstruction (varRM) using the Direct Image REConstruction for Time-of-flight (DIRECT) method and within post-reconstruction deconvolution methods. In addition, DIRECT reconstruction was performed with a spatially-invariant IRM (invRM) and without resolution modeling (noRM) for comparison. The methods were evaluated using simulated data for a realistic breast model with a set of 5 mm lesions located throughout the FOV of a dual-panel Breast-PET scanner. We simulated high-count data to focus on the ability of each method to correctly recover the PSF deformations, and a clinically realistic count level to assess the impact of low count data on the quantitative performance of the evaluated techniques. Performance of the methods evaluated herein was assessed by comparing lesion activity recovery (%BIAS), consistency (%SD) across the FOV, overall error (%RMSE), and recovery of each lesion location. As expected, all techniques using IRM provide considerable improvement over the noRM reconstruction. For the high-count cases, the overall quantitative performance of all IRM techniques, whether within reconstruction or within post-reconstruction, is similar if the lesion location misplacements are ignored. However, invRM provides less consistent performance on activity across lesions and is not able to recover accurate lesion locations. For a clinically realistic count level, varRM reconstruction consistently outperforms all compared approaches, while the post-reconstruction IRM approaches exhibit higher %SD and %RMSE values due to being more affected by the data noise than the within-reconstruction IRM approaches.</t>
  </si>
  <si>
    <t>[Gravel, Paul; Surti, Suleman; Krishnamoorthy, Srilalan; Karp, Joel S.; Matej, Samuel] Univ Penn, Dept Radiol, Philadelphia, PA 19104 USA</t>
  </si>
  <si>
    <t>Matej, S (通訊作者)， Univ Penn, Dept Radiol, Philadelphia, PA 19104 USA.</t>
  </si>
  <si>
    <t>matej@pennmedicine.upenn.edu</t>
  </si>
  <si>
    <t>National Institutes of Health [R01-CA196528, R01EB023274, R01-CA113941]</t>
  </si>
  <si>
    <t>This work was supported in part by the National Institutes of Health under Grants R01-CA196528, R01EB023274, and R01-CA113941. The authors wish to acknowledge Matt E Werner for helping with the generation of normalization and correction data, and David Matej for helping with data analysis tools. The content is solely the responsibility of the authors and does not necessarily represent the official views of the National Institutes of Health.</t>
  </si>
  <si>
    <t>10.1088/1361-6560/ab4914</t>
  </si>
  <si>
    <t>KA3LT</t>
  </si>
  <si>
    <t>WOS:000505701000001</t>
  </si>
  <si>
    <t>Lei, Y; Dong, X; Wang, TH; Higgins, K; Liu, T; Curran, WJ; Mao, H; Nye, JA; Yang, XF</t>
  </si>
  <si>
    <t>Lei, Yang; Dong, Xue; Wang, Tonghe; Higgins, Kristin; Liu, Tian; Curran, Walter J.; Mao, Hui; Nye, Jonathon A.; Yang, Xiaofeng</t>
  </si>
  <si>
    <t>Whole-body PET estimation from low count statistics using cycle-consistent generative adversarial networks</t>
  </si>
  <si>
    <t>PET; deep learning; low count statistics</t>
  </si>
  <si>
    <t>LOW-DOSE CT; MALIGNANCIES; PERFORMANCE; SIGNATURE</t>
  </si>
  <si>
    <t>Lowering either the administered activity or scan time is desirable in PET imaging as it decreases the patient's radiation burden or improves patient comfort and reduces motion artifacts. But reducing these parameters lowers overall photon counts and increases noise, adversely impacting image contrast and quantification. To address this low count statistics problem, we propose a cycle-consistent generative adversarial network (Cycle GAN) model to estimate diagnostic quality PET images using low count data. Cycle GAN learns a transformation to synthesize diagnostic PET images using low count data that would be indistinguishable from our standard clinical protocol. The algorithm also learns an inverse transformation such that cycle low count PET data (inverse of synthetic estimate) generated from synthetic full count PET is close to the true low count PET. We introduced residual blocks into the generator to catch the differences between low count and full count PET in the training dataset and better handle noise. The average mean error and normalized mean square error in whole body were -0.14% +/- 1.43% and 0.52% +/- 0.19% with Cycle GAN model, compared to 5.59% +/- 2.11% and 3.51% +/- 4.14% on the original low count PET images. Normalized cross-correlation is improved from 0.970 to 0.996, and peak signal-to-noise ratio is increased from 39.4 dB to 46.0 dB with proposed method. We developed a deep learning-based approach to accurately estimate diagnostic quality PET datasets from one eighth of photon counts, and has great potential to improve low count PET image quality to the level of diagnostic PET used in clinical settings.</t>
  </si>
  <si>
    <t>[Lei, Yang; Dong, Xue; Wang, Tonghe; Higgins, Kristin; Liu, Tian; Curran, Walter J.; Yang, Xiaofeng] Emory Univ, Dept Radiat Oncol, Atlanta, GA 30322 USA; [Wang, Tonghe; Higgins, Kristin; Liu, Tian; Curran, Walter J.; Mao, Hui; Yang, Xiaofeng] Emory Univ, Winship Canc Inst, Atlanta, GA 30322 USA; [Mao, Hui; Nye, Jonathon A.] Emory Univ, Dept Radiol &amp; Imaging Sci, Atlanta, GA 30322 USA</t>
  </si>
  <si>
    <t>Lei, Yang/AAE-5089-2019; Wang, Tonghe/AAL-9431-2020; Yang, Xiaofeng/G-9479-2012</t>
  </si>
  <si>
    <t>Lei, Yang/0000-0002-3572-0345; Yang, Xiaofeng/0000-0001-9023-5855; Wang, Tonghe/0000-0001-9021-1204;</t>
  </si>
  <si>
    <t>10.1088/1361-6560/ab4891</t>
  </si>
  <si>
    <t>WOS:000494858500002</t>
  </si>
  <si>
    <t>Chen, JW; Zhu, JT; Li, ZC; Shi, W; Zhang, QY; Hu, ZL; Zheng, HR; Liang, D; Ge, YS</t>
  </si>
  <si>
    <t>Chen, Jianwei; Zhu, Jiongtao; Li, Zhicheng; Shi, Wei; Zhang, Qiyang; Hu, Zhanli; Zheng, Hairong; Liang, Dong; Ge, Yongshuai</t>
  </si>
  <si>
    <t>Automatic image-domain Moire artifact reduction method in grating-based x-ray interferometry imaging</t>
  </si>
  <si>
    <t>x-ray grating interferometry; Moire image artifact; convolutional neural network (CNN)</t>
  </si>
  <si>
    <t>PHASE-CONTRAST TOMOGRAPHY; MAMMOGRAPHY; BIAS</t>
  </si>
  <si>
    <t>In this study, we propose to remove Moire image artifact induced by system instabilities in grating-based x-ray interferometry imaging using convolutional neural network (CNN) technique. This method reduces Moire image artifact in image-domain via a learned image post-processing procedure, rather than developing signal retrieval optimization algorithms to minimize the inconsistencies between acquired phase stepping data and assumed signal model. To achieve this aim, we suggested to train the CNN network using dataset synthesized from both natural images and experimentally acquired Moire artifact-only images. In particular, a novel approach is developed to generate a large number of various high quality Moire artifact-only images from finite groups of experimental phase stepping data. Both numerical and experimental results demonstrate that the developed CNN method is able to effectively remove the undesired Moire image artifact. As a result, the image quality of a practical grating-based x-ray interferometry system can be greatly improved.</t>
  </si>
  <si>
    <t>[Chen, Jianwei; Li, Zhicheng; Zhang, Qiyang; Liang, Dong; Ge, Yongshuai] Chinese Acad Sci, Res Ctr Med Artificial Intelligence, Sheilzhen Inst Adv Lechnol, Shenzhen 518055, Guangdong, Peoples R China; [Zhu, Jiongtao; Li, Zhicheng; Shi, Wei; Zhang, Qiyang; Hu, Zhanli; Zheng, Hairong; Liang, Dong; Ge, Yongshuai] Chinese Acad Sci, Shenzhen Inst Adv Technol, Paul C Lauterbur Res Ctr Biomed Imaging, Shenzhen 518055, Guangdong, Peoples R China; [Li, Zhicheng; Hu, Zhanli; Zheng, Hairong; Liang, Dong; Ge, Yongshuai] Chinese Acad Sci, Key Lab Hlth Informat, Shenzhen 518055, Guangdong, Peoples R China</t>
  </si>
  <si>
    <t>Chinese Academy of Sciences; Chinese Academy of Sciences; Shenzhen Institute of Advanced Technology, CAS; Chinese Academy of Sciences</t>
  </si>
  <si>
    <t>Liang, D; Ge, YS (通訊作者)， Chinese Acad Sci, Res Ctr Med Artificial Intelligence, Sheilzhen Inst Adv Lechnol, Shenzhen 518055, Guangdong, Peoples R China.;Liang, D; Ge, YS (通訊作者)， Chinese Acad Sci, Shenzhen Inst Adv Technol, Paul C Lauterbur Res Ctr Biomed Imaging, Shenzhen 518055, Guangdong, Peoples R China.;Liang, D; Ge, YS (通訊作者)， Chinese Acad Sci, Key Lab Hlth Informat, Shenzhen 518055, Guangdong, Peoples R China.</t>
  </si>
  <si>
    <t>dong.liang@siat.ac.cn; ys.ge@siat.ac.cn</t>
  </si>
  <si>
    <t>Li, Zhicheng/D-2849-2012; Liang, Dong/A-3335-2011; Li, Zhi-Cheng/D-2849-2012; liu, xiao/HMD-7454-2023; Zhang, Qiyang/AAC-8921-2022</t>
  </si>
  <si>
    <t>Chen, Jianwei/0009-0009-5213-8857; Li, Zhi-Cheng/0000-0003-4140-0580;</t>
  </si>
  <si>
    <t>National Natural Science Foundation of China [11804356]; Chinese Academy of Sciences Key Laboratory of Health Informatics Program [2011DP173015]; Shenzhen Basic Research Program [JCYJ20170413162354654]</t>
  </si>
  <si>
    <t>National Natural Science Foundation of China(National Natural Science Foundation of China (NSFC)); Chinese Academy of Sciences Key Laboratory of Health Informatics Program; Shenzhen Basic Research Program</t>
  </si>
  <si>
    <t>The authors would like to thank Dr Peiping Zhu at the Institute of High Energy Physics, Chinese Academy of Sciences, for his patient discussions during theoretical derivations, and Dr Tianye Niu at Zhejiang University for his helpful suggestions on data processing and paper writing. The authors also would like to acknowledge the ImageNet organization for providing the natural images to enable the network training procedures. This project is supported by the National Natural Science Foundation of China (Grant No. 11804356), Chinese Academy of Sciences Key Laboratory of Health Informatics Program (Grant No. 2011DP173015), Shenzhen Basic Research Program (Grant No. JCYJ20170413162354654).</t>
  </si>
  <si>
    <t>10.1088/1361-6560/ab3c34</t>
  </si>
  <si>
    <t>WOS:000505954300003</t>
  </si>
  <si>
    <t>Smith, RL; Dasari, P; Lindsay, C; King, M; Wells, K</t>
  </si>
  <si>
    <t>Smith, Rhodri L.; Dasari, Paul; Lindsay, Clifford; King, Michael; Wells, Kevin</t>
  </si>
  <si>
    <t>Dense motion propagation from sparse samples</t>
  </si>
  <si>
    <t>respiratory motion correction; PET-MR; manifold alignment; sparse motion model</t>
  </si>
  <si>
    <t>RESPIRATORY MOTION; PET; REGISTRATION; MRI; RECONSTRUCTION; RESOLUTION; MODEL</t>
  </si>
  <si>
    <t>There are many applications for which sparse, or partial sampling of dynamic image data can be used for articulating or estimating motion within the medical imaging area. In this new work, we propose a generalized framework for dense motion propagation from sparse samples which represents an example of transfer learning and manifold alignment, allowing the transfer of knowledge across imaging sources of different domains which exhibit different features. Many such examples exist in medical imaging, from mapping 2D ultrasound or fluoroscopy to 3D or 4D data or monitoring dynamic dose delivery from partial imaging data in radiotherapy. To illustrate this approach we animate, or articulate, a high resolution static MR image with 4D free breathing respiratory motion derived from low resolution sparse planar samples of motion. In this work we demonstrate that sparse sampling of dynamic MRI may be used as a viable approach to successfully build models of free-breathing respiratory motion by constrained articulation. Such models demonstrate high contrast, and high temporal and spatial resolution that have so far been hitherto unavailable with conventional imaging methods. The articulation is based on using a propagation model, in the eigen domain, to estimate complete 4D motion vector fields from sparsely sampled free-breathing dynamic MRI data. We demonstrate that this approach can provide equivalent motion vector fields compared to fully sampled 4D dynamic data, whilst preserving the corresponding high resolution/high contrast inherent in the original static volume. Validation is performed on three 4D MRI datasets using eight extracted slices from a fast 4D acquisition (0.7 s per volume). The estimated deformation fields from sparse sampling are compared to the fully sampled equivalents, resulting in an rms error of the order of 2 mm across the entire image volume. We also present exemplar 4D high contrast, high resolution articulated volunteer datasets using this methodology. This approach facilitates greater freedom in the acquisition of free breathing respiratory motion sequences which may be used to inform motion modelling methods in a range of imaging modalities and demonstrates that sparse sampling of free breathing data may be used within a manifold alignment and transfer learning paradigm to estimate fully sampled motion. The method may also be applied to other examples of sparse sampling to produce dense motion propagation.</t>
  </si>
  <si>
    <t>[Smith, Rhodri L.; Wells, Kevin] Univ Surrey, Fac Engn &amp; Phys Sci, Ctr Vis Speech &amp; Signal Proc, Guildford GU2 7XH, Surrey, England; [Dasari, Paul; Lindsay, Clifford; King, Michael] Univ Massachusetts, Dept Radiol, Div Nucl Med, Sch Med, 55 Lake Ave North, Worcester, MA 01655 USA</t>
  </si>
  <si>
    <t>University of Surrey; University of Massachusetts System; University of Massachusetts Worcester</t>
  </si>
  <si>
    <t>Smith, RL (通訊作者)， Univ Surrey, Fac Engn &amp; Phys Sci, Ctr Vis Speech &amp; Signal Proc, Guildford GU2 7XH, Surrey, England.</t>
  </si>
  <si>
    <t>SmithR50@cardiff.ac.uk</t>
  </si>
  <si>
    <t>Smith, Rhodri/AAE-2134-2019</t>
  </si>
  <si>
    <t>Smith, Rhodri/0000-0001-9359-4730</t>
  </si>
  <si>
    <t>10.1088/1361-6560/ab41a0</t>
  </si>
  <si>
    <t>WOS:000500247900023</t>
  </si>
  <si>
    <t>Shi, F; Cai, N; Gu, YB; Hu, DL; Ma, YH; Chen, Y; Chen, XJ</t>
  </si>
  <si>
    <t>Shi, Fei; Cai, Ning; Gu, Yunbo; Hu, Dianlin; Ma, Yuhui; Chen, Yang; Chen, Xinjian</t>
  </si>
  <si>
    <t>DeSpecNet: a CNN-based method for speckle reduction in retinal optical coherence tomography images</t>
  </si>
  <si>
    <t>optical coherence tomography; speckle reduction; deep learning; residual learning</t>
  </si>
  <si>
    <t>SUPPRESSION</t>
  </si>
  <si>
    <t>Speckle is a major quality degrading factor in optical coherence tomography (OCT) images. In this work we propose a new deep learning network for speckle reduction in retinal OCT images, termed DeSpecNet. Unlike traditional algorithms, the model can learn from training data instead of manually selecting parameters such as noise level. The proposed deep convolutional neural network (CNN) applies strategies including residual learning, shortcut connection, batch normalization and leaky rectified linear units to achieve good despeckling performance. Application of the proposed method to the OCT images shows great improvement in both visual quality and quantitative indices. The proposed method provides good generalization ability for different types of retinal OCT images. It outperforms state-of-the-art methods in suppressing speckles and revealing subtle features while preserving edges.</t>
  </si>
  <si>
    <t>[Shi, Fei; Ma, Yuhui; Chen, Xinjian] Soochow Univ, Sch Elect &amp; Informat Engn, Suzhou, Peoples R China; [Cai, Ning; Gu, Yunbo; Hu, Dianlin; Chen, Yang] Southeast Univ, Sch Comp Sci &amp; Engn, Lab Image Sci &amp; Technol, Nanjing, Jiangsu, Peoples R China; [Chen, Xinjian] Soochow Univ, State Key Lab Radiat Med &amp; Protect, Suzhou, Peoples R China; [Chen, Yang] Ctr Rechercheen Informat Biomed Sino Francais LIA, Rennes, France; [Cai, Ning; Gu, Yunbo; Hu, Dianlin; Chen, Yang] Southeast Univ, Minist Educ, Key Lab Comp Network &amp; Informat Integrat, Nanjing, Jiangsu, Peoples R China</t>
  </si>
  <si>
    <t>Soochow University - China; Southeast University - China; Soochow University - China; Southeast University - China</t>
  </si>
  <si>
    <t>Chen, XJ (通訊作者)， Soochow Univ, Sch Elect &amp; Informat Engn, Suzhou, Peoples R China.;Chen, Y (通訊作者)， Southeast Univ, Sch Comp Sci &amp; Engn, Lab Image Sci &amp; Technol, Nanjing, Jiangsu, Peoples R China.;Chen, XJ (通訊作者)， Soochow Univ, State Key Lab Radiat Med &amp; Protect, Suzhou, Peoples R China.;Chen, Y (通訊作者)， Ctr Rechercheen Informat Biomed Sino Francais LIA, Rennes, France.;Chen, Y (通訊作者)， Southeast Univ, Minist Educ, Key Lab Comp Network &amp; Informat Integrat, Nanjing, Jiangsu, Peoples R China.</t>
  </si>
  <si>
    <t>chenyang.list@seu.edu.cn; xjchen@suda.edu.cn</t>
  </si>
  <si>
    <t>; Gu, Yunbo/GYA-1184-2022; Chen, Xinjian/E-8592-2016</t>
  </si>
  <si>
    <t>Chen, Xinjian/0000-0002-0871-293X;</t>
  </si>
  <si>
    <t>State Key Project of Research and Development Plan [2017YFA0104302, 2017YFC0109202, 2017YFC0107900]; National Natural Science Foundation of China (NSFC) [61622114, 81530060, 61871117, 61771326]; National Basic Research Program of China (973 Program) [2014CB748600]</t>
  </si>
  <si>
    <t>State Key Project of Research and Development Plan; National Natural Science Foundation of China (NSFC)(National Natural Science Foundation of China (NSFC)); National Basic Research Program of China (973 Program)(National Basic Research Program of China)</t>
  </si>
  <si>
    <t>This work was supported in part by the State Key Project of Research and Development Plan under Grant 2017YFA0104302, Grant 2017YFC0109202 and 2017YFC0107900, in part by the National Natural Science Foundation of China (NSFC) under Grant 61622114, 81530060, 61871117 and 61771326, and in part by the National Basic Research Program of China (973 Program) under Grant 2014CB748600.</t>
  </si>
  <si>
    <t>10.1088/1361-6560/ab3556</t>
  </si>
  <si>
    <t>WOS:000484508700003</t>
  </si>
  <si>
    <t>De Roover, R; Berghen, C; De Meerleer, G; Depuydt, T; Crijns, W</t>
  </si>
  <si>
    <t>De Roover, Robin; Berghen, Charlien; De Meerleer, Gert; Depuydt, Tom; Crijns, Wouter</t>
  </si>
  <si>
    <t>Extended field radiotherapy measurements in a single shot using a BaFBr-based OSL-film</t>
  </si>
  <si>
    <t>dosimetry; OSL; VMAT; extended field radiotherapy; patient QA; pN1</t>
  </si>
  <si>
    <t>STIMULATED LUMINESCENCE FILMS; COMPUTED RADIOGRAPHY SYSTEM; POSITIVE PROSTATE-CANCER; RADICAL PROSTATECTOMY; QUANTITATIVE-EVALUATION; MEGAVOLTAGE PHOTON; X-RAY; DOSIMETRY; BEAM; ENERGY</t>
  </si>
  <si>
    <t>This work evaluated the use of a class solution specific calibration for an extra-large BaFBr-based optically stimulated luminescence film (OSL; 43 x 35 cm(2); Z(eff) = 4.55). The clinical need for such large dosimeters follows from the increased use of extended-field radiation therapy (EFRT). E.g. for prostate cancer EFRT is currently used in the first prospective trial investigating the benefit of adding elective irradiation of the para-aortic lymph nodes in pN1 prostate cancer. The full extent of these EFRT dose distributions is not covered by the well-established standard sized radiochromic film or 2D detector arrays. Here we investigate an OSL calibration methodology, that tackles BaFBr-based OSL's inherent energy dependence by a class solution specific calibration. 10 EFRT treatment plans used in the PART trial were investigated. One plan was used to build a class solution specific bilinear calibration model, that distinguishes between in-field and penumbra dose contributions. The effect of this calibration was evaluated with respect to a standard linear calibration, using standard IMRT patterns, the nine remaining patient plans, and to smaller prostate treatment plans. A single OSL-dosimeter could be reused for all measurements. The dosimeter captured the full extent of the dose distributions (maximum EFRT field size = 33.5 cm). The bilinear correction reduced the residual dose differences from above 10% to an average of 0.7% (max 3.6%) in comparison with a Monte Carlo simulation. Consequently global gamma agreement scores (3%-3 mm) of 95.5% +/- 2.7% were reached. A more strict local evaluation resulted in an average gamma-agreement score of 93.3% +/- 3.2%. The BaFBr-based OSL film, with reduced Z(eff) requires a class-solution specific correction. The current work shows that such a correction can be as simple as a bilinear residual dose correction driven by the measured signal. As far as we know this is the first 2D dosimeter combining reusability, a sub-mm resolution, and a size covering the typical EFRT treatment plans.</t>
  </si>
  <si>
    <t>[De Roover, Robin; Berghen, Charlien; De Meerleer, Gert; Depuydt, Tom; Crijns, Wouter] Katholieke Univ Leuven, Dept Oncol Radiat Oncol, Univ Hosp Leuven, B-3000 Leuven, Belgium</t>
  </si>
  <si>
    <t>KU Leuven; University Hospital Leuven</t>
  </si>
  <si>
    <t>Crijns, W (通訊作者)， Katholieke Univ Leuven, Dept Oncol Radiat Oncol, Univ Hosp Leuven, B-3000 Leuven, Belgium.</t>
  </si>
  <si>
    <t>wouter.crijns@uzleuven.be</t>
  </si>
  <si>
    <t>; Crijns, Wouter/AAA-6392-2021; De Roover, Robin/T-1895-2019</t>
  </si>
  <si>
    <t>Crijns, Wouter/0000-0002-2894-3110; Berghen, Charlien/0000-0001-9661-1436; De Roover, Robin/0000-0001-7452-7073;</t>
  </si>
  <si>
    <t>Kom op tegen Kanker (Stand up to Cancer), the Flemish Cancer Society; Kom op tegen Kanker, (Stand up to Cancer), the Flemish Cancer Society</t>
  </si>
  <si>
    <t>The OSL-film and Read-out equipment were supplied by AGFA N.V., Septestraat 27, Mortsel, Belgium. The PART trial is financially supported by a grant from Kom op tegen Kanker (Stand up to Cancer), the Flemish Cancer Society. The SciMoCa Monte Carlo calculation software was supplied by ScientificRT GmbH, Welserstr. 7, 81373 Munchen, Germany Robin De Roover and Charlien Berghen are funded by different research grants from Kom op tegen Kanker, (Stand up to Cancer), the Flemish Cancer Society.</t>
  </si>
  <si>
    <t>10.1088/1361-6560/ab2eff</t>
  </si>
  <si>
    <t>WOS:000481852600007</t>
  </si>
  <si>
    <t>Dey, R; Patni, HK; Singh, KD; Kulkarni, MS; Anand, S</t>
  </si>
  <si>
    <t>Dey, Riya; Patni, H. K.; Singh, Kapil Deo; Kulkarni, M. S.; Anand, S.</t>
  </si>
  <si>
    <t>Effective dose conversion coefficient for gamma ray exposure from an overhead plume</t>
  </si>
  <si>
    <t>Monte Carlo; voxel phantom; plume; effective dose; FLUKA; external exposure</t>
  </si>
  <si>
    <t>IMMERSION; HUMANS; ADULTS; CLOUD; MODEL</t>
  </si>
  <si>
    <t>The external radiation exposure from an overhead plume containing gamma emitting radionuclides can contribute substantial dose to the ground receptor during normal operations as well as accidental release conditions of nuclear facilities. In order to estimate the effective dose conversion coefficients (DCCs) directly, a finite plume Monte Carlo model along with the reference phantom at the ground receptor location needs to be implemented. In the present study, a comprehensive simulation of radiation transport from the Gaussian plume source to the ICRP reference adult voxel phantoms (receptor) is carried out using the FLUKA Monte Carlo code. The organ absorbed doses as well as the effective DCCs of the adult reference phantom are computed for different meteorological parameters and downwind distances. To illustrate the application of this model, an overhead Gaussian plume containing two different gamma emitting radionuclides, Xe-135 and Ar-41 are considered. From these simulations, the ratio of the effective dose rate to the kerma rate are estimated as 0.6 SvGy(-1) and 0.65 SvGy(-1) for the exposure from Xe-135 and Ar-41, respectively. This ratio is constant irrespective of the meteorological conditions and cloud models. Further results show that the effective DCCs as a function of the downwind distance vary by an order of magnitude for an unstable weather category; however, the variations are very small in the case of a stable category. This study demonstrates an accurate method for calculating the effective dose to the ground receptor from an external plume which can be further applied for any radionuclide under any meteorological condition.</t>
  </si>
  <si>
    <t>[Dey, Riya; Singh, Kapil Deo; Kulkarni, M. S.; Anand, S.] Bhabha Atom Res Ctr, Hlth Phys Div, Mumbai, Maharashtra, India; [Patni, H. K.] Bhabha Atom Res Ctr, Radiat Safety &amp; Syst Div, Mumbai, Maharashtra, India; [Dey, Riya; Kulkarni, M. S.; Anand, S.] Homi Bhabha Natl Inst BARC, Mumbai, Maharashtra, India</t>
  </si>
  <si>
    <t>Bhabha Atomic Research Center (BARC); Bhabha Atomic Research Center (BARC); Bhabha Atomic Research Center (BARC)</t>
  </si>
  <si>
    <t>Anand, S (通訊作者)， Bhabha Atom Res Ctr, Hlth Phys Div, Mumbai, Maharashtra, India.;Anand, S (通訊作者)， Homi Bhabha Natl Inst BARC, Mumbai, Maharashtra, India.</t>
  </si>
  <si>
    <t>sanand@barc.gov.in</t>
  </si>
  <si>
    <t>S, Anand/AAH-7565-2021</t>
  </si>
  <si>
    <t>Patni, Hemant/0000-0001-8511-1081; Dey, Riya/0000-0003-1881-1605; Kulkarni, Mukund/0000-0003-3261-0789</t>
  </si>
  <si>
    <t>10.1088/1361-6560/ab2c92</t>
  </si>
  <si>
    <t>WOS:000478621000001</t>
  </si>
  <si>
    <t>Ozaslan, AA; Alacaoglu, A; Demirel, OB; Çukur, T; Saritas, EU</t>
  </si>
  <si>
    <t>Ozaslan, A. A.; Alacaoglu, A.; Demirel, O. B.; Cukur, T.; Saritas, E. U.</t>
  </si>
  <si>
    <t>Fully automated gridding reconstruction for non-Cartesian x-space magnetic particle imaging</t>
  </si>
  <si>
    <t>magnetic particle imaging; image reconstruction; gridding reconstruction; non-Cartesian trajectories</t>
  </si>
  <si>
    <t>FOURIER INVERSION; RELAXATION; RESOLUTION; SENSITIVITY; REDUCTION; NMR; MPI</t>
  </si>
  <si>
    <t>Magnetic particle imaging (MPI) is a fast emerging biomedical imaging modality that exploits the nonlinear response of superparamagnetic iron oxide (SPIO) nanoparticles to image their spatial distribution. Previously, various scanning trajectories were analyzed for the system function reconstruction (SFR) approach, providing important insight regarding their image quality performances. While Cartesian trajectories remain the most popular choice for x-space-based reconstruction, recent work suggests that non-Cartesian trajectories such as the Lissajous trajectory may prove beneficial for improving image quality. In this work, we propose a generalized reconstruction scheme for x-space MPI that can be used in conjunction with any scanning trajectory. The proposed technique automatically tunes the reconstruction parameters from the scanning trajectory, and does not induce any additional blurring. To demonstrate the proposed technique, we utilize five different trajectories with varying density levels. Comparison to alternative reconstruction methods show significant improvement in image quality achieved by the proposed technique. Among the tested trajectories, the Lissajous and bidirectional Cartesian trajectories prove more favorable for x-space MPI, and the resolution of the images from these two trajectories can further be improved via deblurring. The proposed fully automated gridding reconstruction can be utilized with these trajectories to improve the image quality in x-space MPI.</t>
  </si>
  <si>
    <t>[Ozaslan, A. A.; Alacaoglu, A.; Demirel, O. B.; Cukur, T.; Saritas, E. U.] Bilkent Univ, Dept Elect &amp; Elect Engn, Ankara, Turkey; [Ozaslan, A. A.; Demirel, O. B.; Cukur, T.; Saritas, E. U.] Bilkent Univ, Natl Magnet Resonance Res Ctr UMRAM, Ankara, Turkey; [Alacaoglu, A.] Ecole Polytech Fed Lausanne, Lab Informat &amp; Inference Syst LIONS, Lausanne, Switzerland; [Demirel, O. B.] Univ Minnesota, Dept Elect &amp; Comp Engn, Minneapolis, MN USA; [Demirel, O. B.] Univ Minnesota, Ctr Magnet Resonance Res, Minneapolis, MN USA; [Cukur, T.; Saritas, E. U.] Bilkent Univ, Sabuncu Brain Res Ctr, Neurosci Program, Ankara, Turkey</t>
  </si>
  <si>
    <t>Ihsan Dogramaci Bilkent University; Ihsan Dogramaci Bilkent University; Swiss Federal Institutes of Technology Domain; Ecole Polytechnique Federale de Lausanne; University of Minnesota System; University of Minnesota Twin Cities; University of Minnesota System; University of Minnesota Twin Cities; Ihsan Dogramaci Bilkent University</t>
  </si>
  <si>
    <t>Ozaslan, AA (通訊作者)， Bilkent Univ, Dept Elect &amp; Elect Engn, Ankara, Turkey.;Ozaslan, AA (通訊作者)， Bilkent Univ, Natl Magnet Resonance Res Ctr UMRAM, Ankara, Turkey.</t>
  </si>
  <si>
    <t>ozaslan@ee.bilkent.edu.tr</t>
  </si>
  <si>
    <t>Cukur, Tolga/Z-5452-2019; Çukur, Tolga/Z-5452-2019; Saritas, Emine/A-3730-2013; Demirel, Omer/HTP-8546-2023</t>
  </si>
  <si>
    <t>Cukur, Tolga/0000-0002-2296-851X; Ozaslan, Ali Alper/0000-0003-4067-2904; Saritas, Emine/0000-0001-8551-1077; Demirel, Omer/0000-0003-4726-0590</t>
  </si>
  <si>
    <t>Turkish Academy of Sciences through TUBA-GEBIP 2015 program; Science Academy through BAGEP award</t>
  </si>
  <si>
    <t>Turkish Academy of Sciences through TUBA-GEBIP 2015 program(Turkish Academy of Sciences); Science Academy through BAGEP award</t>
  </si>
  <si>
    <t>A preliminary version of this work was presented at the 8th International Workshop on Magnetic Particle Imaging (IWMPI 2018). This work was supported by the Turkish Academy of Sciences through TUBA-GEBIP 2015 program, and by the Science Academy through BAGEP award.</t>
  </si>
  <si>
    <t>10.1088/1361-6560/ab3525</t>
  </si>
  <si>
    <t>WOS:000482525700009</t>
  </si>
  <si>
    <t>Darafsheh, A; León-Marroquín, EY; Mulrow, DJ; Baradaran-Ghahfarokhi, M; Zhao, TY; Khan, R</t>
  </si>
  <si>
    <t>Darafsheh, Arash; Leon-Marroquin, Elsa Y.; Mulrow, Daniel J.; Baradaran-Ghahfarokhi, Milad; Zhao, Tianyu; Khan, Rao</t>
  </si>
  <si>
    <t>On the spectral characterization of radiochromic films irradiated with clinical proton beams</t>
  </si>
  <si>
    <t>radiochromic film dosimetry; absorption spectroscopy; proton beam; EBT3 film; optical density</t>
  </si>
  <si>
    <t>GAFCHROMIC(R) EBT FILMS; ENERGY-DEPENDENCE; DOSIMETRY SYSTEM; DOSE-RESPONSE; ELECTRON; PHOTON; RANGE</t>
  </si>
  <si>
    <t>Radiochromic films have been widely studied for clinical dosimetry in conventional external beam radiation therapy. With an increase in practice of proton therapy, such films are being conveniently used; however, their spectroscopic characterization for this modality is lacking. This work investigated the response of the EBT3 radiochromic films irradiated in a Mevion S250 (TM) clinical proton beam. Dose, dose rate, inter-batch, sensitivity, and linear energy transfer (LET) dependencies of the films were studied. Pieces of the radiochromic films from different batches were irradiated using a spread-out Bragg peak (SOBP) proton beam at dose levels between 0.1-15 Gy. Absorption spectra were measured in the wavelength range of 400-800 nm with 2.5 nm resolution. For comparison, the optical density of the films was measured using a flatbed scanner. The net absorbance spectra showed two characteristic absorption bands centered at 636 nm and 585 nm. However, a saturation effect, manifested as broadening/splitting appearance, was observed in the 636 nm band for doses beyond a certain batch-dependent level similar to 4-10 Gy, in the three different film batches studied. The differences in the spectral shape led to dose-response curves with variable sensitivity. In general a high spectral sensitivity was observed in 0.1-6 Gy range for the three film batches. For a given dose, no significant change in the spectra was observed with change in the dose rate. No significant dependency on the LET was observed for the EBT3 films irradiated with proton beams with dose-averaged LETs ranging from 1.14-6.50 keV mu m(-1) studied in this work. However, at a given dose, similar to 5% lower spectral response was observed in the films irradiated with protons compared to their counterparts irradiated with photon beams.</t>
  </si>
  <si>
    <t>[Darafsheh, Arash; Leon-Marroquin, Elsa Y.; Mulrow, Daniel J.; Baradaran-Ghahfarokhi, Milad; Zhao, Tianyu; Khan, Rao] Washington Univ, Dept Radiat Oncol, Sch Med, St Louis, MO 63110 USA; [Mulrow, Daniel J.] Washington Univ, Dept Chem, St Louis, MO 63110 USA</t>
  </si>
  <si>
    <t>Washington University (WUSTL); Washington University (WUSTL)</t>
  </si>
  <si>
    <t>Darafsheh, A; Khan, R (通訊作者)， Washington Univ, Dept Radiat Oncol, Sch Med, St Louis, MO 63110 USA.</t>
  </si>
  <si>
    <t>arash.darafsheh@wustl.edu; khanrf@wustl.edu</t>
  </si>
  <si>
    <t>; Darafsheh, Arash/I-9283-2019</t>
  </si>
  <si>
    <t>Darafsheh, Arash/0000-0003-4148-0891; Khan, Rao/0000-0002-7373-6858;</t>
  </si>
  <si>
    <t>CONACYT Mexico</t>
  </si>
  <si>
    <t>CONACYT Mexico(Consejo Nacional de Ciencia y Tecnologia (CONACyT))</t>
  </si>
  <si>
    <t>EY Leon-Marroquin acknowledges the financial support from the CONACYT Mexico for her post-doctoral studies at the Washington University School of Medicine.</t>
  </si>
  <si>
    <t>10.1088/1361-6560/ab23cd</t>
  </si>
  <si>
    <t>WOS:000474396800002</t>
  </si>
  <si>
    <t>Hendley, SA; Bollen, V; Anthony, GJ; Paul, JD; Bader, KB</t>
  </si>
  <si>
    <t>Hendley, Samuel A.; Bollen, Viktor; Anthony, Gregory J.; Paul, Jonathan D.; Bader, Kenneth B.</t>
  </si>
  <si>
    <t>In vitro assessment of stiffness-dependent histotripsy bubble cloud activity in gel phantoms and blood clots</t>
  </si>
  <si>
    <t>focused ultrasound; histotripsy; passive cavitation imaging; phantom; deep vein thrombosis</t>
  </si>
  <si>
    <t>DEEP-VEIN THROMBOSIS; ULTRASOUND THERAPY; SHOCK-SCATTERING; CAVITATION; TISSUE; FREQUENCY; PULSES; SUSCEPTIBILITY; THROMBOLYSIS; PROSTATE</t>
  </si>
  <si>
    <t>As a bubble-based ablative therapy, the efficacy of histotripsy has been demonstrated in healthy or acutely diseased models. Chronic conditions associated with stiff tissues may require additional bubble activity prior to histotripsy liquefaction. In this study, histotripsy pulses were generated in agarose phantoms of Young's moduli ranging from 12.3 to 142 kPa, and in vitro clot models with mild and strong platelet-activated retraction. Bubble cloud emissions were tracked with passive cavitation imaging, and the threshold acoustic power associated with phantom liquefaction was extracted with receiver operator characteristic analysis. The power of histotripsy-generated emissions and the degree of liquefaction were tabulated for both clot models. For the agarose phantoms, the acoustic power associated with liquefaction increased with Young's modulus. When grouped based on agarose concentration, only two arms displayed a significant difference in the liquefaction threshold acoustic power (22.1 kPa versus 142 kPa Young's modulus). The bubble cloud dynamics tracked with passive cavitation imaging indicated no strong changes in the bubble dynamics based on the phantom stiffness. For identical histotripsy exposure, the power of acoustic emissions and degree of clot lysis did not vary based on the clot model. Overall, these results indicate that a fixed threshold acoustic power mapped with passive cavitation imaging can be utilized for predicting histotripsy liquefaction over a wide range of tissue stiffness.</t>
  </si>
  <si>
    <t>[Hendley, Samuel A.; Bollen, Viktor; Anthony, Gregory J.; Paul, Jonathan D.; Bader, Kenneth B.] Univ Chicago, Chicago, IL 60637 USA; [Hendley, Samuel A.] 5812 S Ellis Ave,IB 016, Chicago, IL 60637 USA</t>
  </si>
  <si>
    <t>Hendley, SA (通訊作者)， Univ Chicago, Chicago, IL 60637 USA.;Hendley, SA (通訊作者)， 5812 S Ellis Ave,IB 016, Chicago, IL 60637 USA.</t>
  </si>
  <si>
    <t>hendley@uchicago.edu</t>
  </si>
  <si>
    <t>Parts of this work were carried out at the Soft Matter Characterization Facility of the University of Chicago. The authors gratefully acknowledge the discussions of passive cavitation imaging with Kevin J. Haworth, and Adam D. Maxwell for his assistance calibrating the histotripsy source. This work was funded in part by the National Institutes of Health, Grant R01HL13334.</t>
  </si>
  <si>
    <t>10.1088/1361-6560/ab25a6</t>
  </si>
  <si>
    <t>WOS:000476529600003</t>
  </si>
  <si>
    <t>Simard, M; Lapointe, A; Lalonde, A; Bahig, H; Bouchard, H</t>
  </si>
  <si>
    <t>Simard, Mikael; Lapointe, Andreanne; Lalonde, Arthur; Bahig, Houda; Bouchard, Hugo</t>
  </si>
  <si>
    <t>The potential of photon-counting CT for quantitative contrast-enhanced imaging in radiotherapy</t>
  </si>
  <si>
    <t>photon-counting computed tomography; dual-energy computed tomography; contrast-enhanced computed tomography; virtual non-contrast; iodine; radiotherapy</t>
  </si>
  <si>
    <t>EXPERIMENTAL FEASIBILITY; COMPUTED-TOMOGRAPHY; TISSUE PARAMETERS; PERFORMANCE; AGENTS</t>
  </si>
  <si>
    <t>The aim of this study is to use a simulation environment to evaluate the potential of using photon-counting CT (PCCT) against dual-energy CT (DECT) in the context of quantitative contrast-enhanced CT for radiotherapy. An adaptation of Bayesian eigentissue decomposition by Lalonde et al (2017 Med. Phys. 44 5293-302) that incorporates the estimation of contrast agent fractions and virtual non-contrast (VNC) parameters is proposed, and its performance is validated against conventional maximum likelihood material decomposition methods for single and multiple contrast agents. PCCT and DECT are compared using two simulation frameworks: one including ideal CT numbers with image-based Gaussian noise and another defined as a virtual patient with projection-based Poisson noise and beam hardening artifacts, with both scenarios considering spectral distortion for PCCT. The modalities are compared for their accuracy in estimating four key physical parameters: (1) the contrast agent fraction, as well as VNC parameters relevant to radiotherapy such as the (2) electron density, (3) proton stopping power and (4) photon linear attenuation coefficient. Considering both simulation frameworks, a reduction of root mean square (RMS) errors with PCCT is noted for all physical parameters evaluated, with the exception of the error on the contrast agent fraction being about constant through modalities in the virtual patient. Notably, for the virtual patient, RMS errors on VNC electron density and stopping power are respectively reduced from 2.0% to 1.4% and 2.7% to 1.4% when going from DECT to PCCT with four energy bins. The increase in accuracy is comparable to the differences between contrast-enhanced and non-contrast DECT. This study suggests that in a realistic simulation environment, the overall accuracy of radiotherapy-related parameters can be increased when using PCCT with four energy bins instead of DECT. This confirms the potential of PCCT to provide robust and quantitative tissue parameters for contrast-enhanced CT required in radiotherapy applications.</t>
  </si>
  <si>
    <t>[Simard, Mikael; Lalonde, Arthur; Bouchard, Hugo] Univ Montreal, Dept Phys, Pavillon Roger Gaudry D-428,2900 Blvd Edouard, Montreal, PQ H3T 1J4, Canada; [Lapointe, Andreanne; Bahig, Houda; Bouchard, Hugo] CHUM, Dept Radiooncol, 1560 Rue Sherbrooke Est, Montreal, PQ H2L 4M1, Canada; [Bahig, Houda; Bouchard, Hugo] Ctr Hosp Univ Montreal, Ctr Rech, 900 Rue St Denis, Montreal, PQ H2X 0A9, Canada</t>
  </si>
  <si>
    <t>Universite de Montreal; Universite de Montreal; Universite de Montreal</t>
  </si>
  <si>
    <t>Simard, M (通訊作者)， Univ Montreal, Dept Phys, Pavillon Roger Gaudry D-428,2900 Blvd Edouard, Montreal, PQ H3T 1J4, Canada.</t>
  </si>
  <si>
    <t>mikael.simard@umontreal.ca</t>
  </si>
  <si>
    <t>; Bouchard, Hugo/AAW-6909-2020; Lalonde, Arthur/L-6210-2019</t>
  </si>
  <si>
    <t>Lalonde, Arthur/0000-0002-8715-8235; Simard, Mikael/0000-0003-0610-6319</t>
  </si>
  <si>
    <t>Natural Sciences and Engineering Research Council of Canada [NSERC RGPIN/04178-2015]; Fonds de recherche du Quebec-Nature et Technologies (FQRNT)</t>
  </si>
  <si>
    <t>Natural Sciences and Engineering Research Council of Canada(Natural Sciences and Engineering Research Council of Canada (NSERC)CGIAR); Fonds de recherche du Quebec-Nature et Technologies (FQRNT)</t>
  </si>
  <si>
    <t>We acknowledge financial support by the Natural Sciences and Engineering Research Council of Canada (NSERC RGPIN/04178-2015) and the Fonds de recherche du Quebec-Nature et Technologies (FQRNT).</t>
  </si>
  <si>
    <t>10.1088/1361-6560/ab1af1</t>
  </si>
  <si>
    <t>WOS:000470205600004</t>
  </si>
  <si>
    <t>Turk, M; Simoncic, U; Roth, A; Valentinuzzi, D; Jeraj, R</t>
  </si>
  <si>
    <t>Turk, Marusa; Simoncic, Urban; Roth, Alison; Valentinuzzi, Damijan; Jeraj, Robert</t>
  </si>
  <si>
    <t>Computational modelling of resistance and associated treatment response heterogeneity in metastatic cancers</t>
  </si>
  <si>
    <t>computational model; tumour modelling; tumour growth; Metastasis biology; tumour heterogeneity; treatment response heterogeneity</t>
  </si>
  <si>
    <t>PROSTATE-CANCER; TUMOR HETEROGENEITY; DRUG-RESISTANCE; ABIRATERONE ACETATE; CLINICAL-OUTCOMES; GROWTH; EVOLUTION; DYNAMICS; SIZE; PHARMACOKINETICS</t>
  </si>
  <si>
    <t>Metastatic cancer patients invariably develop treatment resistance. Different levels of resistance lead to observed heterogeneity in treatment response. The main goal was to evaluate treatment response heterogeneity with a computation model simulating the dynamics of drug-sensitive and drug-resistant cells. Model parameters included proliferation, drug-induced death, transition and proportion of intrinsically resistant cells. The model was benchmarked with imaging metrics extracted from 39 metastatic prostate cancer patients who had F-18-NaF-PET/CT scans performed at baseline and at three cycles into chemotherapy or hormonal therapy. Two initial model assumptions were evaluated: considering only inter-patient heterogeneity and both inter-patient and intra-patient heterogeneity in the proportion of intrinsically resistant cells. The correlation between the median proportion of intrinsically resistant cells and baseline patient-level imaging metrics was assessed with Spearman's rank correlation coefficient. The impact of model parameters on simulated treatment response was evaluated with a sensitivity study. Treatment response after periods of six, nine, and 12 months was predicted with the model. The median predicted range of response for patients treated with both therapies was compared with a Wilcoxon rank sum test. For each patient, the time was calculated when the proportion of disease with a non-favourable response outperformed a favourable response. By taking into account inter-patient and intra-patient heterogeneity in the proportion of intrinsically resistant cells, the model performed significantly better ((AIC) over bar = -250) than by taking into account only inter-patient heterogeneity ((AIC) over bar = 6). The median proportion of intrinsically resistant cells showed a moderate correlation (rho = 0.55) with mean patient-level uptake, and a low correlation (rho = 0.36) with the dispersion of mean metastasis-level uptake in a patient. The sensitivity study showed a strong impact of the proportion of intrinsically resistant cells on model behaviour after three cycles of therapy. The difference in the median range of response (MRR) was not significant between cohorts at any time point (p &gt; 0.15). The median time when the proportion of disease with a non-favourable response outperformed the favourable response was eight months, for both cohorts. The model provides an insight into inter-patient and intra-patient heterogeneity in the evolution of treatment resistance.</t>
  </si>
  <si>
    <t>[Turk, Marusa; Simoncic, Urban; Valentinuzzi, Damijan; Jeraj, Robert] Univ Ljubljana, Fac Math &amp; Phys, Ljubljana, Slovenia; [Simoncic, Urban; Valentinuzzi, Damijan; Jeraj, Robert] Jozef Stefan Inst, Ljubljana, Slovenia; [Roth, Alison; Jeraj, Robert] Univ Wisconsin, Dept Med Phys, 1530 Med Sci Ctr, Madison, WI 53706 USA</t>
  </si>
  <si>
    <t>University of Ljubljana; Slovenian Academy of Sciences &amp; Arts (SASA); Jozef Stefan Institute; University of Wisconsin System; University of Wisconsin Madison</t>
  </si>
  <si>
    <t>Turk, M (通訊作者)， Univ Ljubljana, Fac Math &amp; Phys, Ljubljana, Slovenia.</t>
  </si>
  <si>
    <t>marusa.turk@fmf.uni-lj.si</t>
  </si>
  <si>
    <t>; Roth, Alison/S-5550-2018</t>
  </si>
  <si>
    <t>Valentinuzzi, Damijan/0000-0003-1397-3170; Jeraj, Robert/0000-0002-2192-2931; Roth, Alison/0000-0003-1601-6480</t>
  </si>
  <si>
    <t>10.1088/1361-6560/ab0924</t>
  </si>
  <si>
    <t>WOS:000468942900001</t>
  </si>
  <si>
    <t>Delage, MÉ; Lecavalier, MÉ; Larivière, D; Allen, CN; Beaulieu, L</t>
  </si>
  <si>
    <t>Delage, Marie-Eve; Lecavalier, Marie-Eve; Lariviere, Dominic; Allen, Claudine Ni; Beaulieu, Luc</t>
  </si>
  <si>
    <t>Dosimetric properties of colloidal quantum dot-based systems for scintillation dosimetry</t>
  </si>
  <si>
    <t>scintillation dosimetry; quantum dots; ionizing radiation; energy dependence; radiation therapy; cavity theory</t>
  </si>
  <si>
    <t>RADIATION DETECTION; RAY; DETECTORS</t>
  </si>
  <si>
    <t>Colloidal quantum dots (cQDs) are starting to be used in radiation detection, either combined with an organic fluorophore or used as a sole luminescent material. In the latter case, only few studies report on cQD-based detectors for medical applications, especially for scintillation dosimetry in radiation therapy. Moreover, most of these studies focus on the effects of radiation on cQD photoluminescence but do not look into the properties of the scintillation signal itself. The present article provides a study of those cQD scintillation properties not previously investigated including the linearity of the signal as a function of dose, the signal dose rate and beam energy dependencies. The latter was also characterized for the commercially available scintillating fiber BCF-60 and liquid scintillator Ultima Gold. CdSe multishell cQDs in two physical forms were used as a sensitive dosimeter volume: a cQD powder to constitute a fiber optic based dosimeter and cQD liquid dispersions to be volumetric dosimeters. The signal linearity was assessed with a R-2 coefficient &gt;0.999 over a clinically relevant dose range at kV and MV beam energies. The cQDs had a good overall dose rate independence, with a change from the relative dose of 1% at MV energies and 2% at kV energies, of their scintillation output when irradiated with an orthovoltage device and a linear accelerator. Regarding the beam energy dependence, the cQD powder had the highest dependence amongst all the scintillators compared, the 120 kVp light output being up to almost 4 times that of the 6 MV beam. The smallest effect of the beam energy was reported for the cQD alkylbenzene liquid dispersion, having a variation of light signal normalized to 6 MV of 15% that is even less than for BCF-60 and Ultima Gold.</t>
  </si>
  <si>
    <t>[Delage, Marie-Eve; Allen, Claudine Ni; Beaulieu, Luc] Univ Laval, Dept Phys Genie Phys &amp; Opt, Quebec City, PQ G1V 0A6, Canada; [Delage, Marie-Eve; Beaulieu, Luc] Univ Laval, Ctr Rech Canc, Quebec City, PQ G1V 0A6, Canada; [Delage, Marie-Eve; Beaulieu, Luc] Univ Laval, CHU Quebec, Ctr Rech, Quebec City, PQ G1R 2J6, Canada; [Lecavalier, Marie-Eve; Lariviere, Dominic] Univ Laval, Dept Chim, Lab Radioecol, Quebec City, PQ G1V 0A6, Canada; [Allen, Claudine Ni] Univ Laval, COPL, Quebec City, PQ G1V 0A6, Canada</t>
  </si>
  <si>
    <t>Laval University; Laval University; Laval University; Laval University Hospital; Laval University; Laval University</t>
  </si>
  <si>
    <t>Beaulieu, L (通訊作者)， Univ Laval, Dept Phys Genie Phys &amp; Opt, Quebec City, PQ G1V 0A6, Canada.;Beaulieu, L (通訊作者)， Univ Laval, Ctr Rech Canc, Quebec City, PQ G1V 0A6, Canada.;Beaulieu, L (通訊作者)， Univ Laval, CHU Quebec, Ctr Rech, Quebec City, PQ G1R 2J6, Canada.</t>
  </si>
  <si>
    <t>Allen, Claudine/L-1610-2013; Beaulieu, Luc/A-6803-2009</t>
  </si>
  <si>
    <t>Beaulieu, Luc/0000-0003-0429-6366; Lariviere, Dominic/0000-0003-1860-1181</t>
  </si>
  <si>
    <t>Natural Sciences and Engineering Research Council of Canada (NSERC) [435510-2013, RG-PIN-2014-04253, RG-PIN-2014-03790]; Fonds de Recherche du Quebec-Natures et Technologies (FRQ-NT) [2018-PR-207511]; NSERC Alexander-Graham-Bell PhD grant; NSERC CREATE Medical Physics Research Training Network grant [432290]</t>
  </si>
  <si>
    <t>Natural Sciences and Engineering Research Council of Canada (NSERC)(Natural Sciences and Engineering Research Council of Canada (NSERC)); Fonds de Recherche du Quebec-Natures et Technologies (FRQ-NT); NSERC Alexander-Graham-Bell PhD grant(Natural Sciences and Engineering Research Council of Canada (NSERC)); NSERC CREATE Medical Physics Research Training Network grant(Natural Sciences and Engineering Research Council of Canada (NSERC))</t>
  </si>
  <si>
    <t>This work was financed by the Natural Sciences and Engineering Research Council of Canada (NSERC) Discovery grants (435510-2013, RG-PIN-2014-04253 and RG-PIN-2014-03790) and the Fonds de Recherche du Quebec-Natures et Technologies (FRQ-NT) grand #2018-PR-207511. Marie-Eve Delage acknowledges support by the NSERC Alexander-Graham-Bell PhD grant and partial support by the NSERC CREATE Medical Physics Research Training Network grant (432290). The authors would also like to thank Carly Whittaker for the english revision of the paper.</t>
  </si>
  <si>
    <t>10.1088/1361-6560/ab109b</t>
  </si>
  <si>
    <t>WOS:000466862700006</t>
  </si>
  <si>
    <t>Hsu, DFC; Freese, DL; Innes, DR; Levin, CS</t>
  </si>
  <si>
    <t>Hsu, D. F. C.; Freese, D. L.; Innes, D. R.; Levin, Craig S.</t>
  </si>
  <si>
    <t>Intercrystal scatter studies for a 1 mm3 resolution clinical PET system prototype</t>
  </si>
  <si>
    <t>intercrystal scatter; PET; multiplexing; PSAPD; image quality</t>
  </si>
  <si>
    <t>DETECTOR; EVENTS; REJECTION; RECOVERY; ARRAY</t>
  </si>
  <si>
    <t>Positron emission tomography (PET) systems designed with multiplexed readout do not usually have the capability to resolve individual intercrystal scatter (ICS) interactions, leading to interaction mispositioning that degrades spatial resolution and contrast. A 3D position sensitive scintillation detector capable of individual ICS readout has been designed and incorporated into a 1 mm(3) resolution clinical PET system used for locoregional imaging. Incorporating ICS events increases photon sensitivity by 51.5% compared to using only photoelectric events. A Compton scatter angle error minimization algorithm is used to estimate the first ICS interaction location for accurate line-of-response pairing of coincident photons. An optimal scatter angle error threshold of 15 degrees is used to discard ICS events with a high mismatch between energy-derived and position-derived intercrystal scatter angles. Finally, positioning rather than rejecting ICS events boosts peak contrast to noise ratio by 8.1%, and allows for an equivalent dose reduction of 12% while maintaining equivalent image quality.</t>
  </si>
  <si>
    <t>[Hsu, D. F. C.; Freese, D. L.; Levin, Craig S.] Stanford Univ, Dept Elect Engn, Stanford, CA 94305 USA; [Innes, D. R.; Levin, Craig S.] Stanford Univ, Dept Radiol, Stanford, CA 94305 USA; [Levin, Craig S.] Stanford Univ, Dept Phys, Stanford, CA 94305 USA; [Levin, Craig S.] Stanford Univ, Dept Bioengn, Stanford, CA 94305 USA</t>
  </si>
  <si>
    <t>Stanford University; Stanford University; Stanford University; Stanford University</t>
  </si>
  <si>
    <t>Levin, CS (通訊作者)， Stanford Univ, Dept Elect Engn, Stanford, CA 94305 USA.;Levin, CS (通訊作者)， Stanford Univ, Dept Radiol, Stanford, CA 94305 USA.;Levin, CS (通訊作者)， Stanford Univ, Dept Phys, Stanford, CA 94305 USA.;Levin, CS (通訊作者)， Stanford Univ, Dept Bioengn, Stanford, CA 94305 USA.</t>
  </si>
  <si>
    <t>cslevin@stanford.edu</t>
  </si>
  <si>
    <t>Freese, David/0000-0001-6954-1292; Levin, Craig/0000-0002-4575-5074</t>
  </si>
  <si>
    <t>10.1088/1361-6560/ab115b</t>
  </si>
  <si>
    <t>WOS:000466862700003</t>
  </si>
  <si>
    <t>Werner, T; Berthold, J; Hueso-González, F; Koegler, T; Petzoldt, J; Roemer, K; Richter, C; Rinscheid, A; Straessner, A; Enghardt, W; Pausch, G</t>
  </si>
  <si>
    <t>Werner, Theresa; Berthold, Jonathan; Hueso-Gonzalez, Fernando; Koegler, Toni; Petzoldt, Johannes; Roemer, Katja; Richter, Christian; Rinscheid, Andreas; Straessner, Arno; Enghardt, Wolfgang; Pausch, Guntram</t>
  </si>
  <si>
    <t>Processing of prompt gamma-ray timing data for proton range measurements at a clinical beam delivery</t>
  </si>
  <si>
    <t>proton therapy; range verification; prompt gamma-ray timing</t>
  </si>
  <si>
    <t>PENCIL BEAMS; SLIT-CAMERA; VERIFICATION; OPTIMIZATION</t>
  </si>
  <si>
    <t>In proton therapy, patients benefit from the precise deposition of the dose in the tumor volume due to the interaction of charged particles with matter. Currently, the determination of the beam range in the patient's body during the treatment is not a clinical standard. This lack causes broad safety margins around the tumor, which limits the potential of proton therapy. To overcome this obstacle, different methods are under investigation aiming at the verification of the proton range in real time during the irradiation. One approach is the prompt gamma-ray timing (PGT) method, where the range of the primary protons is derived from time-resolved profiles (PGT spectra) of promptly emitted gamma rays, which are produced along the particle track in tissue. After verifying this novel technique in an experimental environment but far away from treatment conditions, the translation of PGT into clinical practice is intended. Therefore, new hardware was extensively tested and characterized using short irradiation times of 70 ms and clinical beam currents of 2 nA. Experiments were carried out in the treatment room of the University Proton Therapy Dresden. A pencil beam scanning plan was delivered to a target without and with cylindrical air cavities of down to 5 mm thickness. The range shifts of the proton beam induced due to the material variation could be identified from the corresponding PGT spectra, comprising events collected during the delivery of a whole energy layer. Additionally, an assignment of the PGT data to the individual pencil beam spots allowed a spot-wise analysis of the variation of the PGT distribution mean and width, corresponding to range shifts produced by the different air cavities. Furthermore, the paper presents a comprehensive software framework which standardizes future PGT analysis methods and correction algorithms for technical limitations that have been encountered in the presented experiments.</t>
  </si>
  <si>
    <t>[Werner, Theresa; Berthold, Jonathan; Koegler, Toni; Richter, Christian; Enghardt, Wolfgang; Pausch, Guntram] Tech Univ Dresden, OncoRay Natl Ctr Radiat Res Oncol, Fac Med, Dresden, Germany; [Werner, Theresa; Berthold, Jonathan; Koegler, Toni; Richter, Christian; Enghardt, Wolfgang; Pausch, Guntram] Tech Univ Dresden, Univ Hosp Carl Gustav Carus, Helmholtz Zentrum Dresden Rossendorf, Dresden, Germany; [Werner, Theresa; Berthold, Jonathan; Koegler, Toni; Richter, Christian; Enghardt, Wolfgang; Pausch, Guntram] Helmholtz Zentrum Dresden Rossendorf, Inst Radiooncol OncoRay, Dresden, Germany; [Hueso-Gonzalez, Fernando] Massachusetts Gen Hosp, Dept Radiat Oncol, Boston, MA 02114 USA; [Hueso-Gonzalez, Fernando] Harvard Med Sch, Boston, MA 02115 USA; [Petzoldt, Johannes] Ion Beam Applicat SA, Louvain La Neuve, Belgium; [Roemer, Katja] Helmholtz Zentrum Dresden Rossendorf, Inst Radiat Phys, Dresden, Germany; [Rinscheid, Andreas] Ulm Univ, Dept Nucl Med, Med Radiat Phys, Ulm, Germany; [Straessner, Arno] Tech Univ Dresden, Inst Nucl &amp; Particle Phys, Dresden, Germany; [Enghardt, Wolfgang] German Canc Consortium DKTK, Dresden, Germany; [Enghardt, Wolfgang] German Canc Res Ctr, Heidelberg, Germany</t>
  </si>
  <si>
    <t>Technische Universitat Dresden; Technische Universitat Dresden; Carl Gustav Carus University Hospital; Helmholtz Association; Helmholtz-Zentrum Dresden-Rossendorf (HZDR); Helmholtz Association; Helmholtz-Zentrum Dresden-Rossendorf (HZDR); Harvard University; Harvard University Medical Affiliates; Massachusetts General Hospital; Harvard University; Harvard Medical School; Helmholtz Association; Helmholtz-Zentrum Dresden-Rossendorf (HZDR); Ulm University; Technische Universitat Dresden; Helmholtz Association; German Cancer Research Center (DKFZ); Helmholtz Association; German Cancer Research Center (DKFZ)</t>
  </si>
  <si>
    <t>Werner, T (通訊作者)， Tech Univ Dresden, OncoRay Natl Ctr Radiat Res Oncol, Fac Med, Dresden, Germany.;Werner, T (通訊作者)， Tech Univ Dresden, Univ Hosp Carl Gustav Carus, Helmholtz Zentrum Dresden Rossendorf, Dresden, Germany.;Werner, T (通訊作者)， Helmholtz Zentrum Dresden Rossendorf, Inst Radiooncol OncoRay, Dresden, Germany.</t>
  </si>
  <si>
    <t>theresa.werner@oncoray.de</t>
  </si>
  <si>
    <t>Pausch, Guntram/AAC-2046-2020; Kögler, Toni/AAB-7859-2020; Hueso-González, Fernando/AAI-8102-2020; Richter, Christian/K-4301-2018; Hueso-Gonzalez, Fernando/AAI-8102-2020</t>
  </si>
  <si>
    <t>Straessner, Arno/0000-0003-2460-6659; Kogler, Toni/0000-0002-9501-0898; Richter, Christian/0000-0003-4261-4214; Pausch, Guntram/0000-0002-2336-0178; Hueso-Gonzalez, Fernando/0000-0003-3217-0090; Berthold, Jonathan/0000-0002-6312-1905; Rinscheid, Andreas/0009-0008-8625-0217</t>
  </si>
  <si>
    <t>10.1088/1361-6560/ab176d</t>
  </si>
  <si>
    <t>WOS:000468634900003</t>
  </si>
  <si>
    <t>Li, X; Hong, Y; Kong, DX; Zhang, XL</t>
  </si>
  <si>
    <t>Li, Xu; Hong, Yuan; Kong, Dexing; Zhang, Xinling</t>
  </si>
  <si>
    <t>Automatic segmentation of levator hiatus from ultrasound images using U-net with dense connections</t>
  </si>
  <si>
    <t>levator hiatus; segmentation; ultrasound; densely connection; U-net</t>
  </si>
  <si>
    <t>CONVOLUTIONAL NEURAL-NETWORKS; MODEL</t>
  </si>
  <si>
    <t>In this paper, we propose a fully automatic method based on a densely connected convolutional network for the segmentation of the levator hiatus from ultrasound images. A densely connected path is incorporated into a U-net to achieve a deep architecture and improve the segmentation performance. The proposed network architecture provides dense connections between layers that encourage feature reuse and reduce the number of parameters while maintaining good performance. The parameters of the network are optimized by training with a binary cross entropy, i.e. logarithmic loss function. A dataset with 1000 levator hiatus images is used for training and 130 images are used for evaluating the performance of the proposed network architecture. The proposed model can get a mean Dice of 96.4% +/- 0.7%. Experimental results show that the proposed method can achieve more accurate segmentation results than some of state-of-the-art methods.</t>
  </si>
  <si>
    <t>[Li, Xu; Hong, Yuan; Kong, Dexing] Zhejiang Univ, Sch Math Sci, Hangzhou 310027, Zhejiang, Peoples R China; [Zhang, Xinling] Sun Yat Sen Univ, Affiliated Hosp 3, Dept Med Ultrason, Guangzhou 510000, Guangdong, Peoples R China</t>
  </si>
  <si>
    <t>Zhejiang University; Sun Yat Sen University</t>
  </si>
  <si>
    <t>Kong, DX (通訊作者)， Zhejiang Univ, Sch Math Sci, Hangzhou 310027, Zhejiang, Peoples R China.;Zhang, XL (通訊作者)， Sun Yat Sen Univ, Affiliated Hosp 3, Dept Med Ultrason, Guangzhou 510000, Guangdong, Peoples R China.</t>
  </si>
  <si>
    <t>dkong@zju.edu.cn; sunney40630@139.com</t>
  </si>
  <si>
    <t>National Nature Science Foundation of China [91630311]</t>
  </si>
  <si>
    <t>This work is supported by the National Nature Science Foundation of China (No. 91630311).</t>
  </si>
  <si>
    <t>10.1088/1361-6560/ab0ef4</t>
  </si>
  <si>
    <t>WOS:000463540400003</t>
  </si>
  <si>
    <t>Mahnam, M; Gendreau, M; Lahrichi, N; Rousseau, LM</t>
  </si>
  <si>
    <t>Mahnam, Mehdi; Gendreau, Michel; Lahrichi, Nadia; Rousseau, Louis-Martin</t>
  </si>
  <si>
    <t>Integrating DVH criteria into a column generation algorithm for VMAT treatment planning</t>
  </si>
  <si>
    <t>volumetric-modulated arc therapy; direct-aperture optimization; dose-volume criteria; column generation</t>
  </si>
  <si>
    <t>VOLUMETRIC-MODULATED ARC; FLUENCE MAP OPTIMIZATION; RADIATION-THERAPY; DELIVERY; IMRT</t>
  </si>
  <si>
    <t>Volumetric-modulated arc therapy (VMAT) treatment planning is an efficient treatment technique with a high degree of flexibility in terms of dose rate, gantry speed, and aperture shapes during rotation around the patient. However, the dynamic nature of VMAT results in a large-scale nonconvex optimization problem. Determining the priority of the tissues and voxels to obtain clinically acceptable treatment plans poses additional challenges for VMAT optimization. The main purpose of this paper is to develop an automatic planning approach integrating dose-volume histogram (DVH) criteria in direct aperture optimization for VMAT, by adjusting the model parameters during the algorithm. The proposed algorithm is based on column generation, an optimization technique that sequentially generates the apertures and optimizes the corresponding intensities. We take the advantage of iterative procedure in this method to modify the weight vector of the penalty function based on the DVH criteria and decrease the use of trial-and-error in the search for clinically acceptable plans. We evaluate the efficiency of the algorithm and treatment quality using a clinical prostate case and a challenging head-and-neck case. In both cases, we generate 15 random initial weight vectors to assess the robustness of the algorithm. In the prostate case, our methodology obtained clinically acceptable plans in all instances with only a 10% increase in the computational time, while simple VMAT optimization found just three acceptable plans. To have an idea with respect to the existing software, we compared the obtained DVH to a commercial software. The quality of the diagrams of the proposed method, especially for the healthy tissues, is significantly better while the computational time is less. In the head-and-neck case, 93.3% of the clinically acceptable plans are obtained while no plan was acceptable in simple VMAT. In sum, the results demonstrate the ability of the proposed optimization algorithm to obtain clinically acceptable plans without human intervention and also its robustness to weight parameters. Moreover, our proposed weight adjustment procedure proves to reduce the symmetry in the solution space and the time required for the post-optimization phase.</t>
  </si>
  <si>
    <t>[Mahnam, Mehdi; Gendreau, Michel; Lahrichi, Nadia; Rousseau, Louis-Martin] Polytech Montreal, Canada Res Chair Healthcare Analyt &amp; Logist, Dept Math &amp; Ind Engn, Montreal, PQ, Canada</t>
  </si>
  <si>
    <t>Universite de Montreal; Polytechnique Montreal</t>
  </si>
  <si>
    <t>Mahnam, M (通訊作者)， Polytech Montreal, Canada Res Chair Healthcare Analyt &amp; Logist, Dept Math &amp; Ind Engn, Montreal, PQ, Canada.</t>
  </si>
  <si>
    <t>mehdi.mahnam@polymtl.ca</t>
  </si>
  <si>
    <t>Mahnam, Mehdi/G-3290-2010; Gendreau, Michel/M-6235-2018; Gendreau, Michel/HDO-6155-2022</t>
  </si>
  <si>
    <t>Mahnam, Mehdi/0000-0003-1985-6813; Gendreau, Michel/0000-0002-9262-3648; Rousseau, Louis-Martin/0000-0001-6949-6014</t>
  </si>
  <si>
    <t>Natural Sciences and Engineering Research Council of Canada (NSERC); Vanier Canada Graduate Scholarship program [DVC134707]</t>
  </si>
  <si>
    <t>Natural Sciences and Engineering Research Council of Canada (NSERC)(Natural Sciences and Engineering Research Council of Canada (NSERC)); Vanier Canada Graduate Scholarship program</t>
  </si>
  <si>
    <t>The authors gratefully acknowledge financial support from the Natural Sciences and Engineering Research Council of Canada (NSERC) and the Vanier Canada Graduate Scholarship program (DVC134707). We also thank Prof David Craft, Harvard Medical School, who helped us by providing the data, Dr Marc-Andre Renaud, McGill University, for helpful comments, and Dr Martin Hinse, Medical Physicist at Laval Integrated Cancer Centre (CICL), for comparison to commercial sotware. The authors also wish to thank the anonymous referees whose insightful comments have helped us to improve our paper.</t>
  </si>
  <si>
    <t>10.1088/1361-6560/ab091c</t>
  </si>
  <si>
    <t>WOS:000518923400008</t>
  </si>
  <si>
    <t>Badea, CT; Clark, DP; Holbrook, M; Srivastava, M; Mowery, Y; Ghaghada, KB</t>
  </si>
  <si>
    <t>Badea, C. T.; Clark, D. P.; Holbrook, M.; Srivastava, M.; Mowery, Y.; Ghaghada, K. B.</t>
  </si>
  <si>
    <t>Functional imaging of tumor vasculature using iodine and gadolinium-based nanoparticle contrast agents: a comparison of spectral micro-CT using energy integrating and photon counting detectors</t>
  </si>
  <si>
    <t>computed tomography; preclinical; spectral; liposomes; nanoparticles; cancer; photon counting detector</t>
  </si>
  <si>
    <t>COMPUTED-TOMOGRAPHY; FEASIBILITY; MODEL</t>
  </si>
  <si>
    <t>Advances in computed tomography (CT) hardware have propelled the development of novel CT contrast agents. In particular, the spectral capabilities of x-ray CT can facilitate simultaneous imaging of multiple contrast agents. This approach is particularly useful for functional imaging of solid tumors by simultaneous visualization of multiple targets or architectural features that govern cancer development and progression. Nanoparticles are a promising platform for contrast agent development. While several novel imaging moieties based on high atomic number elements are being explored, iodine (I) and gadolinium (Gd) are particularly attractive because of their existing approval for clinical use. In this work, we investigate the in vivo discrimination of I and Gd nanoparticle contrast agents using both dual energy micro-CT with energy integrating detectors (DE-EID) and photon counting detector (PCD)-based spectral micro-CT. Simulations and phantom experiments were performed using varying concentrations of I and Gd to determine the imaging performance with optimized acquisition parameters. Quantitative spectral micro-CT imaging using liposomal-iodine (Lip-I) and liposomal-Gd (Lip-Gd) nanoparticle contrast agents was performed in sarcoma bearing mice for anatomical and functional imaging of tumor vasculature. Iterative reconstruction provided high sensitivity to detect and discriminate relatively low I and Gd concentrations. According to the Rose criterion applied to the experimental results, the detectability limits for I and Gd were approximately 2.5 mg ml(-1) for both DE-EID CT and PCD micro-CT, even if the radiation dose was approximately 3.8 times lower with PCD micro-CT. The material concentration maps confirmed expected biodistributions of contrast agents in the blood, liver, spleen and kidneys. The PCD provided lower background signal and better simultaneous visualization of tumor vasculature and intratumoral distribution patterns of nanoparticle contrast agent compared to DE-EID decompositions. Preclinical spectral CT systems such as this could be useful for functional characterization of solid tumors, simultaneous quantitative imaging of multiple targets and for identifying clinically-relevant applications that benefit from the use of spectral imaging. Additionally, it could aid in the development nanoparticles that show promise in the developing field of cancer theranostics (therapy and diagnostics) by measuring vascular tumor biomarkers such as fractional blood volume and the delivery of liposomal chemotherapeutics.</t>
  </si>
  <si>
    <t>[Badea, C. T.; Clark, D. P.; Holbrook, M.] Duke Univ, Dept Radiol, Ctr Vivo Microscopy, Durham, NC 27710 USA; [Mowery, Y.] Duke Univ, Dept Radiat Oncol, Durham, NC 27710 USA; [Srivastava, M.; Ghaghada, K. B.] Texas Childrens Hosp, Singleton Dept Pediat Radiol, Houston, TX 77030 USA</t>
  </si>
  <si>
    <t>Duke University; Duke University; Baylor College of Medicine; Baylor College Medical Hospital</t>
  </si>
  <si>
    <t>Badea, CT (通訊作者)， Duke Univ, Dept Radiol, Ctr Vivo Microscopy, Durham, NC 27710 USA.</t>
  </si>
  <si>
    <t>cristian.badea@duke.edu</t>
  </si>
  <si>
    <t>; Badea, Cristian/B-6681-2011; Mowery, Yvonne/AFP-2442-2022</t>
  </si>
  <si>
    <t>Holbrook, Matthew/0000-0002-5832-8725; Badea, Cristian/0000-0002-1850-2522;</t>
  </si>
  <si>
    <t>NIH National Cancer Institute [R01 CA196667, U24 CA220245]; NIH training Grant [T32-EB001040]</t>
  </si>
  <si>
    <t>NIH National Cancer Institute(United States Department of Health &amp; Human ServicesNational Institutes of Health (NIH) - USANIH National Cancer Institute (NCI)); NIH training Grant(United States Department of Health &amp; Human ServicesNational Institutes of Health (NIH) - USA)</t>
  </si>
  <si>
    <t>All work was performed at the Duke Center for In vivo Microscopy and was supported by the NIH National Cancer Institute (R01 CA196667, U24 CA220245). Support was also provided by an NIH training Grant, T32-EB001040. This work was made possible by the loan of a SANTIS 0804 ME photon counting x-ray detector prototype from DECTRIS AG of Baden-Dattwil, Switzerland (https://www.dectris.com/).Special thanks to Drs Spyridon Gkoumas and Thomas Thuering for the installation of the photon counting x-ray detector prototype and for technical support. We would also like to acknowledge Dr David Kirsch for providing mice and Dr Yi Qi for help with the animal experiments.</t>
  </si>
  <si>
    <t>10.1088/1361-6560/ab03e2</t>
  </si>
  <si>
    <t>WOS:000461060600001</t>
  </si>
  <si>
    <t>Chen, Q; Molloy, J; Izumi, T; Sterpin, E</t>
  </si>
  <si>
    <t>Chen, Quan; Molloy, Janelle; Izumi, Tadahide; Sterpin, Edmond</t>
  </si>
  <si>
    <t>Impact of backscatter material thickness on the depth dose of orthovoltage irradiators for radiobiology research</t>
  </si>
  <si>
    <t>orthovoltage; Monte Carlo; TG61; backscatter factor; kV dosimetry</t>
  </si>
  <si>
    <t>RADIATION RESEARCH PLATFORM; RADIOTHERAPY; DOSIMETRY; DEPENDENCE; SYSTEM; WATER</t>
  </si>
  <si>
    <t>The orthovoltage x-ray energy frequently used in radiation research is prone to dosimetry errors due to insufficient backscatter conditions. In many radiobiology studies, especially for cell irradiations, precise dose calculation algorithms such as Convolution-Superposition or Monte Carlo are impractical and as such, less accurate hand calculation methods are used for dose estimation. These dose estimation methods typically assume full backscatter conditions. The purpose of this study is to demonstrate the magnitude of the dose error that results from insufficient backscatter, and to provide lookup tables to account this issue. The beam spectra of several widely used commercial systems (XRAD-225, XRAD-320, SARRP) were used in Monte Carlo (MC) simulations on a series of phantom setups to investigate the impact of varying backscatter conditions on dosimetry. The depth dose curves for different field sizes, water phantom thicknesses and beam qualities were generated. In addition, depth dependent backscatter factors for different field sizes and different beam qualities were calculated. It is demonstrated that as much as a 50% dose difference exists for different backscatter conditions at the beam qualities studied. The choice of cell dish size as well as other changes in the experiment setup can have more than 10% impact on the dose. The impact of backscatter is reduced with a decrease in field size. Further, the thickness needed to provide full backscatter can be approximated as being equal to the field size. It is imperative to ensure full backscatter conditions during system and dosimeter calibration, or to use the look-up table provided in this study.</t>
  </si>
  <si>
    <t>[Chen, Quan; Molloy, Janelle] Univ Kentucky, Dept Radiat Med, Lexington, KY 40536 USA; [Izumi, Tadahide] Univ Kentucky, Dept Toxicol &amp; Canc Biol, Lexington, KY 40536 USA; [Sterpin, Edmond] Katholieke Univ Leuven, Dept Oncol, Lab Expt Radiotherapy, Leuven, Belgium; [Sterpin, Edmond] Catholic Univ Louvain, Inst Rech Expt &amp; Clin, Ctr Mol Imaging Radiotherapy &amp; Oncol, Brussels, Belgium; [Chen, Quan] Univ Kentucky, Markey Canc Ctr, Radiat Med, Rm CC063,800 Rose St, Lexington, KY 40536 USA</t>
  </si>
  <si>
    <t>University of Kentucky; University of Kentucky; KU Leuven; Universite Catholique Louvain; University of Kentucky</t>
  </si>
  <si>
    <t>Chen, Q (通訊作者)， Univ Kentucky, Dept Radiat Med, Lexington, KY 40536 USA.;Chen, Q (通訊作者)， Univ Kentucky, Markey Canc Ctr, Radiat Med, Rm CC063,800 Rose St, Lexington, KY 40536 USA.</t>
  </si>
  <si>
    <t>qchen@uky.edu</t>
  </si>
  <si>
    <t>Chen, Quan/E-5943-2012</t>
  </si>
  <si>
    <t>Chen, Quan/0000-0001-5570-2462</t>
  </si>
  <si>
    <t>NCI Cancer Center Supporting grant [P30CA17758]; NIH CTSA [UL1TR000117]</t>
  </si>
  <si>
    <t>NCI Cancer Center Supporting grant; NIH CTSA(United States Department of Health &amp; Human ServicesNational Institutes of Health (NIH) - USANIH National Center for Advancing Translational Sciences (NCATS))</t>
  </si>
  <si>
    <t>We would like to thank Dr Peter Kazanzides from the Johns Hopkins for kindly providing the spectrum for SARRP, and Dr Paul DeJean from Precision X-Ray Inc. for kindly providing the spectrum for XRAD systems. This work was partially sponsored by NCI Cancer Center Supporting grant P30CA17758 and NIH CTSA UL1TR000117.</t>
  </si>
  <si>
    <t>10.1088/1361-6560/ab0120</t>
  </si>
  <si>
    <t>WOS:000459325000001</t>
  </si>
  <si>
    <t>Runge, JH; Hoelzl, SH; Sudakova, J; Dokumaci, AS; Nelissen, JL; Guenthner, C; Lee, J; Troelstra, M; Fovargue, D; Stoker, J; Nederveen, AJ; Nordsletten, D; Sinkus, R</t>
  </si>
  <si>
    <t>Runge, Jurgen Henk; Hoelzl, Stefan Heinz; Sudakova, Jelizaveta; Dokumaci, Ayse Sila; Nelissen, Jules Laurent; Guenthner, Christian; Lee, Jack; Troelstra, Marian; Fovargue, Daniel; Stoker, Jaap; Nederveen, Aart Johannes; Nordsletten, David; Sinkus, Ralph</t>
  </si>
  <si>
    <t>A novel magnetic resonance elastography transducer concept based on a rotational eccentric mass: preliminary experiences with the gravitational transducer</t>
  </si>
  <si>
    <t>elastography; MRE; MRI; rheology; elasticity; fibrosis</t>
  </si>
  <si>
    <t>MR ELASTOGRAPHY; MULTIFREQUENCY; ACTUATION; FIBROSIS; SPLEEN; TISSUE; LIVER</t>
  </si>
  <si>
    <t>Background. Magnetic resonance elastography (MRE) is used to non-invasively estimate biomechanical tissue properties via the imaging of propagating mechanical shear waves. Several factors including mechanical transducer design, MRI sequence design and viscoelastic reconstruction influence data quality and hence the reliability of the derived biomechanical properties. Purpose. To design and characterize a novel mechanical MRE transducer concept based on a rotational eccentric mass, coined the gravitational transducer. Materials and methods. Table top measurements were performed using accelerometers to characterize the frequency response of the new transducer concept at different driving frequencies (f(VIB)) and different rotating masses. These were compared to a commercially available pneumatically driven MRE transducer. MR data were acquired on a 3T scanner using a fractionally encoded gradient echo MRE sequence in three healthy volunteers. Acceleration and displacement spectra were plotted in units of g and mm, respectively, and visually compared, emphasizing the ratio between the peaks at f(VIB) and its 2nd harmonic, a known cause of error in the reconstruction of biomechanical properties as is explored in more detail in numerical simulations here. No formal statistical testing was performed in this proof-of-principle paper. Results. The new transducer concept shows-as expected from theory-a quadratic or linear increase of acceleration amplitude with increase in f(VIB) or mass, respectively. Furthermore, different versions of the transducer show markedly lower 2nd harmonic-to-f(VIB) ratios compared to the commercially available pneumatically driven transducer. Displacement was constant over a range of f(VIB), in accordance with theory. Phantom and in vivo data show low nonlinearity and excellent data quality. Conclusion. The table top measurements are in concordance with the theory behind a transducer based on a rotational eccentric mass. The resulting constant displacement amplitude irrespective of f(VIB) and low 2nd harmonic-to-f(VIB) ratio result in low nonlinearity and high data fidelity in both phantom and in vivo examples.</t>
  </si>
  <si>
    <t>[Runge, Jurgen Henk; Hoelzl, Stefan Heinz; Sudakova, Jelizaveta; Dokumaci, Ayse Sila; Lee, Jack; Troelstra, Marian; Fovargue, Daniel; Nordsletten, David; Sinkus, Ralph] Kings Coll London, Div Imaging Sci &amp; Biomed Engn, London, England; [Runge, Jurgen Henk; Nelissen, Jules Laurent; Troelstra, Marian; Stoker, Jaap; Nederveen, Aart Johannes] Amsterdam UMC, Dept Radiol &amp; Nucl Med, Amsterdam, Netherlands; [Guenthner, Christian] Univ &amp; ETH Zurich, Inst Biomed Engn, Zurich, Switzerland; [Sinkus, Ralph] Univ Paris 13, Univ Paris Diderot, Inserm U1148, LVTS, Paris, France</t>
  </si>
  <si>
    <t>University of London; King's College London; University of Amsterdam; Swiss Federal Institutes of Technology Domain; ETH Zurich; Universite Paris 13; Universite Paris Cite; Institut National de la Sante et de la Recherche Medicale (Inserm)</t>
  </si>
  <si>
    <t>Runge, JH (通訊作者)， Kings Coll London, Div Imaging Sci &amp; Biomed Engn, London, England.;Runge, JH (通訊作者)， Amsterdam UMC, Dept Radiol &amp; Nucl Med, Amsterdam, Netherlands.</t>
  </si>
  <si>
    <t>jurgen.runge@kcl.ac.uk</t>
  </si>
  <si>
    <t>; Guenthner, Christian/M-1955-2019; Stoker, Jaap/AAH-7597-2019</t>
  </si>
  <si>
    <t>Lee, Jack/0000-0002-5787-517X; Sinkus, Ralph/0000-0002-6093-1654; Runge, Jurgen/0000-0003-4190-3890; Guenthner, Christian/0000-0001-8707-7016; Stoker, Jaap/0000-0002-9822-3784; Nordsletten, David/0000-0002-5363-4715; Nelissen, Jules Laurent/0000-0001-8840-6723; Nederveen, Aart/0000-0002-5477-973X</t>
  </si>
  <si>
    <t>European Union [668039]; Engineering and Physical Sciences Research Council (EPSRC) [EP/N011554/1]; British Council/Newton Fund Institutional Links [172707526]; EPSRC [EP/N011554/1] Funding Source: UKRI; Engineering and Physical Sciences Research Council [EP/N011554/1] Funding Source: researchfish</t>
  </si>
  <si>
    <t>European Union(European Union (EU)); Engineering and Physical Sciences Research Council (EPSRC)(UK Research &amp; Innovation (UKRI)Engineering &amp; Physical Sciences Research Council (EPSRC)); British Council/Newton Fund Institutional Links; EPSRC(UK Research &amp; Innovation (UKRI)Engineering &amp; Physical Sciences Research Council (EPSRC)); Engineering and Physical Sciences Research Council(UK Research &amp; Innovation (UKRI)Engineering &amp; Physical Sciences Research Council (EPSRC))</t>
  </si>
  <si>
    <t>This project has received funding from the European Union's Horizon 2020 research and innovation programme under grant agreement No 668039 (FORCE project); from the Engineering and Physical Sciences Research Council (EPSRC) under grant agreement EP/N011554/1; and from the British Council/Newton Fund Institutional Links under grant agreement 172707526. The authors acknowledge O Holub and S A Lambert for initial input in the transducer concept. Part of the results described in this paper were presented at the ISMRM 2017 annual meeting.</t>
  </si>
  <si>
    <t>10.1088/1361-6560/aaf9f8</t>
  </si>
  <si>
    <t>WOS:000458045500002</t>
  </si>
  <si>
    <t>Wu, WH; Hu, HH; Gong, J; Li, XB; Huang, G; Nie, SD</t>
  </si>
  <si>
    <t>Wu, Wenhao; Hu, Huihui; Gong, Jing; Li, Xiaobing; Huang, Gang; Nie, Shengdong</t>
  </si>
  <si>
    <t>Malignant-benign classification of pulmonary nodules based on random forest aided by clustering analysis</t>
  </si>
  <si>
    <t>CT images; pulmonary nodule; computer aided diagnosis; random forest; class decomposition</t>
  </si>
  <si>
    <t>CT SCANS; LUNG; PERFORMANCE</t>
  </si>
  <si>
    <t>To help the radiologists better differentiate the benign from malignant pulmonary nodules on CT images, a novel classification scheme was proposed to improve the performance of benign and malignant classifier of pulmonary nodules. First, the pulmonary nodules were segmented with the references to the results from four radiologists. Then, some basic features of the segmented nodules such as the shape, gray and texture are given by calculation. Finally, malignant-benign classification of pulmonary nodules is performed by using random forest (RF) with the aid of clustering analysis. The data with a set of 952 nodules have been collected from lung image database consortium (LIDC). The effect of proposed classification scheme was verified by three experiments, in which the variant composite rank of malignancy were got from four radiologists (experiment 1: rank of malignancy '1', '2' as benign and '4', '5' as malignant; experiment 2: rank of malignancy '1', '2', '3' as benign and '4', '5' as malignant; experiment 3: rank of malignancy '1', '2' as benign and '3', '4', '5' as malignant) and the corresponding (A(z)) (area under the receiver operating characteristic curve) are 0.9702, 0.9190 and 0.8662, respectively. It can be drawn that the method in this work can greatly improve the accuracy of the classification of benign and malignant pulmonary nodules based on CT images.</t>
  </si>
  <si>
    <t>[Wu, Wenhao; Hu, Huihui; Gong, Jing; Li, Xiaobing; Nie, Shengdong] Univ Shanghai Sci &amp; Technol, Sch Med Instrument &amp; Food Engn, Shanghai 200093, Peoples R China; [Huang, Gang] Shanghai Univ Med &amp; Hlth Sci, Shanghai 201318, Peoples R China</t>
  </si>
  <si>
    <t>University of Shanghai for Science &amp; Technology; Shanghai University of Medicine &amp; Health Sciences</t>
  </si>
  <si>
    <t>Nie, SD (通訊作者)， Univ Shanghai Sci &amp; Technol, Sch Med Instrument &amp; Food Engn, Shanghai 200093, Peoples R China.</t>
  </si>
  <si>
    <t>nsd4647@163.com</t>
  </si>
  <si>
    <t>; Hu, Huihui/KCY-2351-2024; Gong, Jing/X-5971-2019</t>
  </si>
  <si>
    <t>WU, WENHAO/0000-0002-4380-8988;</t>
  </si>
  <si>
    <t>National Natural Science Foundation of China [81830052, 81530053]; Natural Science Foundation of Shanghai [14ZR1427900]</t>
  </si>
  <si>
    <t>National Natural Science Foundation of China(National Natural Science Foundation of China (NSFC)); Natural Science Foundation of Shanghai(Natural Science Foundation of Shanghai)</t>
  </si>
  <si>
    <t>This work is supported by the National Natural Science Foundation of China (Grant Number 81830052, 81530053) and the Natural Science Foundation of Shanghai (Grant Number 14ZR1427900).</t>
  </si>
  <si>
    <t>10.1088/1361-6560/aafab0</t>
  </si>
  <si>
    <t>WOS:000457439100002</t>
  </si>
  <si>
    <t>Burigo, LN; Ramos-Méndez, J; Bangert, M; Schulte, RW; Faddegon, B</t>
  </si>
  <si>
    <t>Burigo, Lucas N.; Ramos-Mendez, Jose; Bangert, Mark; Schulte, Reinhard W.; Faddegon, Bruce</t>
  </si>
  <si>
    <t>Simultaneous optimization of RBE-weighted dose and nanometric ionization distributions in treatment planning with carbon ions</t>
  </si>
  <si>
    <t>biological optimization; treatment planning; IMPT; carbon ion; nanodosimetry; LET</t>
  </si>
  <si>
    <t>RELATIVE BIOLOGICAL EFFECTIVENESS; TEMPORAL-LOBE REACTIONS; TRACK STRUCTURE; THERAPY; PROTON; MODEL; RADIOTHERAPY; BEAM</t>
  </si>
  <si>
    <t>Inverse treatment planning in intensity modulated particle therapy (IMPT) with scanned carbon-ion beams is currently based on the optimization of RBE-weighted dose to satisfy requirements of target coverage and limited toxicity to organs-at-risk (OARs) and healthy tissues. There are many feasible IMPT plans that meet these requirements, which allows the introduction of further criteria to narrow the selection of a biologically optimal treatment plan. We propose a novel treatment planning strategy based on the simultaneous optimization of RBE-weighted dose and nanometric ionization details (ID) as a new physical characteristic of the delivered plan beyond LET. In particular, we focus on the distribution of large ionization clusters (more than 3 ionizations) to enhance the biological effect across the target volume while minimizing biological effect in normal tissues. Carbon-ion treatment plans for different patient geometries and beam configurations generated with the simultaneous optimization strategy were compared against reference plans obtained with RBE-weighted dose optimization alone. Quality indicators, inhomogeneity index and planning volume histograms of RBE-weighted dose and large ionization clusters were used to evaluate the treatment plans. We show that with simultaneous optimization, ID distributions can be optimized in carbon-ion radiotherapy without compromising the RBE-weighted dose distributions. This strategy can potentially be used to account for optimization of endpoints closely related to radiation quality to achieve better tumor control and reduce risks of complications.</t>
  </si>
  <si>
    <t>[Burigo, Lucas N.; Bangert, Mark] German Canc Res Ctr, Neuenheimer Feld 280, D-69120 Heidelberg, Germany; [Burigo, Lucas N.; Bangert, Mark] Heidelberg Inst Radiat Oncol HIRO Heidelberg, Natl Ctr Radiat Res Oncol NCRO, Heidelberg, Germany; [Ramos-Mendez, Jose; Schulte, Reinhard W.; Faddegon, Bruce] Univ Calif San Francisco, Dept Radiat Oncol, 1600 Divisadero St, San Francisco, CA 94115 USA; [Schulte, Reinhard W.] Loma Linda Univ, Div Biomed Engn Sci, Loma Linda, CA 92350 USA</t>
  </si>
  <si>
    <t>Helmholtz Association; German Cancer Research Center (DKFZ); University of California System; University of California San Francisco; Loma Linda University</t>
  </si>
  <si>
    <t>Burigo, LN (通訊作者)， German Canc Res Ctr, Neuenheimer Feld 280, D-69120 Heidelberg, Germany.;Burigo, LN (通訊作者)， Heidelberg Inst Radiat Oncol HIRO Heidelberg, Natl Ctr Radiat Res Oncol NCRO, Heidelberg, Germany.</t>
  </si>
  <si>
    <t>L.Burigo@dkfz.de</t>
  </si>
  <si>
    <t>Burigo, Lucas/H-5013-2013; Ramos-Mendez, Jose/J-8491-2019; Schulte, Reinhard/ABH-2305-2020</t>
  </si>
  <si>
    <t>Schulte, Reinhard/0000-0002-7892-2756; Ramos-Mendez, Jose Asuncion/0000-0002-8106-5142</t>
  </si>
  <si>
    <t>National Cancer Institute [1R01CA187003, 1P20CA183640]</t>
  </si>
  <si>
    <t>This work was supported by National Cancer Institute Grants 1R01CA187003 and 1P20CA183640.</t>
  </si>
  <si>
    <t>10.1088/1361-6560/aaf400</t>
  </si>
  <si>
    <t>HG6XO</t>
  </si>
  <si>
    <t>WOS:000455131100001</t>
  </si>
  <si>
    <t>Song, S; Du, CB; Liu, XX; Huang, Y; Song, H; Jiang, YR; Ai, DN; Frangi, AF; Wang, YT; Yang, J</t>
  </si>
  <si>
    <t>Song, Shuang; Du, Chenbing; Liu, Xinxin; Huang, Yong; Song, Hong; Jiang, Yurong; Ai, Danni; Frangi, Alejandro F.; Wang, Yongtian; Yang, Jian</t>
  </si>
  <si>
    <t>Deep motion tracking from multiview angiographic image sequences for synchronization of cardiac phases</t>
  </si>
  <si>
    <t>coronary arteries; x-ray angiographic image sequence; cardiac phase; synchronization; deep motion tracking</t>
  </si>
  <si>
    <t>RECONSTRUCTION; REGISTRATION; MODEL</t>
  </si>
  <si>
    <t>In the diagnosis and interventional treatment of coronary artery disease, the 3D+time reconstruction of the coronary artery on the basis of x-ray angiographic image sequences can provide dynamic structural information. The synchronization of cardiac phases in the sequences is essential for minimizing the influence of cardiorespiratory motion and realizing precise 3D+time reconstruction. Key points are initially extracted from the first image of a sequence. Matching grid points between consecutive images in the sequence are extracted by a multi-layer matching strategy. Then deep motion tracking (DMT) of key points is achieved by local deformation based on the neighboring grid points of key points. The local deformation is optimized by the Random sample consensus (RANSAC) algorithm. Then, a simple harmonic motion (SHM) model is utilized to distinguish cardiac motion from other motion sources (e.g. respiratory, patient movement, etc). Next, the signal which is composed of cardiac motions is filtered by a band-pass filter to reconstruct the cardiac phases. Finally, the synchronization of cardiac phases from different imaging angles is realized by a piece-wise linear transformation. The proposed method was evaluated using clinical x-ray angiographic image sequences from 13 patients. 85% matching points can be accurately computed by the DMT method. The mean peak temporal distance (MPTD) between the reconstructed cardiac phases and the electrocardiograph signal is 0.027 s. The correlation between the cardiac phases of the same patient is over 89%. Compared with three other state-of-the-art methods, the proposed method accurately reconstructs and synchronizes the cardiac phases from different sequences of the same patient. The proposed DMT method is robust and highly effective in synchronizing cardiac phases of angiographic image sequences captured from different imaging angles.</t>
  </si>
  <si>
    <t>[Song, Shuang; Du, Chenbing; Liu, Xinxin; Huang, Yong; Jiang, Yurong; Ai, Danni; Wang, Yongtian; Yang, Jian] Beijing Inst Technol, Beijing Engn Res Ctr Mixed Real &amp; Adv Display, Sch Opt &amp; Photon, Beijing 100081, Peoples R China; [Song, Hong] Beijing Inst Technol, Sch Comp Sci &amp; Technol, Beijing 100081, Peoples R China; [Frangi, Alejandro F.] Univ Leeds, CISTIB Ctr Computat Imaging &amp; Simulat Technol Bio, Sch Comp, Leeds LS2 9JT, W Yorkshire, England; [Frangi, Alejandro F.] Univ Leeds, Sch Med, Leeds LS2 9JT, W Yorkshire, England</t>
  </si>
  <si>
    <t>Beijing Institute of Technology; Beijing Institute of Technology; University of Leeds; University of Leeds</t>
  </si>
  <si>
    <t>Ai, DN; Yang, J (通訊作者)， Beijing Inst Technol, Beijing Engn Res Ctr Mixed Real &amp; Adv Display, Sch Opt &amp; Photon, Beijing 100081, Peoples R China.</t>
  </si>
  <si>
    <t>danni@bit.edu.cn; jyang@bit.edu.cn</t>
  </si>
  <si>
    <t>Frangi, Alejandro/C-6500-2008; Liu, xinxin/GYD-5918-2022; Liu, Feng/W-7572-2019</t>
  </si>
  <si>
    <t>Frangi, Alejandro/0000-0002-2675-528X; Yang, Jian/0000-0003-1250-6319</t>
  </si>
  <si>
    <t>National Key R&amp;D Program of China [2017YFC0107900]; National Science Foundation Program of China [61672099, 81627803, 61501030, 61527827]; Engineering and Physical Sciences Research Council [EP/N026993/1]; Royal Society [IE141258]; European Commission [H2020-SC1-PM-16-2017-777119]; Engineering and Physical Sciences Research Council [EP/N026993/1] Funding Source: researchfish</t>
  </si>
  <si>
    <t>National Key R&amp;D Program of China; National Science Foundation Program of China; Engineering and Physical Sciences Research Council(UK Research &amp; Innovation (UKRI)Engineering &amp; Physical Sciences Research Council (EPSRC)); Royal Society(Royal Society UK); European Commission(European Union (EU)European Commission Joint Research Centre); Engineering and Physical Sciences Research Council(UK Research &amp; Innovation (UKRI)Engineering &amp; Physical Sciences Research Council (EPSRC))</t>
  </si>
  <si>
    <t>This work was supported by the National Key R&amp;D Program of China (2017YFC0107900), and the National Science Foundation Program of China (61672099, 81627803, 61501030, 61527827). AFF is partially funded by the Engineering and Physical Sciences Research Council (EP/N026993/1), the Royal Society (International Exchanges Program IE141258) and the European Commission (H2020-SC1-PM-16-2017-777119).</t>
  </si>
  <si>
    <t>10.1088/1361-6560/aafa06</t>
  </si>
  <si>
    <t>WOS:000456268100001</t>
  </si>
  <si>
    <t>Tang, SY; Sabonghy, EP; Islam, MT; Shajudeen, PS; Chaudhry, A; Tasciotti, E; Righetti, R</t>
  </si>
  <si>
    <t>Tang, Songyuan; Sabonghy, Eric P.; Islam, Md Tauhidul; Shajudeen, Peer Shafeeq; Chaudhry, Anuj; Tasciotti, Ennio; Righetti, Raffaella</t>
  </si>
  <si>
    <t>Assessment of the long bone inter-fragmentary gap size in ultrasound strain elastograms</t>
  </si>
  <si>
    <t>ultrasound; elastography; orthopedic biomechanics; bone imaging; inter-fragmentary gap size</t>
  </si>
  <si>
    <t>TISSUE DIFFERENTIATION; AXIAL STRAIN; FRACTURE; PHANTOM; STABILITY</t>
  </si>
  <si>
    <t>The inter-fragmentary gap size (IFGS) is a critical factor affecting the propensity of bone healing. In this paper, we present a study to analyze ultrasound strain elastographic numerical features in samples with distinct IFGS using both simulations and experiments. Six fractured rabbit hind leg samples in total were used in this study with controlled IFGS of 1 mm, 5 mm and 1 cm. For the simulation, computed tomography (CT) scans of all six samples were used to create solid models. Finite element analysis (FEA) and subsequent elastography simulations were performed on the 3D models to produce tensorial strain field data. Features of bony fragment separation were defined on different strain components and computed for strains segmented at varying thresholds to evaluate their performance in estimating the IFGS. A threshold for each strain component was then determined, based on which extra 3D features of interest were defined and extracted from the segmented strain data. Then, all 3D features were compared statistically among the three nominal groups. Additional simulations and experiments of axial shear strain elastography (ASSE) on the median coronal plane of the same samples were also performed. Our results indicate that coronal plane axial shear (CPAS) strain elastography produces a separation feature which is statistically correlated with the IFGS, and that our elastography simulation module is effective in predicting the CPAS elastographic strain behavior for different IFGS.</t>
  </si>
  <si>
    <t>[Tang, Songyuan; Islam, Md Tauhidul; Shajudeen, Peer Shafeeq; Chaudhry, Anuj; Righetti, Raffaella] Texas A&amp;M Univ, Dept Elect &amp; Comp Engn, College Stn, TX 77843 USA; [Sabonghy, Eric P.] Univ Texas Hlth Sci Ctr Houston, McGovern Med Sch, Dept Orthoped Surg, Houston, TX 77030 USA; [Tasciotti, Ennio] Houston Methodist Hosp, Ctr Musculoskeletal Regenerat, Dept Orthoped &amp; Sports Med, Houston, TX 77030 USA</t>
  </si>
  <si>
    <t>Texas A&amp;M University System; Texas A&amp;M University College Station; University of Texas System; University of Texas Health Science Center Houston; Houston Methodist</t>
  </si>
  <si>
    <t>Righetti, R (通訊作者)， Texas A&amp;M Univ, Dept Elect &amp; Comp Engn, College Stn, TX 77843 USA.</t>
  </si>
  <si>
    <t>righetti@ece.tamu.edu</t>
  </si>
  <si>
    <t>Tang, Songyuan/AFJ-9152-2022; Tasciotti, Ennio/CAI-2606-2022; Islam, Tauhidul/H-6210-2018; Tasciotti, Ennio/J-8309-2015</t>
  </si>
  <si>
    <t>Tasciotti, Ennio/0000-0003-1187-3205</t>
  </si>
  <si>
    <t>Department of Defense [W81XWH-14-1-0600, SC130156, W81XWH-15-1-0718, 4170002]</t>
  </si>
  <si>
    <t>Department of Defense(United States Department of Defense)</t>
  </si>
  <si>
    <t>This work was partially supported by funding from the Department of Defense (grants W81XWH-14-1-0600, Log #SC130156; W81XWH-15-1-0718, Log #4170002). The authors would like to thank Mr Daryl G Schulz (Preclinical Catheterization Lab, Houston Methodist Research Institute) for his help in performing the CT scans on samples used in this study.</t>
  </si>
  <si>
    <t>10.1088/1361-6560/aaf5ed</t>
  </si>
  <si>
    <t>WOS:000455823300011</t>
  </si>
  <si>
    <t>Kurz, C; Maspero, M; Savenije, MHF; Landry, G; Kamp, F; Pinto, M; Li, ML; Parodi, K; Belka, C; van den Berg, CAT</t>
  </si>
  <si>
    <t>Kurz, Christopher; Maspero, Matteo; Savenije, Mark H. F.; Landry, Guillaume; Kamp, Florian; Pinto, Marco; Li, Minglun; Parodi, Katia; Belka, Claus; van den Berg, Cornelis A. T.</t>
  </si>
  <si>
    <t>CBCT correction using a cycle-consistent generative adversarial network and unpaired training to enable photon and proton dose calculation</t>
  </si>
  <si>
    <t>adaptive radiotherapy; CBCT correction; deep learning</t>
  </si>
  <si>
    <t>CONE-BEAM CT; IMAGE REGISTRATION; SCATTER CORRECTION; THERAPY; HEAD; FEASIBILITY</t>
  </si>
  <si>
    <t>In presence of inter-fractional anatomical changes, clinical benefits are anticipated from image-guided adaptive radiotherapy. Nowadays, cone-beam CT (CBCT) imaging is mostly utilized during pre-treatment imaging for position verification. Due to various artifacts, image quality is typically not sufficient for photon or proton dose calculation, thus demanding accurate CBCT correction, as potentially provided by deep learning techniques. This work aimed at investigating the feasibility of utilizing a cycle-consistent generative adversarial network (cycleGAN) for prostate CBCT correction using unpaired training. Thirty-three patients were included. The network was trained to translate uncorrected, original CBCT images (CBCTorg) into planning CT equivalent images (CBCTcycleGAN). HU accuracy was determined by comparison to a previously validated CBCT correction technique (CBCTcor). Dosimetric accuracy was inferred for volumetric-modulated arc photon therapy (VMAT) and opposing single-field uniform dose (OSFUD) proton plans, optimized on CBCTcor and recalculated on CBCTcycleGAN. Single-sided SFUD proton plans were utilized to assess proton range accuracy. The mean HU error of CBCTcycleGAN with respect to CBCTcor decreased from 24 HU for CBCTorg to???6 HU. Dose calculation accuracy was high for VMAT, with average pass-rates of 100%/89% for a 2%/1% dose difference criterion. For proton OSFUD plans, the average pass-rate for a 2% dose difference criterion was 80%. Using a (2%, 2?mm) gamma criterion, the pass-rate was 96%. 93% of all analyzed SFUD profiles had a range agreement better than 3?mm. CBCT correction time was reduced from 6?10?min for CBCTcor to 10 s for CBCTcycleGAN. Our study demonstrated the feasibility of utilizing a cycleGAN for CBCT correction, achieving high dose calculation accuracy for VMAT. For proton therapy, further improvements may be required. Due to unpaired training, the approach does not rely on anatomically consistent training data or potentially inaccurate deformable image registration. The substantial speed-up for CBCT correction renders the method particularly interesting for adaptive radiotherapy.</t>
  </si>
  <si>
    <t>[Kurz, Christopher; Landry, Guillaume; Kamp, Florian; Li, Minglun; Belka, Claus] Ludwig Maximilians Univ Munchen, Dept Radiat Oncol, Univ Hosp, Munich, Germany; [Kurz, Christopher; Maspero, Matteo; Savenije, Mark H. F.; van den Berg, Cornelis A. T.] Univ Med Ctr Utrecht, Ctr Image Sci, Dept Radiotherapy, Utrecht, Netherlands; [Kurz, Christopher; Landry, Guillaume; Pinto, Marco; Parodi, Katia] Ludwig Maximilians Univ Munchen LMU Munich, Dept Med Phys, Fak Phys, Garching, Germany; [Belka, Claus] German Canc Consortium DKTK, Munich, Germany</t>
  </si>
  <si>
    <t>University of Munich; Utrecht University; Utrecht University Medical Center; University of Munich; Helmholtz Association; German Cancer Research Center (DKFZ)</t>
  </si>
  <si>
    <t>Kurz, C (通訊作者)， Ludwig Maximilians Univ Munchen, Dept Radiat Oncol, Univ Hosp, Munich, Germany.;Kurz, C (通訊作者)， Univ Med Ctr Utrecht, Ctr Image Sci, Dept Radiotherapy, Utrecht, Netherlands.;Kurz, C (通訊作者)， Ludwig Maximilians Univ Munchen LMU Munich, Dept Med Phys, Fak Phys, Garching, Germany.</t>
  </si>
  <si>
    <t>christopher.kurz@med.uni-muenchen.de</t>
  </si>
  <si>
    <t>Maspero, Matteo/C-1102-2016; Li, Minglun/A-8086-2019; Landry, Guillaume/AFL-3214-2022; Kurz, Christopher/HOF-6606-2023; Pinto, Marco/B-5362-2019</t>
  </si>
  <si>
    <t>Maspero, Matteo/0000-0003-0347-3375; Pinto, Marco/0000-0001-6835-2561; Landry, Guillaume/0000-0003-1707-4068</t>
  </si>
  <si>
    <t>German Cancer Aid; German Research Foundation (DFG) Cluster of Excellence Munich Center for Advanced Photonics (MAP); ZonMw IMDI Programme [1040030]</t>
  </si>
  <si>
    <t>German Cancer Aid(Deutsche Krebshilfe); German Research Foundation (DFG) Cluster of Excellence Munich Center for Advanced Photonics (MAP)(German Research Foundation (DFG)); ZonMw IMDI Programme</t>
  </si>
  <si>
    <t>Christopher Kurz received funding from the German Cancer Aid. The work was supported by the German Research Foundation (DFG) Cluster of Excellence Munich Center for Advanced Photonics (MAP) and by the ZonMw IMDI Programme (project number 1040030).</t>
  </si>
  <si>
    <t>10.1088/1361-6560/ab4d8c</t>
  </si>
  <si>
    <t>JR0VI</t>
  </si>
  <si>
    <t>WOS:000499353200001</t>
  </si>
  <si>
    <t>Count rate performance of brain-dedicated PET scanners: a Monte Carlo simulation study</t>
  </si>
  <si>
    <t>detector geometry; Monte Carlo simulations; NEC; NECR; brain PET; count rate</t>
  </si>
  <si>
    <t>GATE MODEL; VALIDATION; DETECTOR; SYSTEM; PET/MRI; INSERT</t>
  </si>
  <si>
    <t>In recent years, there has been a renewed interest in brain-dedicated PET imaging systems, particularly in the context of combined PET/MR imaging. We are currently designing a brain-dedicated PET insert suitable for an ultra-high field brain-dedicated MR scanner, the Siemens Magnetom 7T MR scanner. In this paper, an investigation on the count rate performance of several possible detectors through a series of Monte Carlo simulations is reported. Brain-dedicated PET scanners with a lutetium oxyorthosilicate scintillator and a detector area of 0.04 (1 crystal per detector) to 101.37 (2500 crystals per detector) cm(2), detector thickness of 10 to 20 mm and a fixed crystal pitch of similar to 2 mm were simulated. The count rate performance of each scanner was evaluated as a function of detector deadtime type and constant, coincidence timing window and lower level discriminator. Also, the effects of activity outside the field-of-view (FOV) on the count rate performance of each scanner were studied. For each detector geometry and performance metric, the scanner singles rate, scanner sensitivity and noise equivalent count rate as a function of activity in the FOV were measured. It was seen that scanners with detectors comprised a few crystal elements showed reduced scanner sensitivity due to a high number of inter-detector scattering. The count rate performance of scanners with large detectors, on the other hand, was mainly determined by the deadtime properties of the detectors. A model for the count rate performance of the scanner with each studied detector is presented in this work.</t>
  </si>
  <si>
    <t>Teimoorisichani, Mohammadreza/AAV-9548-2020; Goertzen, Andrew/B-2297-2013</t>
  </si>
  <si>
    <t>Natural Sciences and Engineering Research Council of Canada (NSERC) [341628]; University of Manitoba</t>
  </si>
  <si>
    <t>Natural Sciences and Engineering Research Council of Canada (NSERC)(Natural Sciences and Engineering Research Council of Canada (NSERC)); University of Manitoba</t>
  </si>
  <si>
    <t>This work was supported by the Natural Sciences and Engineering Research Council of Canada (NSERC) through Discovery Grant 341628 to A L Goertzen and through a University of Manitoba Graduate Fellowship award to M Teimoorisichani.</t>
  </si>
  <si>
    <t>10.1088/1361-6560/ab452f</t>
  </si>
  <si>
    <t>JJ9RP</t>
  </si>
  <si>
    <t>WOS:000494489400001</t>
  </si>
  <si>
    <t>Vanhoutte, M; Semah, F; Lopes, R; Jaillard, A; Petyt, G; Aziz, AL; Lahousse, H; Declerck, J; Pasquier, F; Spottiswoode, B; Fahmi, R</t>
  </si>
  <si>
    <t>Vanhoutte, Matthieu; Semah, Franck; Lopes, Renaud; Jaillard, Alice; Petyt, Gregory; Aziz, Anne-Laure; Lahousse, Helene; Declerck, Jeorme; Pasquier, Florence; Spottiswoode, Bruce; Fahmi, Rachid</t>
  </si>
  <si>
    <t>Using EQ.PET to reduce reconstruction-dependent variations in [18F]FDG-PET brain imaging</t>
  </si>
  <si>
    <t>[F-18]FDG-PET; EQ.PET; harmonization; quantification; brain imaging; Alzheimer's disease</t>
  </si>
  <si>
    <t>ALZHEIMERS ASSOCIATION WORKGROUPS; F-18-FDG PET; DIAGNOSTIC GUIDELINES; NATIONAL INSTITUTE; MULTICENTER; DISEASE; FDG; DEMENTIA; RECOMMENDATIONS; VALIDATION</t>
  </si>
  <si>
    <t>This study aims at assessing whether EANM harmonisation strategy combined with EQ PET methodology could be successfully applied to harmonize brain 2-deoxy-2[F-18]fluoro-D-glucose ([F-18]FDG) positron emission tomography (PET) images. The NEMA NU 2 body phantom was prepared according to the EANM guidelines with an [F-18]FDG solution. Raw PET phantom data were reconstructed with three different reconstruction protocols frequently used in clinical PET brain imaging: (R-1) Ordered subset expectation maximization (OSEM) 3D with time of flight (TOF), 2 iterations and 21 subsets; (R-2) OSEM 3D with TOF, 6 iterations and 21 subsets; and (R-3) OSEM 3D with TOF, point spread function (PSF), and 8 iterations and 21 subsets. EQ PET filters were computed as the Gaussian smoothing that best independently aligned the recovery coefficients (RCs) of reconstructions R-2 and R-3 with the RCs of the reference reconstruction, R-1. The performance of the EQ.PET filter to reduce variations in quantification due to differences in reconstruction was investigated using clinical PET brain images of 35 early-onset Alzheimer's disease (EOAD) patients. Qualitative assessments and multiple quantitative metrics on the cortical surface at different scale levels with or without partial volume effect correction were evaluated on the [F-18]FDG brain data before and after application of the EQ.PET filter. The EQ PET methodology succeeded in finding the optimal smoothing that minimised root- mean-square error (RMSE) calculated using human brain [F-18]FDG-PET datasets of EOAD patients, providing harmonized comparisons in the neurological context. Performance was superior for TOF than for TOF + PSF reconstructions. Results showed the capability of the EQ.PET methodology to minimize reconstruction-induced variabilities between brain [F-18]FDG-PET images. However, moderate variabilities remained after harmonizing PSF reconstructions with standard non-PSF OSEM reconstructions, suggesting that precautions should be taken when using PSF modelling.</t>
  </si>
  <si>
    <t>[Vanhoutte, Matthieu; Semah, Franck; Lopes, Renaud; Jaillard, Alice; Pasquier, Florence] Univ Lille, CHU Lille, Inserm U1171, F-59000 Lille, France; [Vanhoutte, Matthieu; Semah, Franck; Jaillard, Alice; Petyt, Gregory; Aziz, Anne-Laure; Lahousse, Helene] CHU Lille, Dept Nucl Med, F-59000 Lille, France; [Vanhoutte, Matthieu; Lopes, Renaud] CHU Lille, Dept Neuroradiol, F-59000 Lille, France; [Declerck, Jeorme] Siemens Healthcare Ltd, Oxford, England; [Pasquier, Florence] CHU Lille, Dept Neurol, F-59000 Lille, France; [Spottiswoode, Bruce; Fahmi, Rachid] Siemens Med Solut USA Inc, Mol Imaging, Knoxville, TN USA</t>
  </si>
  <si>
    <t>Universite de Lille; CHU Lille; Institut National de la Sante et de la Recherche Medicale (Inserm); Universite de Lille; CHU Lille; Universite de Lille; CHU Lille; Siemens AG; Siemens United Kingdom; Universite de Lille; CHU Lille; Siemens AG; Siemens USA</t>
  </si>
  <si>
    <t>Vanhoutte, M (通訊作者)， Univ Lille, CHU Lille, Inserm U1171, F-59000 Lille, France.;Vanhoutte, M (通訊作者)， CHU Lille, Dept Nucl Med, F-59000 Lille, France.;Vanhoutte, M (通訊作者)， CHU Lille, Dept Neuroradiol, F-59000 Lille, France.</t>
  </si>
  <si>
    <t>mvanhoutte@cyceron.fr</t>
  </si>
  <si>
    <t>Lopes, Renaud/HPG-9617-2023; Pasquier, Florence/F-1527-2017; Vanhoutte, Matthieu/O-4940-2018; semah, franck/O-4716-2014</t>
  </si>
  <si>
    <t>Fahmi, Rachid/0000-0001-8277-6125;</t>
  </si>
  <si>
    <t>Siemens Healthineers as part of a French CIFRE grant [2015/1047]</t>
  </si>
  <si>
    <t>Siemens Healthineers as part of a French CIFRE grant</t>
  </si>
  <si>
    <t>This research was funded by Siemens Healthineers as part of a French CIFRE grant for a neuroimaging PhD thesis (CONVENTION CIFRE No 2015/1047).</t>
  </si>
  <si>
    <t>10.1088/1361-6560/ab35b4</t>
  </si>
  <si>
    <t>WOS:000483095200002</t>
  </si>
  <si>
    <t>Soultanidish, G; Subiel, A; Renard, I; Reinhart, AM; Green, VL; Oelfke, U; Archibald, SJ; Greenman, J; Tulk, A; Walker, A; Schettino, G; Cawthorne, CJ</t>
  </si>
  <si>
    <t>Soultanidish, George; Subiel, Anna; Renard, Isaline; Reinhart, Anna Merle; Green, Victoria L.; Oelfke, Uwe; Archibald, Stephen J.; Greenman, John; Tulk, Amanda; Walker, Adrian; Schettino, Giuseppe; Cawthorne, Christopher J.</t>
  </si>
  <si>
    <t>Development of an anatomically correct mouse phantom for dosimetry measurement in small animal radiotherapy research</t>
  </si>
  <si>
    <t>preclinical irradiation; radiation dosimetry; mouse phantom; tissue equivalent material; 3D printing; alanine; anthropomorphic phantoms</t>
  </si>
  <si>
    <t>PLATFORM; MODELS</t>
  </si>
  <si>
    <t>Significant improvements in radiotherapy are likely to come from biological rather than technical optimization, for example increasing tumour radiosensitivity via combination with targeted therapies. Such paradigms must first be evaluated in preclinical models for efficacy, and recent advances in small animal radiotherapy research platforms allow advanced irradiation protocols, similar to those used clinically, to be carried out in orthotopic models. Dose assessment in such systems is complex however, and a lack of established tools and methodologies for traceable and accurate dosimetry is currently limiting the capabilities of such platforms and slowing the clinical uptake of new approaches. Here we report the creation of an anatomically correct phantom, fabricated from materials with tissue-equivalent electron density, into which dosimetry detectors can be incorporated for measurement as part of quality control (QC). The phantom also allows training in preclinical radiotherapy planning and cross-institution validation of dose delivery protocols for small animal radiotherapy platforms without the need to sacrifice animals, with high reproducibility. Mouse CT data was acquired and segmented into soft tissue, bone and lung. The skeleton was fabricated using 3D printing, whilst lung was created using computer numerical control (CNC) milling. Skeleton and lung were then set into a surface-rendered mould and soft tissue material added to create a whole-body phantom. Materials for fabrication were characterized for atomic composition and attenuation for x-ray energies typically found in small animal irradiators. Finally cores were CNC milled to allow intracranial incorporation of bespoke detectors (alanine pellets) for dosimetry measurement.</t>
  </si>
  <si>
    <t>[Soultanidish, George; Green, Victoria L.; Greenman, John] Univ Hull, Dept Biomed Sci, Kingston Upon Hull, N Humberside, England; [Soultanidish, George] Icahn Sch Med Mt Sinai, Translat &amp; Mol Imaging Inst, New York, NY 10029 USA; [Subiel, Anna; Schettino, Giuseppe] Natl Phys Lab, Med Radiat Sci, Teddington, Middx, England; [Reinhart, Anna Merle; Oelfke, Uwe] Inst Canc Res, Radiotherapy Phys Modelling Team, Sutton, Surrey, England; [Tulk, Amanda] Xstrahl, Camberley, England; [Walker, Adrian] Leeds Test Objects, Boroughbridge, England; [Renard, Isaline; Archibald, Stephen J.; Cawthorne, Christopher J.] Univ Hull, PET Res Ctr, Kingston Upon Hull, N Humberside, England; [Cawthorne, Christopher J.] Katholieke Univ Leuven, Nucl Med &amp; Mol Imaging Mol Small Anim Imaging Ctr, Leuven, Belgium; [Schettino, Giuseppe] Univ Surrey, Dept Phys, Guildford, England</t>
  </si>
  <si>
    <t>University of Hull; Icahn School of Medicine at Mount Sinai; National Physical Laboratory - UK; University of London; Institute of Cancer Research - UK; University of Hull; KU Leuven; University of Surrey</t>
  </si>
  <si>
    <t>Cawthorne, CJ (通訊作者)， Univ Hull, PET Res Ctr, Kingston Upon Hull, N Humberside, England.;Cawthorne, CJ (通訊作者)， Katholieke Univ Leuven, Nucl Med &amp; Mol Imaging Mol Small Anim Imaging Ctr, Leuven, Belgium.</t>
  </si>
  <si>
    <t>christopher.cawthorne@kuleuven.be</t>
  </si>
  <si>
    <t>; Archibald, Steve/I-8723-2012; Renard, Isaline/GZB-0219-2022; Green, Victoria/KFB-6092-2024; Cawthorne, Christopher/AAC-1018-2022; Soultanidis, Georgios/J-9537-2019; Cawthorne, Christopher/Q-5512-2018</t>
  </si>
  <si>
    <t>Subiel, Anna/0000-0002-3467-4631; Reinhart, Anna Merle/0000-0001-8849-3660; Archibald, Steve/0000-0001-7581-8817; Oelfke, Uwe/0000-0003-2309-0814; Soultanidis, Georgios/0000-0001-9620-1728; Cawthorne, Christopher/0000-0002-5975-0354</t>
  </si>
  <si>
    <t>Engineering and Physical Sciences Research Council [EP/N510117/1]; Innovate UK [102524]; EPSRC [EP/N510117/1] Funding Source: UKRI; Innovate UK [102524] Funding Source: UKRI; Cancer Research UK [21787] Funding Source: researchfish</t>
  </si>
  <si>
    <t>Engineering and Physical Sciences Research Council(UK Research &amp; Innovation (UKRI)Engineering &amp; Physical Sciences Research Council (EPSRC)); Innovate UK(UK Research &amp; Innovation (UKRI)Innovate UK); EPSRC(UK Research &amp; Innovation (UKRI)Engineering &amp; Physical Sciences Research Council (EPSRC)); Innovate UK(UK Research &amp; Innovation (UKRI)Innovate UK); Cancer Research UK(Cancer Research UK)</t>
  </si>
  <si>
    <t>This work was supported by grants from the Engineering and Physical Sciences Research Council (EP/N510117/1) and Innovate UK (102524). We acknowledge Tony Sinclair, Bob Knight and Carol Kennedy from the Department of Chemistry at the University of Hull for photoelectron spectroscopy, inductively coupled plasma and combustion analysis respectively.</t>
  </si>
  <si>
    <t>12NT02</t>
  </si>
  <si>
    <t>10.1088/1361-6560/ab215b</t>
  </si>
  <si>
    <t>KT3PK</t>
  </si>
  <si>
    <t>WOS:000518928800001</t>
  </si>
  <si>
    <t>Zhao, JL; Ai, DN; Yang, Y; Song, H; Huang, Y; Wang, YT; Yang, J</t>
  </si>
  <si>
    <t>Zhao, Jingliang; Ai, Danni; Yang, Yang; Song, Hong; Huang, Yong; Wang, Yongtian; Yang, Jian</t>
  </si>
  <si>
    <t>Deep feature regression (DFR) for 3D vessel segmentation</t>
  </si>
  <si>
    <t>coronary artery segmentation; geometric model; convolution regression; deep learning</t>
  </si>
  <si>
    <t>CORONARY-ARTERY SEGMENTATION; GENERALIZED CYLINDERS; QUANTITATIVE-ANALYSIS; ANGIOGRAPHY; EXTRACTION; GRADIENT; TRACKING; NETWORK; SYSTEM</t>
  </si>
  <si>
    <t>The structural information of coronary arteries has important clinical value for quantitative diagnosis and treatment of coronary artery disease. In this study, a deep feature regression (DFR) method based on a convolutional regression network (CRN) and a stable point clustering mechanism for 3D vessel segmentation is proposed. First, the vessel model is constructed by a vessel section generator and a series of deviation parameter estimators. The generator provides 2D images for the training and prediction processes, while the estimators calculate pose parameters of an input vessel section. Second, estimators are trained by a series of CRNs, in which deep vessel features are automatically learned from 600 000 sample images. Third, we propose a stable point clustering mechanism that evaluates the reliability of the CRN estimation through iterative regression of vessel parameters. This mechanism eliminates the outliers, thereby increasing tracking robustness. Finally, we present a vessel segmentation algorithm using trained deviation parameter estimators. And, the termination criteria are designed based on both the number of stable points and an intensity constraint. The proposed method is evaluated on a public coronary artery data set. The average overlapping ratio and error are 97.5% and 0.27 mm, respectively. A quantitative test on a public cerebral artery data set demonstrates that the proposed DFR method tracks the vessel centerline with high accuracy, for which the average error is less than 0.33 mm.</t>
  </si>
  <si>
    <t>[Zhao, Jingliang; Ai, Danni; Yang, Yang; Huang, Yong; Wang, Yongtian; Yang, Jian] Beijing Inst Technol, Sch Opt &amp; Photon, Beijing Engn Res Ctr Mixed Real &amp; Adv Display, Beijing 100081, Peoples R China; [Song, Hong] Beijing Inst Technol, Sch Software, Beijing 100081, Peoples R China</t>
  </si>
  <si>
    <t>Beijing Institute of Technology; Beijing Institute of Technology</t>
  </si>
  <si>
    <t>Yang, J (通訊作者)， Beijing Inst Technol, Sch Opt &amp; Photon, Beijing Engn Res Ctr Mixed Real &amp; Adv Display, Beijing 100081, Peoples R China.</t>
  </si>
  <si>
    <t>jyang@bit.edu.cn</t>
  </si>
  <si>
    <t>; Zhao, Jingliang/AFQ-2878-2022</t>
  </si>
  <si>
    <t>Yang, Jian/0000-0003-1250-6319;</t>
  </si>
  <si>
    <t>National Key Research and Development Program of China [2017YFC0107900]; National Science Foundation Program of China [61672099]; 111 Project (Medical Optics and Medical Imaging Overseas Expertise Introduction Center for Discipline Innovation) [B18005]</t>
  </si>
  <si>
    <t>National Key Research and Development Program of China(National Key Research &amp; Development Program of China); National Science Foundation Program of China; 111 Project (Medical Optics and Medical Imaging Overseas Expertise Introduction Center for Discipline Innovation)</t>
  </si>
  <si>
    <t>This work was supported by the National Key Research and Development Program of China (2017YFC0107900), the National Science Foundation Program of China (61672099), and the 111 Project (Medical Optics and Medical Imaging Overseas Expertise Introduction Center for Discipline Innovation, B18005).</t>
  </si>
  <si>
    <t>10.1088/1361-6560/ab0eee</t>
  </si>
  <si>
    <t>WOS:000468942900006</t>
  </si>
  <si>
    <t>Lyu, QH; Neph, R; Yu, VY; Ruan, D; Sheng, K</t>
  </si>
  <si>
    <t>Lyu, Qihui; Neph, Ryan; Yu, Victoria Y.; Ruan, Dan; Sheng, Ke</t>
  </si>
  <si>
    <t>Single-arc VMAT optimization for dual-layer MLC</t>
  </si>
  <si>
    <t>dual-layer multi-leaf collimator; volumetric modulated arc therapy (VMAT); direct aperture optimization (DAO)</t>
  </si>
  <si>
    <t>THERAPY</t>
  </si>
  <si>
    <t>Dual-layer multi-leaf collimator (DLMLC) has recently attracted renewed interest due to its good balance among resolution, low leakage, and high fabricability. However, existing progressive sampling based volumetric modulated arc therapy (VMAT) algorithm is ineffective for DLMLC, requiring more arcs to achieve dosimetry comparable to VMAT plans with higher resolution single-layer MLC (SLMLC). In this study, we develop a novel single-arc VMAT optimization framework to take advantage of the unique DLMLC characteristics fully. Direct aperture optimization (DAO) for single-arc DLMLC VMAT was formulated as a least square dose fidelity objective, along with an anisotropic total variation term to regulate the fluence smoothness and a single segment term for forming simple apertures. The DAO was solved through alternating optimization approach. The DLMLC deliverability constraint and the MLC leaf speed constraint were formulated as the optimization constraints and solved using a graph optimization algorithm. Feasibility of the proposed framework was tested on a brain, a lung, and a prostate cancer patient. The framework was further adapted for a simultaneous integrated boost (SIB) case. The single-arc DLMLC-10 mm (leaf width) plan was compared against single-arc SLMLC VMAT plans including SLMLC-5mm, SLMLC-10mm, and SLMLC with 10 mm leaf width and 5 mm leaf step size (SLMLC-10mm-5mm). Compared with the SLMLC-10mm plan and the SLMLC-10mm-5mm plan, with the same target coverage, the DLMLC-10 mm plan reduced R50 by 30.7% and 10.0%, the average max OAR dose by 5.79% and 3.7% of the prescription dose, and the average mean OAR dose by 4.18% and 2.1% of the prescription dose, respectively. The plan quality is comparable to that of the SLMLC-5mm plan. The novel single-arc VMAT optimization framework for DLMLC utilizes two MLC layers to improve the effective modulation resolution and afford more sophisticated modulation. Consequently, DLMLC VMAT achieves superior dosimetry to SLMLC VMAT with the same leaf width.</t>
  </si>
  <si>
    <t>[Lyu, Qihui; Neph, Ryan; Yu, Victoria Y.; Ruan, Dan; Sheng, Ke] Univ Calif Los Angeles, Dept Radiat Oncol, Los Angeles, CA 90024 USA</t>
  </si>
  <si>
    <t>University of California System; University of California Los Angeles</t>
  </si>
  <si>
    <t>Sheng, K (通訊作者)， Univ Calif Los Angeles, Dept Radiat Oncol, Los Angeles, CA 90024 USA.</t>
  </si>
  <si>
    <t>ksheng@mednet.ucla.edu</t>
  </si>
  <si>
    <t>; Lyu, Qihui/J-7454-2019</t>
  </si>
  <si>
    <t>Lyu, Qihui/0000-0002-1835-3870; Sheng, Ke/0000-0002-6696-5409</t>
  </si>
  <si>
    <t>DOE [DE-SC0017057, DE-SC0017687]; NIH [R44CA183390, R01CA188300, R43CA183390]; U.S. Department of Energy (DOE) [DE-SC0017687] Funding Source: U.S. Department of Energy (DOE)</t>
  </si>
  <si>
    <t>DOE(United States Department of Energy (DOE)); NIH(United States Department of Health &amp; Human ServicesNational Institutes of Health (NIH) - USA); U.S. Department of Energy (DOE)(United States Department of Energy (DOE))</t>
  </si>
  <si>
    <t>This research is supported by DOE Grants No. DE-SC0017057 and DE-SC0017687, and NIH Grant R44CA183390, R01CA188300 and R43CA183390.</t>
  </si>
  <si>
    <t>10.1088/1361-6560/ab0ddd</t>
  </si>
  <si>
    <t>WOS:000466862700007</t>
  </si>
  <si>
    <t>Maneval, D; Ozell, B; Després, P</t>
  </si>
  <si>
    <t>Maneval, Daniel; Ozell, Benoit; Despres, Philippe</t>
  </si>
  <si>
    <t>pGPUMCD: an efficient GPU-based Monte Carlo code for accurate proton dose calculations</t>
  </si>
  <si>
    <t>Monte Carlo simulation; GPU; equivalent restricted stopping power; proton therapy; dose calculation; Geant4</t>
  </si>
  <si>
    <t>ALGORITHM; SIMULATION; IMPLEMENTATION; BEAMS; HEAD</t>
  </si>
  <si>
    <t>In proton therapy, Monte Carlo simulations are desirable to accurately predict the delivered dose. This paper introduces and benchmarks pGPUMCD, a GPU-based Monte Carlo code implementing the physical processes required for proton therapy applications. In pGPUMCD, the proton transport is carried out in a voxelized geometry with a class II condensed history scheme. For this purpose, the equivalent restricted stopping power formalism (L-eq formalism), the Fermi-Eyges scattering theory and the discrete electromagnetic/nuclear interactions were considered. pGPUMCD was compared to Geant4 in a validation study where the physical processes were validated one after the other. Dose differences between pGPUMCD and Geant4 were smaller than 1% in the Bragg peak region and up to 3% in its distal fall-off. Moreover, a voxelwise dose difference below 1% was observed for 99.5% of calculation positions. The pGPUMCD 80% falloff positions matched with those of Geant4 within 0.1%. The pGPUMCD computation times were inversely proportional to the voxel size, with one million protons transported in less than 0.5 s with 1 x 1 x 1 mm(3) voxels. pGPUMCD, based on the L-eq formalism variance reduction technique, is therefore an attractive candidate for integration in a clinical treatment planning system.</t>
  </si>
  <si>
    <t>[Maneval, Daniel; Despres, Philippe] Univ Laval, Dept Phys Genie Phys &amp; Opt, Quebec City, PQ G1R 0A6, Canada; [Maneval, Daniel; Despres, Philippe] Univ Laval, Ctr Rech Canc, Quebec City, PQ G1R 0A6, Canada; [Maneval, Daniel; Despres, Philippe] Univ Laval, CHU Quebec, Dept Radiooncol, Quebec City, PQ G1R 2J6, Canada; [Maneval, Daniel; Despres, Philippe] Univ Laval, CHU Quebec, Ctr Rech, Quebec City, PQ G1R 2J6, Canada; [Ozell, Benoit] Ecole Polytech Montreal, Dept Genie Informat &amp; Genie Logiciel, Montreal, PQ H3T 1J4, Canada</t>
  </si>
  <si>
    <t>Laval University; Laval University; Laval University; Laval University Hospital; Laval University; Laval University Hospital; Universite de Montreal; Polytechnique Montreal</t>
  </si>
  <si>
    <t>Després, P (通訊作者)， Univ Laval, Dept Phys Genie Phys &amp; Opt, Quebec City, PQ G1R 0A6, Canada.;Després, P (通訊作者)， Univ Laval, Ctr Rech Canc, Quebec City, PQ G1R 0A6, Canada.;Després, P (通訊作者)， Univ Laval, CHU Quebec, Dept Radiooncol, Quebec City, PQ G1R 2J6, Canada.;Després, P (通訊作者)， Univ Laval, CHU Quebec, Ctr Rech, Quebec City, PQ G1R 2J6, Canada.</t>
  </si>
  <si>
    <t>philippe.despres@phy.ulaval.ca</t>
  </si>
  <si>
    <t>Després, Philippe/Q-7321-2019; maneval, daniel/GYV-5827-2022; Ozell, Benoit/V-5032-2019</t>
  </si>
  <si>
    <t>Maneval, Daniel/0000-0002-8143-9992; Despres, Philippe/0000-0002-4163-7353; Ozell, Benoit/0000-0002-7157-7726</t>
  </si>
  <si>
    <t>Natural Sciences and Engineering Research Council of Canada (NSERC) [RGPIN-355493-2013, RGPIN-2018-04588, RDCPJ 417431-11]; Elekta Ltd-Canada; CREATE Medical Physics Research Training Network of NSERC [432290]</t>
  </si>
  <si>
    <t>Natural Sciences and Engineering Research Council of Canada (NSERC)(Natural Sciences and Engineering Research Council of Canada (NSERC)); Elekta Ltd-Canada; CREATE Medical Physics Research Training Network of NSERC(Natural Sciences and Engineering Research Council of Canada (NSERC))</t>
  </si>
  <si>
    <t>This work was supported by the Natural Sciences and Engineering Research Council of Canada (NSERC Grants RGPIN-355493-2013, RGPIN-2018-04588 and RDCPJ 417431-11) and by Elekta Ltd-Canada. Daniel Maneval acknowledges partial support by the CREATE Medical Physics Research Training Network grant of NSERC (Grant number: 432290). Geant4 simulations were performed on the high-performance computing infrastructures of Compute Canada and Calcul Quebec.</t>
  </si>
  <si>
    <t>10.1088/1361-6560/ab0db5</t>
  </si>
  <si>
    <t>WOS:000464454200004</t>
  </si>
  <si>
    <t>Di Meo, S; Pasotti, L; Iliopoulos, I; Pasian, M; Ettorre, M; Zhadobov, M; Matrone, G</t>
  </si>
  <si>
    <t>Di Meo, Simona; Pasotti, Lorenzo; Iliopoulos, Ioannis; Pasian, Marco; Ettorre, Mauro; Zhadobov, Maxim; Matrone, Giulia</t>
  </si>
  <si>
    <t>Tissue-mimicking materials for breast phantoms up to 50 GHz</t>
  </si>
  <si>
    <t>tissue-mimicking phantom; breast cancer; breast microwave imaging; millimeter waves; dielectric properties</t>
  </si>
  <si>
    <t>MICROWAVE DIELECTRIC-PROPERTIES; LARGE-SCALE; DISPERSIONS</t>
  </si>
  <si>
    <t>Millimeter (mm)-wave imaging has been recently proposed as a new technique for breast cancer detection, based on the significant dielectric contrast between healthy and tumor tissues. Here we propose a procedure to fabricate, electromagnetically characterize and preserve realistic breast tissue-mimicking phantoms for testing mm-wave imaging prototypes. Low-cost, non-toxic and easy-to-produce mixtures made of sunflower oil, water and gelatin were prepared and their dielectric properties were for the first time measured in the (0.5-50) GHz frequency range using a coaxial probe kit. Different oil and gelatin percentages were tested. An alternative recipe based on a waste-oil hardener was also proposed. Finally, water and sunflower oil were investigated as preservation media. The mixtures electromagnetic properties were in good agreement with those of human breast ex vivo samples. By changing the ingredient concentrations or using different solidifying agents it was possible to mimic different tissue types. Besides, we show that sunflower oil represents an effective preservation medium for the developed materials. The first breast phantom mimicking a tumor mass into healthy tissues up to 50 GHz was also successfully fabricated. Results demonstrated the potential of the designed recipes to mimic breast tissues with different biological characteristics, preserving dielectric properties over time. Thus, this study represents a fundamental step towards the development of heterogeneous breast phantoms able to mimic the electromagnetic behavior of healthy and tumor tissues for mm-wave imaging applications.</t>
  </si>
  <si>
    <t>[Di Meo, Simona; Pasotti, Lorenzo; Pasian, Marco; Matrone, Giulia] Univ Pavia, Dept Elect Comp &amp; Biomed Engn, Pavia, Italy; [Pasotti, Lorenzo; Matrone, Giulia] Univ Pavia, Ctr Hlth Technol, Pavia, Italy; [Iliopoulos, Ioannis; Ettorre, Mauro; Zhadobov, Maxim] Univ Rennes 1, CNRS, IETR, UMR 6164, Rennes, France</t>
  </si>
  <si>
    <t>University of Pavia; University of Pavia; Universite de Rennes; Centre National de la Recherche Scientifique (CNRS); CNRS - Institute for Engineering &amp; Systems Sciences (INSIS)</t>
  </si>
  <si>
    <t>Matrone, G (通訊作者)， Univ Pavia, Dept Elect Comp &amp; Biomed Engn, Pavia, Italy.;Matrone, G (通訊作者)， Univ Pavia, Ctr Hlth Technol, Pavia, Italy.</t>
  </si>
  <si>
    <t>giulia.matrone@unipv.it</t>
  </si>
  <si>
    <t>; Zhadobov, Maxim/P-6492-2016; Pasotti, Lorenzo/AAA-5215-2022; Iliopoulos, Ioannis/AAX-6615-2020; Matrone, Giulia/X-3846-2019</t>
  </si>
  <si>
    <t>Di Meo, Simona/0000-0003-2504-8003; Zhadobov, Maxim/0000-0002-3809-110X; Pasian, Marco/0000-0003-3530-7419; Pasotti, Lorenzo/0000-0002-5431-3083</t>
  </si>
  <si>
    <t>University of Pavia under the Blue Sky Research project MULTIWAVE</t>
  </si>
  <si>
    <t>This work was supported by the University of Pavia under the Blue Sky Research project MULTIWAVE.</t>
  </si>
  <si>
    <t>10.1088/1361-6560/aafeec</t>
  </si>
  <si>
    <t>WOS:000459325000006</t>
  </si>
  <si>
    <t>Kobayashi, K; Wakasa, S; Sato, K; Kanai, S; Date, H; Kimura, S; Oyama-Manabe, N; Matsui, Y</t>
  </si>
  <si>
    <t>Kobayashi, Kazuya; Wakasa, Satoru; Sato, Koji; Kanai, Satoshi; Date, Hiroaki; Kimura, Satomi; Oyama-Manabe, Noriko; Matsui, Yoshiro</t>
  </si>
  <si>
    <t>Quantitative analysis of regional endocardial geometry dynamics from 4D cardiac CT images: endocardial tracking based on the iterative closest point with an integrated scale estimation</t>
  </si>
  <si>
    <t>computed tomography; endocardial deformation; nonrigid registration; point set registration; regional cardiac function</t>
  </si>
  <si>
    <t>COMPUTED-TOMOGRAPHY ANGIOGRAPHY; FRACTIONAL FLOW RESERVE; ADULT CONGENITAL HEART; MYOCARDIAL-FUNCTION; FUNCTIONAL-ANALYSIS; MOTION ESTIMATION; MULTIDETECTOR CT; STRAIN ANALYSIS; TUBE VOLTAGE; CORONARY</t>
  </si>
  <si>
    <t>Regional cardiac function analysis is important for the diagnosis and treatment planning of ischemic heart disease, but has not been sufficiently developed in the field of computed tomography (CT). Therefore, we propose a 3D endocardial tracking framework for cardiac CT using local point cloud registration based on the iterative closest point with an integrated scale estimation algorithm. We also introduce regional function descriptors that express the curvature and stretching of the endocardium: Surface distortion (E) and Scaling rate (S). For a region-to-region comparison, we propose endocardial segmentation according to coronary perfusion territories defined by the Voronoi partition based on coronary distribution. Our study of 65 endocardial segments in ten subjects showed that global endocardial deformation has a positive relationship with the stroke volume index (r = 0.896 and 0.829 in (E) over bar and (S) over bar, respectively) and ejection fraction (r = 0.804 and 0.835), and a positive relationship with the brain natriuretic peptide level (r = 0.690 and 0.776). A positive relationship between segmental E and S (r = 0.845), a higher value of E in ischemic segments (p = 0.021) that are determined by fractional flow reserve estimated from coronary CT data, and a higher value of S in the left circumflex artery territory (p &lt; 0.05) were also observed. The required radiation dose was 5.0 +/- 0.7 mSv and the computation time was 7.2 +/- 1.1 min. The result suggests that proposed endocardial deformation analysis using CT can be conducted on site and in time for the acute setting, and may be useful for the diagnosis of cardiac dysfunction or myocardial ischemia.</t>
  </si>
  <si>
    <t>[Kobayashi, Kazuya; Wakasa, Satoru; Sato, Koji; Matsui, Yoshiro] Hokkaido Univ, Grad Sch Med, Dept Cardiovasc &amp; Thorac Surg, Sapporo, Hokkaido, Japan; [Kanai, Satoshi; Date, Hiroaki; Kimura, Satomi] Hokkaido Univ, Grad Sch Informat Sci &amp; Technol, Div Syst Sci &amp; Informat, Sapporo, Hokkaido, Japan; [Oyama-Manabe, Noriko] Hokkaido Univ Hosp, Dept Diagnost &amp; Intervent Radiol, Sapporo, Hokkaido, Japan</t>
  </si>
  <si>
    <t>Hokkaido University; Hokkaido University; Hokkaido University</t>
  </si>
  <si>
    <t>Kobayashi, K (通訊作者)， Hokkaido Univ, Grad Sch Med, Dept Cardiovasc &amp; Thorac Surg, Sapporo, Hokkaido, Japan.</t>
  </si>
  <si>
    <t>kakobayashi_tky@icloud.com</t>
  </si>
  <si>
    <t>Kobayashi, Kazuya/AAZ-8432-2020; 真鍋, 徳子/JZD-4246-2024; Wakasa, Satoru/E-1936-2012</t>
  </si>
  <si>
    <t>Kobayashi, Kazuya/0000-0003-0541-1397; Date, Hiroaki/0000-0002-6189-2044</t>
  </si>
  <si>
    <t>10.1088/1361-6560/ab009a</t>
  </si>
  <si>
    <t>WOS:000459740600003</t>
  </si>
  <si>
    <t>Lee, SM; Kim, HP; Jeon, K; Lee, SH; Seo, JK</t>
  </si>
  <si>
    <t>Lee, Sung Min; Kim, Hwa Pyung; Jeon, Kiwan; Lee, Sang-Hwy; Seo, Jin Keun</t>
  </si>
  <si>
    <t>Automatic 3D cephalometric annotation system using shadowed 2D image-based machine learning</t>
  </si>
  <si>
    <t>cephalometric analysis; landmark detection; machine learning; convolutional neural network</t>
  </si>
  <si>
    <t>ACTIVE SHAPE MODELS; LANDMARKING; IDENTIFICATION</t>
  </si>
  <si>
    <t>This paper presents a new approach to automatic three-dimensional (3D) cephalometric annotation for diagnosis, surgical planning, and treatment evaluation. There has long been considerable demand for automated cephalometric landmarking, since manual landmarking requires considerable time and experience as well as objectivity and scrupulous error avoidance. Due to the inherent limitation of two-dimensional (2D) cephalometry and the 3D nature of surgical simulation, there is a trend away from current 2D to 3D cephalometry. Deep learning approaches to cephalometric landmarking seem highly promising, but there exist serious difficulties in handling high dimensional 3D CT data, dimension referring to the number of voxels. To address this issue of dimensionality, this paper proposes a shadowed 2D image-based machine learning method which uses multiple shadowed 2D images with various lighting and view directions to capture 3D geometric cues. The proposed method using VGG-net was trained and tested using 2700 shadowed 2D images and corresponding manual landmarkings. Test data evaluation shows that our method achieved an average point-topoint error of 1.5 mm for the seven major landmarks.</t>
  </si>
  <si>
    <t>[Lee, Sung Min; Kim, Hwa Pyung; Seo, Jin Keun] Yonsei Univ, Dept Computat Sci &amp; Engn, Seoul, South Korea; [Jeon, Kiwan] Natl Inst Math Sci, Daejeon, South Korea; [Lee, Sang-Hwy] Yonsei Univ, Coll Dent, Oral Sci Res Ctr, Dept Oral &amp; Maxillofacial Surg, Seoul, South Korea</t>
  </si>
  <si>
    <t>Yonsei University; National Institute for Mathematical Sciences (NIMS), Republic of Korea; Yonsei University; Yonsei University Health System</t>
  </si>
  <si>
    <t>Lee, SH (通訊作者)， Yonsei Univ, Coll Dent, Oral Sci Res Ctr, Dept Oral &amp; Maxillofacial Surg, Seoul, South Korea.</t>
  </si>
  <si>
    <t>sanghwy@yuhs.ac</t>
  </si>
  <si>
    <t>; Seo, Jin/H-3689-2012; Lee, Sung-Min/MIN-7857-2025; Lee, Seung-Hyun/HKV-3475-2023</t>
  </si>
  <si>
    <t>/0000-0002-9438-2489;</t>
  </si>
  <si>
    <t>Samsung Science &amp; Technology Foundation [SSTF-BA1402-01]</t>
  </si>
  <si>
    <t>Samsung Science &amp; Technology Foundation(Samsung)</t>
  </si>
  <si>
    <t>This work was supported by the Samsung Science &amp; Technology Foundation (No. SSTF-BA1402-01).</t>
  </si>
  <si>
    <t>10.1088/1361-6560/ab00c9</t>
  </si>
  <si>
    <t>WOS:000459325000002</t>
  </si>
  <si>
    <t>Tashima, H; Yoshida, E; Iwao, Y; Wakizaka, H; Maeda, T; Seki, C; Kimura, Y; Takado, Y; Higuchi, M; Suhara, T; Yamashita, T; Yamaya, T</t>
  </si>
  <si>
    <t>Tashima, Hideaki; Yoshida, Eiji; Iwao, Yuma; Wakizaka, Hidekatsu; Maeda, Takamasa; Seki, Chie; Kimura, Yasuyuki; Takado, Yuhei; Higuchi, Makoto; Suhara, Tetsuya; Yamashita, Taichi; Yamaya, Taiga</t>
  </si>
  <si>
    <t>First prototyping of a dedicated PET system with the hemisphere detector arrangement</t>
  </si>
  <si>
    <t>positron emission tomography; brain PET helmet-type PET; brain imaging; depth of interaction; dementia</t>
  </si>
  <si>
    <t>IMAGE-RECONSTRUCTION; XTAL CUBE; ALZHEIMERS-DISEASE; TAU-PATHOLOGY; RESOLUTION; TOMOGRAPHY; DEPTH; ATTENUATION; SIMULATION; BLOCK</t>
  </si>
  <si>
    <t>A strong demand is expected for high-sensitivity, high-resolution and low-cost brain positron emission tomography (PET) imaging for early diagnosis of dementia, as well as for general neuroscience studies. Therefore, we have proposed novel geometries of a hemisphere detector arrangement for high-sensitivity brain imaging, in which an add-on detector at the chin position or neck position helps in sensitivity uniformity improvement. In this study, we developed the first prototype system for proof-of-concept using four-layer depth-of-interaction detectors, each of which consisted of 16 x 16 x 4 Zr-doped GSO crystals with dimensions of 2.8 x 2.8 x 7.5 mm(3) and a high-sensitivity 64-channel flat-panel photomultiplier tube. We used 47 detectors to form a hemisphere detector with a hemisphere shape of 25 cm inner diameter and 50 cm outer diameter, and we used seven detectors for each of the add-on detectors. The total detector number of 54 was about one-fourth that of a typical whole-body PET scanner. The hemisphere detector for the prototype system was realized by multiple rings having different numbers of detectors and a cross-shaped top detector unit covering the top. Performance evaluation showed uniform spatial resolutions of 3-4 mm by the filtered back-projection method. Imaging tests of a hot-rod phantom done with an iterative method were able to resolve 2.2 mm rods. Peak sensitivity was measured as more than 10% at a region near the top of the head, which was achieved with the help of the top detector unit. In addition, using the prototype system, we performed the first FDG clinical test with a healthy volunteer. The results showed that the proposed geometries had high potential for realizing high-sensitivity, high-resolution, and low-cost brain PET imaging. As for the add-on detector position, it was shown that the neck position resulted in higher sensitivity and wider field of view (FOV) than the chin position because the add-on detector at the neck position can be placed continuously to the hemisphere detector and dose to the FOV.</t>
  </si>
  <si>
    <t>[Tashima, Hideaki; Yoshida, Eiji; Iwao, Yuma; Wakizaka, Hidekatsu; Maeda, Takamasa; Seki, Chie; Kimura, Yasuyuki; Takado, Yuhei; Higuchi, Makoto; Suhara, Tetsuya; Yamaya, Taiga] Natl Inst Quantum &amp; Radiol Sci &amp; Technol, Natl Inst Radiol Sci, Inage Ku, 4-9-1 Anagawa, Chiba 2638555, Japan; [Yamashita, Taichi] ATOX Co Ltd, Minato Ku, 4-11-3 Shiba, Tokyo 1080014, Japan</t>
  </si>
  <si>
    <t>National Institutes for Quantum Science &amp; Technology</t>
  </si>
  <si>
    <t>Tashima, H (通訊作者)， Natl Inst Quantum &amp; Radiol Sci &amp; Technol, Natl Inst Radiol Sci, Inage Ku, 4-9-1 Anagawa, Chiba 2638555, Japan.</t>
  </si>
  <si>
    <t>tashima.hideaki@qst.go.jp; yamaya.taiga@qst.go.jp</t>
  </si>
  <si>
    <t>Tashima, Hideaki/ABB-7337-2020; Kimura, Yasuyuki/ABC-5158-2020; Kimura, Yasuyuki/D-4459-2016</t>
  </si>
  <si>
    <t>Kimura, Yasuyuki/0000-0002-7927-9483</t>
  </si>
  <si>
    <t>Japan Society for the Promotion of Science (JSPS) KAKENHI [26870864, 16K21637]; Grants-in-Aid for Scientific Research [26870864, 16K21637] Funding Source: KAKEN</t>
  </si>
  <si>
    <t>Japan Society for the Promotion of Science (JSPS) KAKENHI(Ministry of Education, Culture, Sports, Science and Technology, Japan (MEXT)Japan Society for the Promotion of ScienceGrants-in-Aid for Scientific Research (KAKENHI)); Grants-in-Aid for Scientific Research(Ministry of Education, Culture, Sports, Science and Technology, Japan (MEXT)Japan Society for the Promotion of ScienceGrants-in-Aid for Scientific Research (KAKENHI))</t>
  </si>
  <si>
    <t>This work was partially supported by the Japan Society for the Promotion of Science (JSPS) KAKENHI Grant Number 26870864 and 16K21637. The authors have confirmed that any identifiable participants in this study have given their consent for publication.</t>
  </si>
  <si>
    <t>10.1088/1361-6560/ab012c</t>
  </si>
  <si>
    <t>WOS:000460822700004</t>
  </si>
  <si>
    <t>ten Eikelder, SCM; den Hertog, D; Bortfeld, T; Perkó, Z</t>
  </si>
  <si>
    <t>ten Eikelder, S. C. M.; den Hertog, D.; Bortfeld, T.; Perko, Z.</t>
  </si>
  <si>
    <t>Optimal combined proton-photon therapy schemes based on the standard BED model</t>
  </si>
  <si>
    <t>proton therapy; intensity-modulated radiation therapy (IMRT); optimization; multi-modality treatment; biologically effective dose (BED)</t>
  </si>
  <si>
    <t>LINEAR-QUADRATIC MODEL; FRACTIONATION SCHEMES; OPTIMIZATION; SCHEDULES; SELECTION</t>
  </si>
  <si>
    <t>This paper investigates the potential of combined proton-photon therapy schemes in radiation oncology, with a special emphasis on fractionation. Several combined modality models, with and without fractionation, are discussed, and conditions under which combined modality treatments are of added value are demonstrated analytically and numerically. The combined modality optimal fractionation problem with multiple normal tissues is formulated based on the biologically effective dose (BED) model and tested on real patient data. Results indicate that for several patients a combined modality treatment gives better results in terms of biological dose (up to 14.8% improvement) than single modality proton treatments. For several other patients, a combined modality treatment is found that offers an alternative to the optimal single modality proton treatment, being only marginally worse but using significantly fewer proton fractions, putting less pressure on the limited availability of proton slots. Overall, these results indicate that combined modality treatments can be a viable option, which is expected to become more important as proton therapy centers are spreading but the proton therapy price tag remains high.</t>
  </si>
  <si>
    <t>[ten Eikelder, S. C. M.; den Hertog, D.] Tilburg Univ, Dept Econometr &amp; Operat Res, Tilburg, Netherlands; [Bortfeld, T.; Perko, Z.] Massachusetts Gen Hosp, Dept Radiat Oncol, Boston, MA 02114 USA; [Bortfeld, T.; Perko, Z.] Harvard Med Sch, Boston, MA 02115 USA; [Perko, Z.] Delft Univ Technol, Dept Radiat Sci &amp; Technol, Delft, Netherlands</t>
  </si>
  <si>
    <t>Tilburg University; Harvard University; Harvard University Medical Affiliates; Massachusetts General Hospital; Harvard University; Harvard Medical School; Delft University of Technology</t>
  </si>
  <si>
    <t>ten Eikelder, SCM (通訊作者)， Tilburg Univ, Dept Econometr &amp; Operat Res, Tilburg, Netherlands.</t>
  </si>
  <si>
    <t>s.c.m.teneikelder@tilburguniversity.edu</t>
  </si>
  <si>
    <t>Perko, Zoltan/Y-4336-2019; Bortfeld, Thomas/AAT-5666-2021</t>
  </si>
  <si>
    <t>Perko, Zoltan/0000-0002-0975-4226; Bortfeld, Thomas/0000-0002-3883-0398; ten Eikelder, Stefan/0000-0001-7883-8506</t>
  </si>
  <si>
    <t>10.1088/1361-6560/aafe52</t>
  </si>
  <si>
    <t>WOS:000461060600005</t>
  </si>
  <si>
    <t>Toussaint, M; Loignon-Houle, F; Dussault, JP; Lecomte, R</t>
  </si>
  <si>
    <t>Toussaint, Maxime; Loignon-Houle, Francis; Dussault, Jean-Pierre; Lecomte, Roger</t>
  </si>
  <si>
    <t>Analytical model of DOI-induced time bias in ultra-fast scintillation detectors for TOF-PET</t>
  </si>
  <si>
    <t>time-of-flight PET; time resolution; depth-of-interaction; scintillation detectors; order statistics; analytical model</t>
  </si>
  <si>
    <t>DEPTH-OF-INTERACTION; PULSE-SHAPE DISCRIMINATION; TIMING RESOLUTION; FLIGHT PET; READOUT; LIMITS; SIMULATIONS; REFLECTOR; SINGLE</t>
  </si>
  <si>
    <t>In positron emission tomography (PET), long crystals (&gt;= 20 mm) are used to enhance detection efficiency and increase scanner sensitivity. However, for fast time-of-flight (TOF) scanners, this may affect the achievable coincidence time resolution (CTR) due to depth-of-interaction (DOI) induced blur on timing. Currently, the effect of DOI on CTR evaluation with analytical modeling is incorporated using the probability density function (PDF) for attenuation of the annihilation photons with the PDFs of the other scintillation processes. However, we show that the resulting PDF would not describe accurately the variation in timestamps distribution at different DOIs. We propose a new analytical model for the CTR evaluation, which consists of computing a DOI dependent CTR weighted by the DOI probability in coincidence. The CTR was thus defined as the weighted root-mean-square error (RMSE) of the DOI-wise variance and bias in order to explicitly describe the positioning bias induced by coincident annihilation photons at different DOIs. The effect of DOI bias on CTR was investigated by using four classic estimators found in the literature, each applied on contemporary scintillation detectors and nearly ideal detectors. A limited difference in the calculated CTR was found for typical scintillation detectors when assessing RMSE with and without DOI time offset correction. This was expected since the DOI bias remains negligible against other phenomena in such case. However, the difference becomes significant for nearly ideal scintillation detectors, where optimal CTR would only be attainable with DOI correction. For these nearly ideal cases, the revised model has better predictive power since the DOI time offset correction is included. Investigation with analytical approaches for realistically achievable ultra-fast CTR in TOF-PET detectors should be performed with a model that genuinely takes into account the DOI effect. We show that the proposed model is a valid candidate for such a task.</t>
  </si>
  <si>
    <t>[Toussaint, Maxime; Dussault, Jean-Pierre] Univ Sherbrooke, Dept Comp Sci, Sherbrooke, PQ, Canada; [Loignon-Houle, Francis; Lecomte, Roger] Univ Sherbrooke, CRCHUS, Sherbrooke Mol Imaging Ctr, Sherbrooke, PQ, Canada; [Loignon-Houle, Francis; Lecomte, Roger] Univ Sherbrooke, Dept Nucl Med &amp; Radiobiol, Sherbrooke, PQ, Canada</t>
  </si>
  <si>
    <t>University of Sherbrooke; University of Sherbrooke; University of Sherbrooke</t>
  </si>
  <si>
    <t>Toussaint, M (通訊作者)， Univ Sherbrooke, Dept Comp Sci, Sherbrooke, PQ, Canada.</t>
  </si>
  <si>
    <t>maxime.toussaint@usherbrooke.ca</t>
  </si>
  <si>
    <t>LECOMTE, Roger/F-2582-2011; Loignon-Houle, Francis/HNS-7858-2023</t>
  </si>
  <si>
    <t>LECOMTE, Roger/0000-0002-8541-0783</t>
  </si>
  <si>
    <t>Natural Sciences and Engineering Research Council of Canada (NSERC); FRQS</t>
  </si>
  <si>
    <t>Natural Sciences and Engineering Research Council of Canada (NSERC)(Natural Sciences and Engineering Research Council of Canada (NSERC)); FRQS(Fonds de recherche du Quebec (FRQ)Fonds de recherche du Quebec - Sante (FRQS))</t>
  </si>
  <si>
    <t>The authors would like to thank Pr Taoufik Bouezmarni, Pr Bernard Colin, and Pr Eric Marchand from the Department of Mathematics of Universite de Sherbrooke for valuable discussions about order statistics. Most of this work was supported by grants from the Natural Sciences and Engineering Research Council of Canada (NSERC). The works was performed at the Sherbrooke Molecular Imaging Center, which is a member of the FRQS-funded Research Center of CHUS (CRCHUS).</t>
  </si>
  <si>
    <t>10.1088/1361-6560/ab038b</t>
  </si>
  <si>
    <t>WOS:000461060600003</t>
  </si>
  <si>
    <t>Francescon, P; Kilby, W; Satariano, N; Orlandi, C; Elshamndy, S</t>
  </si>
  <si>
    <t>Francescon, P.; Kilby, W.; Satariano, N.; Orlandi, C.; Elshamndy, S.</t>
  </si>
  <si>
    <t>The impact of inter-unit variations on small field dosimetry correction factors, with application to the CyberKnife system</t>
  </si>
  <si>
    <t>small field dosimetry; CyberKnife; robotic radiosurgery</t>
  </si>
  <si>
    <t>CRYSTAL DIAMOND DETECTOR; TOTAL SCATTER FACTORS; MONTE-CARLO; IRIS COLLIMATOR; SMALL BEAMS; MICRODIAMOND; MICROCHAMBER; FORMALISM; DIODE</t>
  </si>
  <si>
    <t>Small field dosimetry correction factors are usually determined from calculations or measurements using one specific example of a treatment system. The sensitivity of the corrections to inter-unit variation is therefore not evaluated. We propose two methods for this evaluation that could be applied to any system. We use them to assess the variability in k(Qmsr,Q0)(fmsr,fref) for the CyberKnife System caused by design changes between pre-M6 and M6 versions, and to the variability in k(Qmsr,Q0)(fmsr,fref) and k(Qmsr,Qmsr)(fmsr,fref) resulting from measured beam-data variations across 139 units. We also perform measurements to investigate the differences in k(Qmsr,Qmsr)(fmsr,fref) reported for microchambers in a CyberKnife-specific study versus TRS-483. The results show that k(Qmsr,Q0)(fmsr,fref) is smaller for the M6 version than pre-M6 versions by 0.4% for a Farmer chamber, and 0.1% for shorter chambers. The presence or absence of a lead filter within the treatment head had no significant impact on k(Qmsr,Q0)(fmsr,fref). The beam-data analysis showed inter-unit variations in k(Qmsr,Q0)(fmsr,fref) of +/- 0.8% (2 s.d.) for Farmer chambers and &lt;= +/- 0.5% for shorter cavities (&lt;10 mm) pre-M6, reducing to 0.4% and 0.2% respectively with M6. Inter-unit k(Qmsr,Qmsr)(fmsr,fref) variations for microDiamond and microchambers were &lt;= +/- 1% at 5 mm field size, except for microchambers with axis perpendicular to the beam where this was &gt; +/- 2%. Differences of up to 9% were confirmed between Output Factors measured using a microchamber and corrected using TRS-483 k(Qmsr,Qmsr)(fmsr,fref), and a consensus dataset for the same treatment unit determined using multiple detectors and Monte Carlo simulation. A set of practical recommendations for small field dosimetry with the CyberKnife System is derived from these results.</t>
  </si>
  <si>
    <t>[Francescon, P.; Satariano, N.; Orlandi, C.; Elshamndy, S.] Osped Vicenza, Dept Radiat Oncol, I-36100 Vicenza, Italy; [Kilby, W.] Accuray Inc, 1310 Chesapeake Terrace, Sunnyvale, CA 94089 USA</t>
  </si>
  <si>
    <t>Accuray Inc.</t>
  </si>
  <si>
    <t>Kilby, W (通訊作者)， Accuray Inc, 1310 Chesapeake Terrace, Sunnyvale, CA 94089 USA.</t>
  </si>
  <si>
    <t>wkilby@accuray.com</t>
  </si>
  <si>
    <t>Francescon, Paolo/AAR-1962-2020</t>
  </si>
  <si>
    <t>Elshamndy, Samah/0000-0001-9386-6142</t>
  </si>
  <si>
    <t>10.1088/1361-6560/aaf971</t>
  </si>
  <si>
    <t>WOS:000456840500005</t>
  </si>
  <si>
    <t>Haytmyradov, M; Patel, R; Mostafavi, H; Surucu, M; Wang, A; Harkenrider, MM; Roeske, JC</t>
  </si>
  <si>
    <t>Haytmyradov, Maksat; Patel, Rakesh; Mostafavi, Hassan; Surucu, Murat; Wang, Adam; Harkenrider, Matthew M.; Roeske, John C.</t>
  </si>
  <si>
    <t>A novel phantom for characterization of dual energy imaging using an on-board imaging system</t>
  </si>
  <si>
    <t>dual energy imaging; quality assurance; custom phantom</t>
  </si>
  <si>
    <t>LUNG-TUMOR TRACKING; RADIATION PNEUMONITIS; MARKER PLACEMENT; CANCER; ALGORITHM; SURROGATE; MOTION; SETUP</t>
  </si>
  <si>
    <t>Dual-energy (DE) imaging using planar imaging with an on-board imager (OBI) is being considered in radiotherapy. We describe here a custom phantom designed to optimize DE imaging parameters using the OBI of a commercial linear accelerator. The phantom was constructed of lung-, tissue- and bone-equivalent material slabs. Five simulated tumors located at two different depths were encased in the lung-equivalent materials. Two slabs with bone-equivalent material inserts were constructed to simulate ribs, which overlap the simulated tumors. DE bone suppression was performed using a weighted logarithmic subtraction based on an iterative method that minimized the contrast between simulated bone- and lung-equivalent materials. The phantom was subsequently used to evaluate different combinations of high-low kV x-ray pairs of images based on the signal-difference-to-noise ratio (SDNR) metric. The results show a strong correlation between tumor visibility and selected energy pairs, where higher energy separation leads to larger SDNR values. To evaluate the effect of image post-processing methods on tumor visibility, an anti-correlated noise reduction (ACNR) technique and adaptive kernel scatter correction method were applied to subsequent DE images. Application of the ACNR technique approximately doubled the SDNR values, hence increasing tumor visibility, while scatter correction had little effect on SDNR values. This phantom allows for quick image acquisition and optimization of imaging parameters and weighting factors. Optimized DE imaging increases soft tissue visibility and may allow for markerless motion tracking of lung tumors.</t>
  </si>
  <si>
    <t>[Haytmyradov, Maksat; Patel, Rakesh; Surucu, Murat; Harkenrider, Matthew M.; Roeske, John C.] Loyola Univ, Med Ctr, Dept Radiat Oncol, 2160 S 1st Ave, Maywood, IL 60153 USA; [Mostafavi, Hassan; Wang, Adam] Varian Med Syst, 3120 Hansen Way, Palo Alto, CA 94304 USA</t>
  </si>
  <si>
    <t>Loyola University Chicago</t>
  </si>
  <si>
    <t>Roeske, JC (通訊作者)， Loyola Univ, Med Ctr, Dept Radiat Oncol, 2160 S 1st Ave, Maywood, IL 60153 USA.</t>
  </si>
  <si>
    <t>jroeske@lumc.edu</t>
  </si>
  <si>
    <t>surucu, murat/GSN-9963-2022; Roeske, John/A-1231-2007</t>
  </si>
  <si>
    <t>Surucu, Murat/0000-0003-1693-6850; Wang, Adam/0000-0001-9234-1264; Roeske, John/0000-0002-5829-4254</t>
  </si>
  <si>
    <t>National Cancer Institute of the National Institutes of Health [R01CA207483]</t>
  </si>
  <si>
    <t>Research reported in this publication was supported by the National Cancer Institute of the National Institutes of Health under Award Number R01CA207483. The content is solely the responsibility of the authors and does not necessarily represent the official views of the National Institutes of Health.</t>
  </si>
  <si>
    <t>03NTO1</t>
  </si>
  <si>
    <t>10.1088/1361-6560/aaf9dd</t>
  </si>
  <si>
    <t>HI3CW</t>
  </si>
  <si>
    <t>WOS:000456325200001</t>
  </si>
  <si>
    <t>Lee, H; Yeom, YS; Nguyen, TT; Choi, C; Han, H; Shin, B; Zhang, X; Kim, CH; Chung, BS; Zankl, M</t>
  </si>
  <si>
    <t>Lee, Hanjin; Yeom, Yeon Soo; Thang Tat Nguyen; Choi, Chansoo; Han, Haegin; Shin, Bangho; Zhang, Xujia; Kim, Chan Hyeong; Chung, Beom Sun; Zankl, Maria</t>
  </si>
  <si>
    <t>Percentile-specific computational phantoms constructed from ICRP mesh-type reference computational phantoms (MRCPs)</t>
  </si>
  <si>
    <t>mesh type reference computational phantom; non reference phantom; percentile specific phantom; body size; Monte Carlo</t>
  </si>
  <si>
    <t>PHYSICAL DOSIMETRIC RECONSTRUCTION; ADULT HUMAN PHANTOMS; LEAN BODY-MASS; RADIOLOGICAL ACCIDENT; VIRTUAL CALIBRATION; DISTRIBUTIONS; SIMULATION; PREDICTION; WEIGHT; HEIGHT</t>
  </si>
  <si>
    <t>Recently, the Task Group 103 of the International Commission on Radiological Protection (ICRP) has developed new mesh-type reference computational phantoms (MRCPs) for adult male and female. When compared to the current voxel-type reference computational phantoms in ICRP Publication 110, the MRCPs have several advantages, including deformability which makes it possible to create phantoms in different body sizes or postures. In the present study, the MRCPs were deformed to produce a set of percentile-specific phantoms representing the 10th, 50th and 90th percentiles of standing height and body weight in Caucasian population. For this, anthropometric parameters for the percentile-specific phantoms were first derived from the anthropometric software and survey data. Then, the MRCPs were modified to match the derived anthropometric parameters. For this, first, the MRCPs were scaled in the axial direction to match the head height, torso length, and leg length. Then, the head, torso, and legs were scaled in the transversal directions to match the lean body mass for the percentile-specific phantoms. Finally, the scaled phantoms were manually adjusted to match the body weight and the remaining anthropometric parameters (upper arm, waist, buttock, thigh, and calf circumferences and sagittal abdominal diameter). The constructed percentile-specific phantoms and the MRCPs were implemented into the Geant4 Monte Carlo code to calculate organ doses for a cesium-137 contaminated floor. The results showed that organ doses of the 50th percentile (both standing height and body weight) phantoms are very dose to those of the MRCPs. There were noticeable differences in organ doses, however, for the 10th and 90th percentile phantoms when compared with those of the MRCPs. The results of the present study confirm the general intuition that a small person receives higher doses than a large person when exposed to a static radiation field, and organs closer to the source receive higher doses.</t>
  </si>
  <si>
    <t>[Lee, Hanjin; Choi, Chansoo; Han, Haegin; Shin, Bangho; Zhang, Xujia; Kim, Chan Hyeong] Hanyang Univ, Dept Nucl Engn, 222 Wangsimni Ro, Seoul 04763, South Korea; [Yeom, Yeon Soo] NCI, Div Canc Epidemiol &amp; Genet, 9609 Med Ctr Dr, Bethesda, MD 20892 USA; [Thang Tat Nguyen] Hanoi Univ Sci &amp; Technol, Sch Nucl Engn &amp; Environm Phys, 1 Dai Co Viet Rd, Hanoi, Vietnam; [Chung, Beom Sun] Ajou Univ, Sch Med, Dept Anat, 164 Worldcup Ro, Suwon 16499, Gyeonggi Do, South Korea; [Zankl, Maria] Inst Radiat Protect, Helmholtz Zentrum Munchen, German Res Ctr Environm Hlth, Ingolstadter Landstr 1, D-85764 Neuherberg, Germany</t>
  </si>
  <si>
    <t>Hanyang University; National Institutes of Health (NIH) - USA; NIH National Cancer Institute (NCI); NIH National Cancer Institute- Division of Cancer Epidemiology &amp; Genetics; Hanoi University of Science &amp; Technology (HUST); Ajou University; Helmholtz Association; Helmholtz-Center Munich - German Research Center for Environmental Health</t>
  </si>
  <si>
    <t>Han, Haegin/LCG-8369-2024; Kim, Chan/K-6214-2017; Shin, Bangho/KHU-5682-2024</t>
  </si>
  <si>
    <t>Shin, Bangho/0000-0003-1828-1288; Han, Haegin/0000-0002-7635-1611</t>
  </si>
  <si>
    <t>Nuclear Safety Research Development (NSR&amp;D) Program through Korea Foundation of Nuclear Safety (KoFONS) - Nuclear Safety and Security Commission (NSSC); National Research Foundation of Korea (NRF) - Ministry of Science, ICT and Future Planning through the National Research Foundation of Korea [1705006, 2016R1D1A1A09916337]; Global PhD Fellowship program [NRF-2017H1A2A1046391, NRF-2018H1A2A1059767]; Korean Health Industry Development Institute (KHIDI) - Ministry of Health &amp; Welfare, Republic of Korea [H18C2257]</t>
  </si>
  <si>
    <t>Nuclear Safety Research Development (NSR&amp;D) Program through Korea Foundation of Nuclear Safety (KoFONS) - Nuclear Safety and Security Commission (NSSC)(Nuclear Safety &amp; Security Commission (NSSC), Republic of KoreaKorea Foundation of Nuclear Safety (KoFONS)); National Research Foundation of Korea (NRF) - Ministry of Science, ICT and Future Planning through the National Research Foundation of Korea(National Research Foundation of Korea); Global PhD Fellowship program; Korean Health Industry Development Institute (KHIDI) - Ministry of Health &amp; Welfare, Republic of Korea</t>
  </si>
  <si>
    <t>The authors thank Hyojoo Kim, Jong Chan Jung, Sang Hyun Jun and Jeong Yeol Baek, in the Department of Nuclear Engineering at Hanyang University in Seoul, Korea, for their time and efforts to construct percentile-specific phantoms. This work was supported by Nuclear Safety Research Development (NSR&amp;D) Program through Korea Foundation of Nuclear Safety (KoFONS), funded by the Nuclear Safety and Security Commission (NSSC), and additionally, by the National Research Foundation of Korea (NRF) funded by the Ministry of Science, ICT and Future Planning through the National Research Foundation of Korea (Project No.: 1705006, 2016R1D1A1A09916337). Two of the authors (Chansoo Choi and Haegin Han) were supported by the Global PhD Fellowship program (Project No.: NRF-2017H1A2A1046391, NRF-2018H1A2A1059767), and one of the authors (Yeon Soo Yeom) was supported by a grant of the Korean Health Technology R&amp;D Project through the Korean Health Industry Development Institute (KHIDI), funded by the Ministry of Health &amp; Welfare, Republic of Korea (Project No: H18C2257).</t>
  </si>
  <si>
    <t>10.1088/1361-6560/aafcdb</t>
  </si>
  <si>
    <t>WOS:000457845700005</t>
  </si>
  <si>
    <t>Huo, WL; Zwart, T; Cooley, J; Huang, K; Finley, C; Jee, KW; Sharp, GC; Rosenthal, S; Xu, XG; Lu, HM</t>
  </si>
  <si>
    <t>Huo, Wanli; Zwart, Townsend; Cooley, James; Huang, Kai; Finley, Caitlin; Jee, Kyung-Wook; Sharp, Gregory C.; Rosenthal, Stanley; Xu, X. George; Lu, Hsiao-Ming</t>
  </si>
  <si>
    <t>A single detector energy-resolved proton radiography system: a proof of principle study by Monte Carlo simulations</t>
  </si>
  <si>
    <t>energy resolved dose function; Monte Carlo simulation; pencil beam scanning; proton radiography</t>
  </si>
  <si>
    <t>VIVO RANGE VERIFICATION; THERAPY; TOPAS; UNCERTAINTIES; MODEL</t>
  </si>
  <si>
    <t>Taking advantage of Bragg peak and small spot size, pencil beam scanning proton therapy can deliver a highly conformal dose distribution to target while sparing normal tissues. However, such dose distributions can be highly sensitive to the proton range uncertainty which can reach 5% or higher in lung tissue. One proposed method for reducing range uncertainty is to measure the water equivalent path length (WEPL) by proton radiography. In this study, we followed a newly proposed proton beam radiography technique based on energy resolved dose functions (ERDF) to construct a Monte Carlo model for a single detector energy-resolved proton radiography system (SDPRS). This SDPRS model was constructed in the Monte Carlo software package TOPAS (TOol for PArticle Simulation) and it includes the Mevion HYPERSCAN (TM) pencil beam scanning treatment head and a 2D dose detector positioned downstream as the imager. A calibration phantom containing a number of tissue equivalent materials was simulated to evaluate the accuracy in WEPL measurement by SDPRS. The mean deviation of the obtained relative stopping power (RSP) from the reference values was 0.31%. Proton radiographs of an anthropomorphic head phantom were also generated to demonstrate the clinical relevance of the technique. Effects of different energy layer spacing and measurement noise were also studied.</t>
  </si>
  <si>
    <t>[Huo, Wanli; Xu, X. George] Univ Sci &amp; Technol China, Sch Phys Sci, Hefei, Anhui, Peoples R China; [Huo, Wanli; Finley, Caitlin; Jee, Kyung-Wook; Sharp, Gregory C.; Lu, Hsiao-Ming] Massachusetts Gen Hosp, Dept Radiat Oncol, Boston, MA 02114 USA; [Zwart, Townsend; Cooley, James; Huang, Kai; Rosenthal, Stanley] Mevion Med Syst Inc, Littleton, MA USA; [Xu, X. George] Rensselaer Polytech Inst, Nucl Engn Program, Troy, NY USA</t>
  </si>
  <si>
    <t>Chinese Academy of Sciences; University of Science &amp; Technology of China, CAS; Harvard University; Harvard University Medical Affiliates; Massachusetts General Hospital; Rensselaer Polytechnic Institute</t>
  </si>
  <si>
    <t>Huo, WL (通訊作者)， Univ Sci &amp; Technol China, Sch Phys Sci, Hefei, Anhui, Peoples R China.;Huo, WL (通訊作者)， Massachusetts Gen Hosp, Dept Radiat Oncol, Boston, MA 02114 USA.</t>
  </si>
  <si>
    <t>hmlu@mgh.harvard.edu</t>
  </si>
  <si>
    <t>; Huang, Kai/GZM-8812-2022</t>
  </si>
  <si>
    <t>Huo, Wanli/0000-0002-5785-4379; Huang, Kai/0000-0002-7683-5093; Sharp, Gregory/0000-0001-8575-9611</t>
  </si>
  <si>
    <t>National Natural Science Foundation of China [11575180]; National Key R&amp;D Program of China [2017YFC0107500]; Anhui province key research and development plan [1804a09020039]; China Scholarship Council (CSC)</t>
  </si>
  <si>
    <t>National Natural Science Foundation of China(National Natural Science Foundation of China (NSFC)); National Key R&amp;D Program of China; Anhui province key research and development plan; China Scholarship Council (CSC)(China Scholarship Council)</t>
  </si>
  <si>
    <t>This work was supported by research fundings from the National Natural Science Foundation of China (Grant no. 11575180), National Key R&amp;D Program of China (Grant no. 2017YFC0107500) and Anhui province key research and development plan (Grant no. 1804a09020039). Mr Wanli Huo was supported by a scholarship from China Scholarship Council (CSC).</t>
  </si>
  <si>
    <t>10.1088/1361-6560/aaf96f</t>
  </si>
  <si>
    <t>WOS:000456065500001</t>
  </si>
  <si>
    <t>Lin, C; Harmon, S; Bradshaw, T; Eickhoff, J; Perlman, S; Liu, G; Jeraj, R</t>
  </si>
  <si>
    <t>Lin, Christie; Harmon, Stephanie; Bradshaw, Tyler; Eickhoff, Jens; Perlman, Scott; Liu, Glenn; Jeraj, Robert</t>
  </si>
  <si>
    <t>Response-to-repeatability of quantitative imaging features for longitudinal response assessment</t>
  </si>
  <si>
    <t>response assessment; texture feature; PET; repeatability; longitudinal assessment; radiomics</t>
  </si>
  <si>
    <t>POSITRON-EMISSION-TOMOGRAPHY; STANDARDIZED UPTAKE VALUES; CELL LUNG-CANCER; TUMOR TEXTURE ANALYSIS; UPTAKE HETEROGENEITY; F-18-FDG PET; RADIOMICS; REPRODUCIBILITY; RECONSTRUCTION; BIOMARKER</t>
  </si>
  <si>
    <t>Quantitative imaging biomarkers (QIBs) are often selected and ranked based on their repeatability performance. In the context of treatment response assessment, however, one must also consider how sensitive a QIB is to measuring changes in the tumour. This work introduces response-torepeatability ratio (R/R), which weighs the ability of a QIB to detect significant changes with respect to its measurement repeatability and applies it to the case of PET texture features. R/R is evaluated as the proportion of measurable changes from baseline to follow-up for each candidate QIB. We analyse 47 texture features extracted from lesions in bone-metastatic prostate cancer patients who received double baseline and/or baseline to treatment follow-up F-18-NaF PET/CT scans. R/R evaluates the proportion of follow-up changes outside of the 95% limits of agreement (LOA) defined by test-retest values. Intraclass correlation coefficient (ICC) and coefficient of variation (CV) are calculated for each feature. Relationship between ICC and R/R are evaluated with the Spearman's correlation coefficient. R/R varied significantly across texture features: 41/47 (87%) features demonstrated R/R &gt; 5%; 21/47 (45%) features demonstrated R/R &gt; 10%, and 11/47 (23%) features demonstrated R/R &gt; 20%. LOA of features ranged from [0.998,1.001] to [0.22,4.86]. Repeatability alone did not qualify a feature for its efficacy at detecting measurable change at follow-up, as shown by weak correlations between R/R and both CV and ICC (rho = 0.23 and rho = 0.40, respectively). Three features demonstrated excellent ICC (ICC &gt; 0.75) and R/R greater than that of SUVmax (R/R = 41.8%): skewness (ICC = 0.92, R/R = 75.4%), kurtosis (ICC = 0.88, R/R = 47.0%) and diagonal moment (ICC = 0.88, R/R = 45.5%). R/R characterizes the sensitivity of candidate QIBs to detect measurable changes at follow-up. R/R supplements existing precision performance metrics (e.g. CV, ICC, and LOA) as an index to assess the utility of QIBs for response assessment.</t>
  </si>
  <si>
    <t>[Lin, Christie; Harmon, Stephanie; Liu, Glenn; Jeraj, Robert] Univ Wisconsin, Dept Med Phys, 1530 Med Sci Ctr, Madison, WI 53706 USA; [Bradshaw, Tyler; Perlman, Scott] Univ Wisconsin, Dept Radiol, Madison, WI 53706 USA; [Eickhoff, Jens] Univ Wisconsin, Dept Biostat &amp; Med Informat, Madison, WI USA; [Liu, Glenn; Jeraj, Robert] Univ Wisconsin, Carbone Canc Ctr, Madison, WI 53706 USA; [Liu, Glenn] Univ Wisconsin, Dept Med, Madison, WI USA; [Jeraj, Robert] Wisconsin Inst Med Res, Dept Med Phys, 1111 Highland Ave,Room 7003, Madison, WI 53705 USA</t>
  </si>
  <si>
    <t>University of Wisconsin System; University of Wisconsin Madison; University of Wisconsin System; University of Wisconsin Madison; University of Wisconsin System; University of Wisconsin Madison; University of Wisconsin System; University of Wisconsin Madison; University of Wisconsin System; University of Wisconsin Madison</t>
  </si>
  <si>
    <t>Jeraj, R (通訊作者)， Univ Wisconsin, Dept Med Phys, 1530 Med Sci Ctr, Madison, WI 53706 USA.;Jeraj, R (通訊作者)， Univ Wisconsin, Carbone Canc Ctr, Madison, WI 53706 USA.;Jeraj, R (通訊作者)， Wisconsin Inst Med Res, Dept Med Phys, 1111 Highland Ave,Room 7003, Madison, WI 53705 USA.</t>
  </si>
  <si>
    <t>rjeraj@wisc.edu</t>
  </si>
  <si>
    <t>Jeraj, Robert/0000-0002-2192-2931; Bradshaw, Tyler/0000-0001-9549-7002</t>
  </si>
  <si>
    <t>GE Healthcare; Prostate Cancer Foundation (PCF) Creativity Award; PCF Mazzone Challenge Award; UWCCC Support Grant [P30 CA014520]; Department of Defense Prostate Cancer Research Program [PC161025]</t>
  </si>
  <si>
    <t>GE Healthcare(General ElectricGE Healthcare); Prostate Cancer Foundation (PCF) Creativity Award; PCF Mazzone Challenge Award; UWCCC Support Grant; Department of Defense Prostate Cancer Research Program(United States Department of Defense)</t>
  </si>
  <si>
    <t>This study supported by GE Healthcare, Prostate Cancer Foundation (PCF) Creativity Award, PCF Mazzone Challenge Award, UWCCC Support Grant P30 CA014520, and Department of Defense Prostate Cancer Research Program PC161025; this was conducted within the Prostate Cancer Clinical Trials Consortium. Jeraj and Liu are co-founders of AIQ Solutions, which has licensed QTBI Software.</t>
  </si>
  <si>
    <t>10.1088/1361-6560/aafa0a</t>
  </si>
  <si>
    <t>WOS:000456268100002</t>
  </si>
  <si>
    <t>Sengupta, A; Zhao, CM; Konstantinidis, A; Kanicki, J</t>
  </si>
  <si>
    <t>Sengupta, Aunnasha; Zhao, Chumin; Konstantinidis, Anastasios; Kanicki, Jerzy</t>
  </si>
  <si>
    <t>Cascaded systems analysis of a-Se/a-Si and a-InGaZnO TFT passive and active pixel sensors for tomosynthesis</t>
  </si>
  <si>
    <t>amorphous selenium; cascaded analysis; active pixel sensors; metal oxide; x-ray detectors</t>
  </si>
  <si>
    <t>DETECTIVE QUANTUM EFFICIENCY; MODULATION TRANSFER-FUNCTION; X-RAY-DETECTOR; AMORPHOUS SELENIUM; DIGITAL MAMMOGRAPHY; IMAGING PERFORMANCE; NOISE-PROPAGATION; RADIOGRAPHY; SIGNAL</t>
  </si>
  <si>
    <t>Medical imaging systems like full field digital mammography (FFDM) and digital breast tomosynthesis (DBT) commonly use amorphous selenium (a-Se) based passive pixel sensor (PPS) direct conversion x-ray detectors. On one hand, direct conversion detectors inherently offer better resolution characteristics in terms of a higher modulation transfer function (MTF), in comparison to the indirect CsI:TI PPS x-ray imager. On the other hand, especially at lower doses, this superior performance of the direct imager is seldom retained in its detective quantum efficiency (DQE) curves. It is well known that a-Se PPS x-ray imagers suffer from high additive electronic noise originating from the from the amorphous silicon (a-Si) thin film transistor (TFT) array that is being used in the current back-plane technology. This degrades the noise power spectrum (NPS) and subsequently the overall DQE. To address this deficiency, we propose to replace the PPS back-plane by active pixel sensor (APS) back-plane technology, which has the potential to reduce the back-plane electronic noise by amplifying the input signal, especially at low doses. The proposed APS is based on amorphous In-Ga-Zn-O (a-IGZO) TFT technology, which can offer high mobility (5-20 cm(2) V-1 s(-1)), low leakage current (&lt;10(-13) A) and low flicker noise (Hooge's parameter alpha(H) similar to 1.5 x 10(-3)), leading to better imager noise performance. To test our hypothesis, we used linear cascaded systems analysis to model the imaging performance (MTF, NPS and DQE) of the PPS and APS a-Se direct imagers. This model was first validated using experimentally measured data obtained for a 85 mu m pixel pitch a-Se/a-Si TFT PPS imager. Using this model, we analyzed the noise performance of the direct a-Se and indirect CsI:TI x-ray a-IGZO APS imagers at different dose and electronic noise levels. Obtained results clearly showed that lowering back-plane electronic noise can significantly improve the performance of the a-Se/a-IGZO TFT APS imager. Our simulated results showed that a higher DQE at lower radiation doses (maximum DQE of 0.6 can be achieved at an exposure level of 1 mu Gy) can be achieved with the a-Se detector, thereby making this combination a promising candidate for low dose applications like DBT.</t>
  </si>
  <si>
    <t>[Sengupta, Aunnasha; Zhao, Chumin; Kanicki, Jerzy] Univ Michigan, Dept Elect &amp; Comp Engn, Solid State Devices &amp; Nanotechnol, 1301 Beal Ave, Ann Arbor, MI 48109 USA; [Konstantinidis, Anastasios] Christie NHS Fdn Trust, Imaging Phys &amp; Radiat Protect, Christie Med Phys &amp; Engn, Manchester M20 4BX, Lancs, England; [Kanicki, Jerzy] MIT, Microsyst Technol Labs, Cambridge, MA 02139 USA</t>
  </si>
  <si>
    <t>University of Michigan System; University of Michigan; Christie NHS Foundation Trust; Massachusetts Institute of Technology (MIT)</t>
  </si>
  <si>
    <t>Kanicki, J (通訊作者)， Univ Michigan, Dept Elect &amp; Comp Engn, Solid State Devices &amp; Nanotechnol, 1301 Beal Ave, Ann Arbor, MI 48109 USA.;Kanicki, J (通訊作者)， MIT, Microsyst Technol Labs, Cambridge, MA 02139 USA.</t>
  </si>
  <si>
    <t>kanicki@umich.edu</t>
  </si>
  <si>
    <t>Kanicki, Jerzy/E-2753-2016; Konstantinidis, Anastasios/AAN-5580-2020</t>
  </si>
  <si>
    <t>Kanicki, Jerzy/0000-0002-3649-8360;</t>
  </si>
  <si>
    <t>10.1088/1361-6560/aaf5f6</t>
  </si>
  <si>
    <t>WOS:000455823300009</t>
  </si>
  <si>
    <t>Ren, LQ; Rajendran, K; McCollough, CH; Yu, LF</t>
  </si>
  <si>
    <t>Ren, Liqiang; Rajendran, Kishore; McCollough, Cynthia H.; Yu, Lifeng</t>
  </si>
  <si>
    <t>Radiation dose efficiency of multi-energy photon-counting-detector CT for dual-contrast imaging</t>
  </si>
  <si>
    <t>multi-energy CT; photon-counting-detector CT; single-energy CT; material decomposition; radiation dose efficiency</t>
  </si>
  <si>
    <t>COMPUTED-TOMOGRAPHY; ENERGY CT; IODINE; QUANTIFICATION; AGENTS</t>
  </si>
  <si>
    <t>Compared to traditional multi-scan single-energy CT (SECT), one potential advantage of single-scan multi-energy CT (MECT) proposed for simultaneous imaging of multiple contrast agents is the radiation dose reduction. This phantom study aims to rigorously evaluate whether the radiation dose can truly be reduced in a single-scan MECT protocol (MECT_1s) in biphasic liver imaging with iodine and gadolinium, and small bowel imaging with iodine and bismuth, compared to traditional two-scan SECT protocols (SECT_2s). For MECT_1s, mixed iodine/gadolinium samples were prepared corresponding to late arterial/portal-venous phase for biphasic liver imaging. Mixed iodine/bismuth samples were prepared representing the arterial/enteric enhancement for small bowel imaging. For SECT_2s, separate contrast samples were prepared to mimic separate scans in arterial/venous phase and arterial/enteric enhancement. Samples were placed in a 35 cm wide water phantom and scanned by a research whole-body photon-counting-detector-CT (PCDCT) system ('chess' mode). MECT images were acquired with optimized kV/threshold settings for each imaging task, and SECT images were acquired at 120 kV. Total CTDIvol was matched for the two protocols. Image-based three-material decomposition was employed in MECT_1s to determine the basis material concentration values, which were converted to CT numbers at 120 kV (i.e. virtual SECT images) to compare with the SECT images directly acquired with SECT_2s. The noise difference between the SECT and the virtual SECT images was compared to evaluate the dose efficiency of MECT_1s. Compared to SECT_2s, MECT_1s was not dose efficient for both imaging tasks. The amount of noise increase is highly task dependent, with noise increased by 203%/278% and 110%/82% in virtual SECT images for iodine/gadolinium and iodine/bismuth quantifications, respectively, corresponding to dose increase by 819%/1328% and 340%/230% in MECT_1s to achieve the same image noise level. MECT with the current PCD-CT technique requires higher radiation dose than SECT to achieve the same image quality.</t>
  </si>
  <si>
    <t>[Ren, Liqiang; Rajendran, Kishore; McCollough, Cynthia H.; Yu, Lifeng] Mayo Clin, Dept Radiol, 200 1st St SW, Rochester, MN 55902 USA</t>
  </si>
  <si>
    <t>Yu, LF (通訊作者)， Mayo Clin, Dept Radiol, 200 1st St SW, Rochester, MN 55902 USA.</t>
  </si>
  <si>
    <t>; Ren, Liqiang/HOF-3052-2023; Rajendran, Kishore/AAH-7146-2019</t>
  </si>
  <si>
    <t>Rajendran, Kishore/0000-0002-8314-3642;</t>
  </si>
  <si>
    <t>National Institutes of Health [R21 EB024071, R01 EB016966, C06 RR018898]; Siemens</t>
  </si>
  <si>
    <t>National Institutes of Health(United States Department of Health &amp; Human ServicesNational Institutes of Health (NIH) - USA); Siemens(Siemens AG)</t>
  </si>
  <si>
    <t>Research reported in this publication was supported by the National Institutes of Health under award numbers R21 EB024071, R01 EB016966, and C06 RR018898. The content is solely the responsibility of the authors and does not necessarily represent the official views of the National Institutes of Health. Dr McCollough receives industry grant support from Siemens. No other potential conflicts of interest were declared. Supplies and services for this study were provided by Mayo Clinic's X-Ray Imaging Core. The authors would like to thank Sonia Watson, PhD, for assistance with editing the manuscript.</t>
  </si>
  <si>
    <t>10.1088/1361-6560/ab55bf</t>
  </si>
  <si>
    <t>WOS:000513009900003</t>
  </si>
  <si>
    <t>van Dongen, KWA; de Blécourt, J; Lens, E; Schaart, DR; Vos, FM</t>
  </si>
  <si>
    <t>van Dongen, K. W. A.; de Blecourt, J.; Lens, E.; Schaart, D. R.; Vos, F. M.</t>
  </si>
  <si>
    <t>Reconstructing 3D proton dose distribution using ionoacoustics</t>
  </si>
  <si>
    <t>3D inversion; Bragg peak; proton range verification; ionoacoustics</t>
  </si>
  <si>
    <t>POSITRON-EMISSION-TOMOGRAPHY; COMPUTED-TOMOGRAPHY; RANGE; BEAM; VERIFICATION; ULTRASOUND; DELIVERY; ARRAY</t>
  </si>
  <si>
    <t>In proton therapy high energy protons are used to irradiate a tumor. Ideally, the delivered proton dose distribution is measured during treatment to ensure patient safety and treatment effectiveness. Here we investigate if we can use the ionoacoustic wave field to monitor the actual proton dose distribution for the two most commonly used proton accelerators; the isochronous cyclotron and the synchrocyclotron. To this end we model the acoustic field generated by the protons when irradiating a heterogeneous cancerous breast with a 89 MeV proton beam. To differentiate between the systems, idealized temporal micro-structures of the beams have been implemented. Results show that by employing model-based inversion we are able to reconstruct the 3D dose distributions from the simulated noisy pressure fields. Good results are obtained for both systems; the absolute error in the position of the maximum amplitude of the dose distribution is 5.0?mm for the isochronous cyclotron and 5.2?mm for the synchrocyclotron. In conclusion, this numerical study suggests that the ionoacoustic wave field may be used to monitor the proton dose distribution during breast cancer treatment.</t>
  </si>
  <si>
    <t>[van Dongen, K. W. A.; de Blecourt, J.; Vos, F. M.] Delft Univ Technol, Fac Appl Sci, Dept Imaging Phys, Delft, Netherlands; [Lens, E.; Schaart, D. R.] Delft Univ Technol, Fac Appl Sci, Dept Radiat Sci &amp; Technol, Delft, Netherlands</t>
  </si>
  <si>
    <t>Delft University of Technology; Delft University of Technology</t>
  </si>
  <si>
    <t>van Dongen, KWA (通訊作者)， Delft Univ Technol, Fac Appl Sci, Dept Imaging Phys, Delft, Netherlands.</t>
  </si>
  <si>
    <t>k.w.a.vandongen@tudelft.nl</t>
  </si>
  <si>
    <t>van Dongen, Koen/D-3684-2017; Schaart, Dennis/C-7136-2014</t>
  </si>
  <si>
    <t>Schaart, Dennis/0000-0002-3199-5608; van Dongen, Koen W.A./0000-0001-6711-5898</t>
  </si>
  <si>
    <t>10.1088/1361-6560/ab4cd5</t>
  </si>
  <si>
    <t>JR9SE</t>
  </si>
  <si>
    <t>WOS:000499955300001</t>
  </si>
  <si>
    <t>Madden, L; Archer, J; Li, EB; Jelen, U; Dong, B; Roberts, N; Holloway, L; Rosenfeld, A</t>
  </si>
  <si>
    <t>Madden, Levi; Archer, James; Li, Enbang; Jelen, Urszula; Dong, Bin; Roberts, Natalia; Holloway, Lois; Rosenfeld, Anatoly</t>
  </si>
  <si>
    <t>First measurements with a plastic scintillation dosimeter at the Australian MRI-LINAC</t>
  </si>
  <si>
    <t>MRI-LINAC; fiber optic dosimeter; plastic scintillator; dosimetry</t>
  </si>
  <si>
    <t>MV RADIOTHERAPY ACCELERATOR; MAGNETIC-FIELD; OUTPUT FACTORS; DETECTOR; PHOTON; SCANNER; ENERGY</t>
  </si>
  <si>
    <t>MRI-LINACs combine MRI and LINAC technologies with the potential for image guided radiation therapy with optimal soft-tissue contrast. In this work, we present the advantages and limitations of plastic scintillation dosimeters (PSDs) for relative dosimetry with MRI-LINACs. PSDs possess many desirable qualities, including magnetic field insensitivity and irradiation angle independence, which are expected to make them suitable for dosimetry with MRI-LINACs. An in-house PSD was used to measure field size output factors as well as a percent depth dose distribution and the beam quality index TPR20/20 at a 10.5 x 10.5 cm(2) field size. Measurements were repeated with a Scanditronix/Wellhofer FC65-G ionisation chamber and PTW 60019 microDiamond detector for comparison. Relative differences were calculated between the three detectors, where the mean difference in dose was 1.2% between the PSD and ionisation chamber, 1.9% between the PSD and microDiamond detector and 1.3% between the microDiamond detector and the ionisation chamber. The closeness between the three mean differences in doses suggests that PSDs are feasible for relative dosimetry with MRI-LINACs.</t>
  </si>
  <si>
    <t>[Madden, Levi; Archer, James; Li, Enbang; Roberts, Natalia; Rosenfeld, Anatoly] Univ Wollongong, Ctr Med Radiat Phys, Wollongong, NSW 2522, Australia; [Madden, Levi; Jelen, Urszula; Dong, Bin; Roberts, Natalia; Holloway, Lois] Ingham Inst Appl Med Res, Liverpool, NSW 2170, Australia; [Rosenfeld, Anatoly] Univ Wollongong, Illawarra Med &amp; Hlth Res Inst, Wollongong, NSW 2522, Australia</t>
  </si>
  <si>
    <t>University of Wollongong; Ingham Institute for Applied Medical Research; University of Wollongong</t>
  </si>
  <si>
    <t>Li, EB (通訊作者)， Univ Wollongong, Ctr Med Radiat Phys, Wollongong, NSW 2522, Australia.</t>
  </si>
  <si>
    <t>enbang@uow.edu.au</t>
  </si>
  <si>
    <t>Jelen, Urszula/V-5999-2017; Rosenfeld, Anatoly/D-1989-2014; Dong, Bin/ABF-1907-2020; Li, Enbang/L-6696-2013; Archer, Justice/ABC-3666-2020</t>
  </si>
  <si>
    <t>Jelen, Urszula/0000-0003-3410-7036; Madden, Levi/0000-0002-7754-0756; Rosenfeld, Anatoly/0000-0001-5116-6308; Holloway, Lois/0000-0003-4337-2165;</t>
  </si>
  <si>
    <t>Australian Government Research Training Program Scholarship; South West Sydney Liverpool Health District; Australian NHMRC Research Council Program [APP1132471]</t>
  </si>
  <si>
    <t>Australian Government Research Training Program Scholarship(Australian GovernmentDepartment of Industry, Innovation and Science); South West Sydney Liverpool Health District; Australian NHMRC Research Council Program(National Health &amp; Medical Research Council (NHMRC) of Australia)</t>
  </si>
  <si>
    <t>I'd like to thank Michael Lerch for sharing the PTW60019 microDiamond presented in this paper. I would like to thank Marco Petasecca for sharing the diode triggering system. This research has been conducted with the support of the Australian Government Research Training Program Scholarship. This research has been conducted with scholarship support from the South West Sydney Liverpool Health District. Australian MRIlinac program is supported by the Australian NHMRC Research Council Program Grant APP1132471.</t>
  </si>
  <si>
    <t>10.1088/1361-6560/ab324b</t>
  </si>
  <si>
    <t>WOS:000484508700008</t>
  </si>
  <si>
    <t>Tao, A; Fetterly, K</t>
  </si>
  <si>
    <t>Tao, Ashley; Fetterly, Kenneth</t>
  </si>
  <si>
    <t>Integration of high velocity test object motion into a channelized Hotelling observer for the assessment of x-ray angiography systems</t>
  </si>
  <si>
    <t>channelized Hotelling observer; x-ray angiography; detectability index</t>
  </si>
  <si>
    <t>IMAGE QUALITY; SAMPLE-SIZE</t>
  </si>
  <si>
    <t>Assessment of x-ray angiography system performance is typically performed using stationary test objects with simple geometries such as a disk on a uniform background. However, these methods do not represent realistic imaging conditions in interventional cardiology as anatomy and devices are inherently non-stationary due to cardiac motion. In this work, a novel implementation of the channelized Hotelling observer (CHO) was used to assess the influence of motion blur on object detectability. A standard CHO model assumes imaging system stationarity whereby the detectability index d' of a test object is independent of location. However, real angiography systems are inherently non-stationary. While vendor correction gain factors and offset maps are used to compensate for visual non-uniformities, these corrections do not restore stationarity to the images. Methods to accommodate non-stationarity and allow assessment of the influence of motion blur on test object detectability will be presented. The effect of motion blur was quantified with the relative detectability index (r(d')), where the d' for an object when moving with constant linear velocity was compared to a low velocity 'pseudo-stationary' condition to account for system non-stationarity. The pseudo-stationary condition was used to isolate the influences of spatial non-stationarity and motion blur. Three different test object shapes (disks, spheres and capsules) with linear velocity in the range 0-30 cm.s(-1) were tested. For 1 mm diameter objects and linear velocity 30 cm.s(-1), d' was degraded by 37%, 33% and 42% for the disk, sphere and capsule respectively, relative to the pseudostationary condition. Considering all test objects with diameter greater than 2 mm and linear velocity 30 cm.s(-1), d' was degraded by less than 10% due to motion. In summary, this work describes a new approach to assess performance of x-ray angiography systems using the CHO model and moving test objects.</t>
  </si>
  <si>
    <t>[Tao, Ashley; Fetterly, Kenneth] Mayo Clin, Dept Radiol, 200 First St SW, Rochester, MN 55905 USA; [Fetterly, Kenneth] Mayo Clin, Dept Cardiovasc Med, 200 First St SW, Rochester, MN 55905 USA; [Tao, Ashley] Gundersen Hlth Syst, La Crosse, WI 54601 USA</t>
  </si>
  <si>
    <t>Fetterly, K (通訊作者)， Mayo Clin, Dept Radiol, 200 First St SW, Rochester, MN 55905 USA.;Fetterly, K (通訊作者)， Mayo Clin, Dept Cardiovasc Med, 200 First St SW, Rochester, MN 55905 USA.</t>
  </si>
  <si>
    <t>Fetterly.kenneth@mayo.edu</t>
  </si>
  <si>
    <t>Tao, Ashley/AAK-7878-2020</t>
  </si>
  <si>
    <t>10.1088/1361-6560/ab39c4</t>
  </si>
  <si>
    <t>WOS:000486374400005</t>
  </si>
  <si>
    <t>Pham, J; Harris, W; Sun, WZ; Yang, Z; Yin, FF; Ren, L</t>
  </si>
  <si>
    <t>Pham, Jonathan; Harris, Wendy; Sun, Wenzheng; Yang, Zi; Yin, Fang-Fang; Ren, Lei</t>
  </si>
  <si>
    <t>Predicting real-time 3D deformation field maps (DFM) based on volumetric cine MRI (VC-MRI) and artificial neural networks for on-board 4D target tracking: a feasibility study</t>
  </si>
  <si>
    <t>target tracking; real-time MRI; artificial neural networks; PCA; deep learning</t>
  </si>
  <si>
    <t>BODY RADIATION-THERAPY; LUNG-CANCER; IMAGE-RECONSTRUCTION; TUMOR-LOCALIZATION; MOTION; RADIOTHERAPY; SYSTEM</t>
  </si>
  <si>
    <t>To predict real-time 3D deformation field maps (DFMs) using Volumetric Cine MRI (VC-MRI) and adaptive boosting and multi-layer perceptron neural network (ADMLP-NN) for 4D target tracking. One phase of a prior 4D-MRI is set as the prior phase, MRIprior. Principal component analysis (PCA) is used to extract three major respiratory deformation modes from the DFMs generated between the prior and remaining phases. VC-MRI at each time-step is considered a deformation of MRIprior, where the DFM is represented as a weighted linear combination of the PCA components. The PCA weightings are solved by minimizing the differences between on-board 2D cine MRI and its corresponding VC-MRI slice. The PCA weightings solved during the initial training period are used to train an ADMLP-NN to predict PCA weightings ahead of time during the prediction period. The predicted PCA weightings are used to build predicted 3D DFM and ultimately, predicted VC-MRIs for 4D target tracking. The method was evaluated using a 4D computerized phantom (XCAT) with patient breathing curves and MRI data from a real liver cancer patient. Effects of breathing amplitude change and ADMLP-NN parameter variations were assessed. The accuracy of the PCA curve prediction was evaluated. The predicted real-time 3D tumor was evaluated against the ground-truth using volume dice coefficient (VDC), center-of-mass-shift (COMS), and target tracking errors. For the XCAT study, the average VDC and COMS for the predicted tumor were 0.92 +/- 0.02 and 1.06 +/- 0.40 mm, respectively, across all predicted time-steps. The correlation coefficients between predicted and actual PCA curves generated through VC-MRI estimation for the 1st/2nd principal components were 0.98/0.89 and 0.99/0.57 in the SI and AP directions, respectively. The optimal number of input neurons, hidden neurons, and MLP-NN for ADMLP-NN PCA weighting coefficient prediction were determined to be 7, 4, and 10, respectively. The optimal cost function threshold was determined to be 0.05. PCA weighting coefficient and VC-MRI accuracy was reduced for increased prediction-step size. Accurate PCA weighting coefficient prediction correlated with accurate VC-MRI prediction. For the patient study, the predicted 4D tumor tracking errors in superior-inferior, anterior-posterior and lateral directions were 0.50 +/- 0.47 mm, 0.40 +/- 0.55 mm, and 0.28 +/- 0.12 mm, respectively. Preliminary studies demonstrated the feasibility to use VC-MRI and artificial neural networks to predict real-time 3D DFMs of the tumor for 4D target tracking.</t>
  </si>
  <si>
    <t>[Pham, Jonathan; Yin, Fang-Fang; Ren, Lei] Duke Univ, Med Phys Grad Program, 2424 Erwin Rd Suite 101, Durham, NC 27705 USA; [Harris, Wendy] Perelman Ctr Adv Med, Dept Radiat Oncol, 3400 Civ Blvd, Philadelphia, PA 19104 USA; [Sun, Wenzheng] Shandong Univ, Inst Informat Sci &amp; Engn, Jinan, Shandong, Peoples R China; [Yang, Zi] UT Southwestern Med Ctr, Dept Radiat Oncol, 5151 Harry Hines Blvd, Dallas, TX 75390 USA; [Yin, Fang-Fang; Ren, Lei] Duke Univ, Med Ctr, Dept Radiat Oncol, DUMC Box 3295, Durham, NC 27710 USA</t>
  </si>
  <si>
    <t>Duke University; University of Pennsylvania; Shandong University; University of Texas System; University of Texas Southwestern Medical Center; Duke University</t>
  </si>
  <si>
    <t>Ren, L (通訊作者)， Duke Univ, Med Phys Grad Program, 2424 Erwin Rd Suite 101, Durham, NC 27705 USA.;Ren, L (通訊作者)， Duke Univ, Med Ctr, Dept Radiat Oncol, DUMC Box 3295, Durham, NC 27710 USA.</t>
  </si>
  <si>
    <t>lei.ren@duke.edu</t>
  </si>
  <si>
    <t>; Yang, Zi/GMW-4661-2022</t>
  </si>
  <si>
    <t>Yang, Zi/0000-0003-2653-7757; Yin, Fang-Fang/0000-0002-2025-4740;</t>
  </si>
  <si>
    <t>This work was supported by the National Institutes of Health under Grant No. R01-CA184173.</t>
  </si>
  <si>
    <t>10.1088/1361-6560/ab359a</t>
  </si>
  <si>
    <t>WOS:000482525700007</t>
  </si>
  <si>
    <t>Dilger, SKN; Yu, LF; Chen, BY; Favazza, CP; Carter, RE; Fletcher, JG; McCollough, CH; Leng, S</t>
  </si>
  <si>
    <t>Dilger, Samantha K. N.; Yu, Lifeng; Chen, Baiyu; Favazza, Chris P.; Carter, Rickey E.; Fletcher, Joel G.; McCollough, Cynthia H.; Leng, Shuai</t>
  </si>
  <si>
    <t>Localization of liver lesions in abdominal CT imaging: I. Correlation of human observer performance between anatomical and uniform backgrounds</t>
  </si>
  <si>
    <t>computed tomography (CT); image quality; radiation dose; iterative reconstruction (IR); low contrast detectability; comparison study; lesion localization</t>
  </si>
  <si>
    <t>LOW-DOSE CT; ITERATIVE RECONSTRUCTION; COMPUTED-TOMOGRAPHY; RADIATION-EXPOSURE; CLASSIFICATION; VALIDATION; PROJECTION; QUALITY; PHANTOM</t>
  </si>
  <si>
    <t>The purpose of this study was to determine the correlation between human observer performance for localization of small low contrast lesions within uniform water background versus an anatomical liver background, under the conditions of varying dose, lesion size, and reconstruction algorithm. Liver lesions (5 mm, 7 mm, and 9 mm, contrast: -21 HU) were digitally inserted into CT projection data of ten normal patients in vessel-free liver regions. Noise was inserted into the projection data to create three image sets: full dose and simulated half and quarter doses. Images were reconstructed with a standard filtered back projection (FBP) and an iterative reconstruction (IR) algorithm. Lesion and noise insertion procedures were repeated with water phantom data. Two-dimensional regions of interest (66 lesion-present, 34 lesion-absent) were selected, randomized, and independently reviewed by three medical physicists to identify the most likely location of the lesion and provide a confidence score. Locations and confidence scores were assessed using the area under the localization receiver operating characteristic curve (Az(LROC)). We examined the correlation between human performance for the liver and uniform water backgrounds as dose, lesion size, and reconstruction algorithm varied. As lesion size or dose increased, reader localization performance improved. For full dose IR images, the Az(LROC) for 5, 7, and 9 mm lesions were 0.53, 0.91, and 0.97 (liver) and 0.51, 0.96, and 0.99 (uniform water), respectively. Similar trends were seen with other parameters. Performance values for liver and uniform backgrounds were highly correlated for both reconstruction algorithms, with a Spearman correlation of rho = 0.97, and an average difference in Az(LROC) of 0.05 +/- 0.04. For the task of localizing low contrast liver lesions, human observer performance was highly correlated between anatomical and uniform backgrounds, suggesting that lesion localization studies emulating a clinical test of liver lesion detection can be performed using a uniform background.</t>
  </si>
  <si>
    <t>[Dilger, Samantha K. N.; Yu, Lifeng; Chen, Baiyu; Favazza, Chris P.; Fletcher, Joel G.; McCollough, Cynthia H.; Leng, Shuai] Mayo Clin, Dept Radiol, Rochester, MN 55905 USA; [Carter, Rickey E.] Mayo Clin, Dept Biostat, Rochester, MN USA; [Chen, Baiyu] NYU Langone Hlth, Dept Radiol, New York, NY USA</t>
  </si>
  <si>
    <t>; Chen, Baiyu/H-7625-2017; Carter, Rickey/A-1594-2012</t>
  </si>
  <si>
    <t>Dilger, Samantha/0000-0002-3524-1723; Carter, Rickey/0000-0002-0818-273X</t>
  </si>
  <si>
    <t>National Institutes of Health [R01EB17095, U01EB17185]</t>
  </si>
  <si>
    <t>Research reported in this article was supported by the National Institutes of Health under award numbers R01EB17095 and U01EB17185. The content is solely the responsibility of the authors and does not necessarily represent the official views of the National Institute of Health.</t>
  </si>
  <si>
    <t>10.1088/1361-6560/ab1a45</t>
  </si>
  <si>
    <t>WOS:000467702500006</t>
  </si>
  <si>
    <t>Moghimirad, E; Bamber, J; Harris, E</t>
  </si>
  <si>
    <t>Moghimirad, Elahe; Bamber, Jeffrey; Harris, Emma</t>
  </si>
  <si>
    <t>Plane wave versus focused transmissions for contrast enhanced ultrasound imaging: the role of parameter settings and the effects of flow rate on contrast measurements</t>
  </si>
  <si>
    <t>contrast enhanced ultrasound imaging; contrast agents; microbubbles; focused imaging; plane wave imaging; grating lobes; flow speed</t>
  </si>
  <si>
    <t>FRAME RATE ULTRASONOGRAPHY; QUANTIFICATION; US; THERAPY; MOTION</t>
  </si>
  <si>
    <t>Contrast enhanced ultrasound (CEUS) and dynamic contrast enhanced ultrasound (DCE-US) can be used to provide information about the vasculature aiding diagnosis and monitoring of a number of pathologies including cancer. In the development of a CEUS imaging system, there are many choices to be made, such as whether to use plane wave (PW) or focused imaging (FI), and the values for parameters such as transmit frequency, F-number, mechanical index, and number of compounding angles (for PW imaging). CEUS image contrast may also be dependent on subject characteristics, e.g. flow speed and vessel orientation. We evaluated the effect of such choices on vessel contrast for PW and FI in vitro, using 2D ultrasound imaging. CEUS images were obtained using a Vantage (TM) (Verasonics Inc.) and a pulse-inversion (PI) algorithm on a flow phantom. Contrast (C) and contrast reduction (CR) were calculated, where C was the initial ratio of signal in vessel to signal in background and CR was its reduction after 200 frames (acquired in 20 s). Two transducer orientations were used: parallel and perpendicular to the vessel direction. Similar C and CR was achievable for PW and FI by choosing optimal parameter values. PW imaging suffered from high frequency grating lobe artefacts, which may lead to degraded image quality and misinterpretation of data. Flow rate influenced the contrast based on: (1) false contrast increase due to the bubble motion between the PI positive and negative pulses (for both PW and FI), and (2) contrast reduction due to the incoherency caused by bubble motion between the compounding angles (for PW only). The effects were less pronounced for perpendicular transducer orientation compared to a parallel one. Although both effects are undesirable, it may be more straight forward to account for artefacts in FI as it only suffers from the former effect. In conclusion, if higher frame rate imaging is not required (a benefit of PW), FI appears to be a better choice of imaging mode for CEUS, providing greater image quality over PW for similar rates of contrast reduction.</t>
  </si>
  <si>
    <t>[Moghimirad, Elahe; Bamber, Jeffrey; Harris, Emma] Inst Canc Res, Joint Dept Phys, London, England; [Moghimirad, Elahe; Bamber, Jeffrey; Harris, Emma] Inst Canc Res, CRUK Canc Imaging Ctr, London, England; [Moghimirad, Elahe; Bamber, Jeffrey; Harris, Emma] Royal Marsden NHS Fdn Trust, London, England; [Moghimirad, Elahe] Inst Canc Res, 15 Cotswold Rd, Sutton SM2 5NG, Surrey, England</t>
  </si>
  <si>
    <t>Royal Marsden NHS Foundation Trust; University of London; Institute of Cancer Research - UK; Royal Marsden NHS Foundation Trust; University of London; Institute of Cancer Research - UK; Royal Marsden NHS Foundation Trust; University of London; Institute of Cancer Research - UK</t>
  </si>
  <si>
    <t>Harris, E (通訊作者)， Inst Canc Res, Joint Dept Phys, London, England.;Harris, E (通訊作者)， Inst Canc Res, CRUK Canc Imaging Ctr, London, England.;Harris, E (通訊作者)， Royal Marsden NHS Fdn Trust, London, England.</t>
  </si>
  <si>
    <t>Emma.Harris@icr.ac.uk</t>
  </si>
  <si>
    <t>Bamber, Jeffrey/B-8839-2014; Moghimirad, Elahe/AAG-2248-2020</t>
  </si>
  <si>
    <t>Bamber, Jeffrey/0000-0001-9436-1832; Harris, Emma/0000-0001-8297-0382</t>
  </si>
  <si>
    <t>Cancer Research UK [C20892/A23557]; NHS</t>
  </si>
  <si>
    <t>Cancer Research UK(Cancer Research UK); NHS</t>
  </si>
  <si>
    <t>This work is supported by Cancer Research UK Program C20892/A23557. We acknowledge NHS funding to the NIHR Biomedical Research Centre at The Royal Marsden and The Institute of Cancer Research.</t>
  </si>
  <si>
    <t>10.1088/1361-6560/ab13f2</t>
  </si>
  <si>
    <t>WOS:000465824100003</t>
  </si>
  <si>
    <t>Pallotta, S; Calusi, S; Masi, L; Talamonti, C; Marrazzo, L; Foggi, L; Casati, M; Livihs, L; Sirnontacchis, G; Desideribs, I; Lisci, R</t>
  </si>
  <si>
    <t>Pallotta, Stefania; Calusi, Silvia; Masi, Laura; Talamonti, Cinzia; Marrazzo, Livia; Foggi, Leonardo; Casati, Marta; Livihs, Lorenzo; Sirnontacchis, Gabriele; Desideribs, Isacco; Lisci, Riccardo</t>
  </si>
  <si>
    <t>ADAM phantom to test 4D medical imaging and dose delivery devices</t>
  </si>
  <si>
    <t>breathing phantom; real time tracking; stereotactic body radiation therapy; 4D-CT; Radiotherapy</t>
  </si>
  <si>
    <t>MOTION MITIGATION TECHNIQUES; BREATHING PHANTOM; RADIATION-THERAPY; QUALITY-ASSURANCE; TUMOR MOTION; LUNG; THORAX; MANAGEMENT; DOSIMETRY; SYSTEM</t>
  </si>
  <si>
    <t>Radiotherapy treatment of moving lesions is a challenging task in which different strategies can be used. The clinical implementation of the variety of complex technical solutions pursued to treat cancer, while sparing healthy tissues, requires accurate quality assurance tests and adequate phantoms. The aim of this work is to report on the anthropomorphic dynamic breathing model (ADAM) and on its applications to test image quality and dose delivery for four-dimensional (4D) techniques used to compensate for breathing-induced tumor motion. ADAM reproduces a male torso containing realistic ribs and spinal cord. Lungs move along circular or elliptical paths lying on sagittal planes, while the anterior chest surface moves independently up and down. Lungs host radiochromic films, a diamond detector and objects of known shape and dimensions to test 4D scanners. Markers are embedded around a target and a specific tool, hosting orthogonal radiochromic films, has been provided to perform end-to-end tests of tracking systems. To demonstrate ADAM's performance in testing techniques and methods used to image and treat moving lesions we report the results of three experiments performed to evaluate the accuracy of 4D computed tomography reconstructed volumes, the repeatability of measured dose in volumetric modulated arc treatments and tracking performances of a robotic system. The results obtained show that the percentage differences of reconstructed volumes, with respect to the known volume, depend on the breathing pattern and the pitch size (maximum 5% for breathing rate &gt; 10 breaths per minute). Repeatability of measured dose maps obtained comparing radiochromic films was demonstrated (GI3%/2 mm &gt; 99%). Differences between planned and delivered point dose measurements were &lt;1%. Tracking errors were all below the tolerance level (range 0.6-0.9 mm). The results of this study demonstrate that ADAM is suitable to test techniques and methods used to image and treat moving lesions.</t>
  </si>
  <si>
    <t>[Pallotta, Stefania; Calusi, Silvia; Talamonti, Cinzia; Foggi, Leonardo; Livihs, Lorenzo; Desideribs, Isacco] Univ Florence, Dept Expt &amp; Clin Biomed Sci Mario Serio, Florence, Italy; [Pallotta, Stefania; Talamonti, Cinzia; Marrazzo, Livia; Casati, Marta] AOU Careggi, Med Phys Unit, Florence, Italy; [Masi, Laura] IFCA, Dept Med Phys &amp; Radiat Oncol, Florence, Italy; [Lisci, Riccardo] Univ Florence, Dept Agr, Food &amp; Forestry Syst, Florence, Italy; [Livihs, Lorenzo; Sirnontacchis, Gabriele; Desideribs, Isacco] AOU Careggi, Radiotherapy Unit, Florence, Italy</t>
  </si>
  <si>
    <t>University of Florence; University of Florence; Azienda Ospedaliero Universitaria Careggi; University of Florence; University of Florence; Azienda Ospedaliero Universitaria Careggi</t>
  </si>
  <si>
    <t>Pallotta, S (通訊作者)， Univ Florence, Dept Expt &amp; Clin Biomed Sci Mario Serio, Florence, Italy.;Pallotta, S (通訊作者)， AOU Careggi, Med Phys Unit, Florence, Italy.</t>
  </si>
  <si>
    <t>stefania.pallotta@unifi.it</t>
  </si>
  <si>
    <t>Talamonti, Cinzia/K-4087-2018; Casati, Marta/K-5521-2018; pallotta, stefania/E-9832-2013; Desideri, Isacco/K-4415-2018; Desideri, Isacco/O-1633-2019</t>
  </si>
  <si>
    <t>Talamonti, Cinzia/0000-0003-2955-6451; Desideri, Isacco/0000-0002-9880-8387; pallotta, stefania/0000-0003-4123-7971;</t>
  </si>
  <si>
    <t>10.1088/1361-6560/ab1a49</t>
  </si>
  <si>
    <t>WOS:000467464500002</t>
  </si>
  <si>
    <t>Molinelli, S; Russo, S; Magro, G; Maestri, D; Mairani, A; Mastella, E; Mirandola, A; Vai, A; Vischioni, B; Valvo, F; Ciocca, M</t>
  </si>
  <si>
    <t>Molinelli, Silvia; Russo, Stefania; Magro, Giuseppe; Maestri, Davide; Mairani, Andrea; Mastella, Edoardo; Mirandola, Alfredo; Vai, Alessandro; Vischioni, Barbara; Valvo, Francesca; Ciocca, Mario</t>
  </si>
  <si>
    <t>Impact of TPS calculation algorithms on dose delivered to the patient in proton therapy treatments</t>
  </si>
  <si>
    <t>proton therapy; dose calculation algorithm; treatment planning</t>
  </si>
  <si>
    <t>MONTE-CARLO SIMULATIONS; TREATMENT PLANNING SYSTEM; SCANNED PROTON; DOSIMETRIC ACCURACY; BEAMS</t>
  </si>
  <si>
    <t>To estimate the impact of dose calculation approaches adopted in different treatment planning systems (TPSs) on proton therapy dose delivered with pencil beam scanning (PBS). Treatment plans for six regular volumes in water and 15 clinical cases were optimized with Syngo-VC13 and exported for forward recalculation with Raystation-V7.0 pencil beam (RS-PBA) and Monte Carlo (RS-MC) algorithms and with the independent Fluka-MC engine. To verify clinical consistency between the two TPS dosimetric outcomes, the average percentage variations of clinical target volume (CTV) D-98%, D(50)(% )and D-2(%), adopted for plan prescription and evaluation, were considered. Ionization chamber measurements served as a further reference for comparison in homogeneous conditions. CTV dose volume histogram (DVH) analysis and gamma evaluation with 3 mm-3% agreement criteria quantified the dose deviation of TPS calculation algorithms, in heterogeneous conditions, against the Fluka-MC code. CTV D-50%, representing the plan dose prescription goal, was higher on average over H&amp;N cases of (3.9 +/- 0.9)% and (2.3 +/- 0.6)% as calculated with RS-PBA and RS-MC, respectively, compared to Syngo. For tumors located in the pelvis district, average D-50% variations of (1.6 +/- 0.7)% and (1.2 +/- 0.7)% were found. Syngo underestimated target near maximum doses with respect to all computation systems. Calculation accuracy in heterogeneous conditions of RS-PBA H&amp;N plans resulted poor when a range shifter was required. Target DVH and gamma-analysis showed excellent agreement between RS-MC and Fluka-MC, with gamma-pass rates &gt;98% for all patient groups. Different TPS dose calculation approaches mainly affected dose delivered in H&amp;N proton treatments, while minor deviations were found for pelvic tumors. RS-MC proved to be the most accurate TPS dose calculation algorithm when compared to an independent MC simulation code.</t>
  </si>
  <si>
    <t>[Molinelli, Silvia; Russo, Stefania; Magro, Giuseppe; Maestri, Davide; Mairani, Andrea; Mastella, Edoardo; Mirandola, Alfredo; Vai, Alessandro; Vischioni, Barbara; Valvo, Francesca; Ciocca, Mario] Fdn CNAO, Str Campeggi 53, I-27100 Pavia, Italy; [Magro, Giuseppe] Univ Milan, I-20133 Milan, Italy; [Mairani, Andrea] Heidelberg Ion Beam Therapy Ctr, Neuenheimer Feld 450, D-69120 Heidelberg, Germany</t>
  </si>
  <si>
    <t>Centro Nazionale di Adroterapia Oncologica (CNAO); University of Milan; Ruprecht Karls University Heidelberg</t>
  </si>
  <si>
    <t>Molinelli, S (通訊作者)， Fdn CNAO, Str Campeggi 53, I-27100 Pavia, Italy.</t>
  </si>
  <si>
    <t>molinelli@cnao.it</t>
  </si>
  <si>
    <t>Mastella, Edoardo/ITV-2670-2023; Magro, Giuseppe/KVB-3768-2024; Vischioni, Barbara/JBJ-5913-2023; molinelli, silvia/NQE-4854-2025; Vai, Alessandro/NFS-9813-2025; maestri, davide/KIE-8641-2024; Mirandola, Alfredo/AAG-6730-2019</t>
  </si>
  <si>
    <t>Mastella, Edoardo/0000-0002-1913-3976; Vischioni, Barbara/0000-0003-4920-2239;</t>
  </si>
  <si>
    <t>10.1088/1361-6560/ab0a4d</t>
  </si>
  <si>
    <t>WOS:000463540400004</t>
  </si>
  <si>
    <t>Lu, YH; Gallezot, JD; Naganawa, M; Ren, SL; Fontaine, K; Wu, J; Onofrey, JA; Toyonaga, T; Boutagy, N; Mulnix, T; Panini, VY; Casey, ME; Carson, RE; Liu, C</t>
  </si>
  <si>
    <t>Lu, Yihuan; Gallezot, Jean-Dominique; Naganawa, Mika; Ren, Silin; Fontaine, Kathryn; Wu, Jing; Onofrey, John A.; Toyonaga, Takuya; Boutagy, Nabil; Mulnix, Tim; Panini, Vladimir Y.; Casey, Michael E.; Carson, Richard E.; Liu, Chi</t>
  </si>
  <si>
    <t>Data-driven voluntary body motion detection and non-rigid event-by-event correction for static and dynamic PET</t>
  </si>
  <si>
    <t>positron emission tomography; motion detection; motion correction; body motion; event by event; non-rigid</t>
  </si>
  <si>
    <t>POSITRON-EMISSION-TOMOGRAPHY; LIST-MODE RECONSTRUCTION; HEAD MOVEMENT; HUMAN TUMORS; TRACKING; QUANTIFICATION; IMPLEMENTATION; COMPENSATION; REGISTRATION; RADIOTRACER</t>
  </si>
  <si>
    <t>PET has the potential to perform absolute in vivo radiotracer quantitation. This potential can be compromised by voluntary body motion (BM), which degrades image resolution, alters apparent tracer uptakes, introduces CT-based attenuation correction mismatch artifacts and causes inaccurate parameter estimates in dynamic studies. Existing body motion correction (BMC) methods include frame-based image-registration (FIR) approaches and real-time motion tracking using external measurement devices. FIR does not correct for motion occurring within a pre-defined frame and the device-based method is generally not practical in routine clinical use, since it requires attaching a tracking device to the patient and additional device set up time. In this paper, we proposed a data-driven algorithm, centroid of distribution (COD), to detect BM. In this algorithm, the central coordinate of the time-of-flight (TOF) bin, which can be used as a reasonable surrogate for the annihilation point, is calculated for every event, and averaged over a certain time interval to generate a COD trace. We hypothesized that abrupt changes on the COD trace in lateral direction represent BMs. After detection, BM is estimated using non-rigid image registrations and corrected through list-mode reconstruction. The COD-based BMC approach was validated using a monkey study and was evaluated against FIR using four human and one dog studies with multiple tracers. The proposed approach successfully detected BMs and yielded superior correction results over conventional FIR approaches.</t>
  </si>
  <si>
    <t>[Lu, Yihuan; Gallezot, Jean-Dominique; Naganawa, Mika; Ren, Silin; Fontaine, Kathryn; Wu, Jing; Onofrey, John A.; Toyonaga, Takuya; Mulnix, Tim; Carson, Richard E.; Liu, Chi] Yale Univ, Dept Radiol &amp; Biomed Imaging, New Haven, CT 06520 USA; [Boutagy, Nabil] Yale Sch Med, Yale Translat Res Imaging Ctr, Dept Med, Sect Cardiovasc Med, New Haven, CT USA; [Panini, Vladimir Y.; Casey, Michael E.] Siemens Med Solut, Knoxville, TN USA</t>
  </si>
  <si>
    <t>Yale University; Yale University; Siemens AG; Siemens USA</t>
  </si>
  <si>
    <t>Lu, YH (通訊作者)， Yale Univ, Dept Radiol &amp; Biomed Imaging, New Haven, CT 06520 USA.</t>
  </si>
  <si>
    <t>Yihuan.lu@yale.edu</t>
  </si>
  <si>
    <t>Toyonaga, Takuya/ABE-1742-2021; Carson, Richard/H-3250-2011; Naganawa, Mika/H-1688-2014; Ren, Silin/JUF-6998-2023; Sinusas, Albert/A-7235-2009; Onofrey, John/T-9841-2019</t>
  </si>
  <si>
    <t>Lu, Yihuan/0000-0002-9492-6802; Naganawa, Mika/0000-0002-4408-2621;</t>
  </si>
  <si>
    <t>Siemens Healthcare; NIH [1S10RR029245-01, R01CA224140]; CTSA from the National Center for Advancing Translational Science (NCATS), a component of the National Institutes of Health (NIH) [UL1 TR000142]</t>
  </si>
  <si>
    <t>Siemens Healthcare(Siemens AG); NIH(United States Department of Health &amp; Human ServicesNational Institutes of Health (NIH) - USA); CTSA from the National Center for Advancing Translational Science (NCATS), a component of the National Institutes of Health (NIH)(United States Department of Health &amp; Human ServicesNational Institutes of Health (NIH) - USANIH National Center for Advancing Translational Sciences (NCATS))</t>
  </si>
  <si>
    <t>This work was supported by a research contract from Siemens Healthcare and by NIH grants 1S10RR029245-01 and R01CA224140. This publication was made possible by CTSA Grant Number UL1 TR000142 from the National Center for Advancing Translational Science (NCATS), a component of the National Institutes of Health (NIH). Its contents are solely the responsibility of the authors and do not necessarily represent the official view of NIH.</t>
  </si>
  <si>
    <t>10.1088/1361-6560/ab02c2</t>
  </si>
  <si>
    <t>WOS:000460822700002</t>
  </si>
  <si>
    <t>Chan, MKH; Leung, RWK; Lee, VWY; Wong, MYP; Chiang, CL; Law, GML; Blanck, O</t>
  </si>
  <si>
    <t>Chan, Mark K. H.; Leung, Ronnie W. K.; Lee, Venus W. Y.; Wong, Matthew Y. P.; Chiang, Chi-Leung; Law, Gilbert M. L.; Blanck, Oliver</t>
  </si>
  <si>
    <t>Linking dose delivery accuracy and planning target margin in radiosurgery based on dose-volume histograms derived from measurement-guided dose reconstruction</t>
  </si>
  <si>
    <t>measurement-guided dose reconstruction; qausi-3D dosimetry; radiosurgery; dose delivery quality assurance; planning target margin</t>
  </si>
  <si>
    <t>QUALITY-ASSURANCE; STEREOTACTIC RADIOSURGERY; QUANTITATIVE-EVALUATION; PHANTOM</t>
  </si>
  <si>
    <t>In radiosurgery (SRS), the geometric uncertainties of machine-related delivery including image-guidance and hence the planning target volume (PTV) are often evaluated by the end-to-end gamma (gamma) comparison that carries no information about the clinical relevance of deviations of individual SRS plans during delivery quality assurance (DQA). A proof-of-concept method was proposed to derive the PTV against both the plan- and the machine-specific delivery errors directly from the clinically relevant dose-volume histograms (DVHs) using measured-guided dose reconstruction (MGDR) during DQA. A liquid-filled detector array and a rotating phantom were used to measure sixteen arc-based radiosurgery treatments with 1 and 2 mm gross tumor volume (GTV)-to-PTV margins, producing MGDR-3D dose distribution on both the phantom and the patient CT for gamma index and clinical DVH evaluations, respectively. The PTV was considered optimal when the MGDR showed the desired prescription dose coverage (V-pres) of the GTV (100% in this study). Associations of the binary V-pres outcomes (</t>
  </si>
  <si>
    <t>[Chan, Mark K. H.; Blanck, Oliver] Univ Klinikum Schleswig Holstein, Klin Strahlentherapie, Kiel, Germany; [Chan, Mark K. H.; Leung, Ronnie W. K.; Lee, Venus W. Y.; Wong, Matthew Y. P.; Law, Gilbert M. L.] Tuen Mun Hosp, Dept Clin Oncol, Hong Kong, Peoples R China; [Chiang, Chi-Leung] Univ Hong Kong, Dept Clin Oncol, Hong Kong, Peoples R China; [Chan, Mark K. H.] Imperial Coll Healthcare NHS Trust, Dept Radiat Phys &amp; Radiobiol, London, England</t>
  </si>
  <si>
    <t>University of Kiel; Schleswig Holstein University Hospital; Tuen Mun Hospital; University of Hong Kong; Imperial College London</t>
  </si>
  <si>
    <t>Chan, MKH (通訊作者)， Univ Klinikum Schleswig Holstein, Klin Strahlentherapie, Kiel, Germany.;Chan, MKH (通訊作者)， Tuen Mun Hosp, Dept Clin Oncol, Hong Kong, Peoples R China.;Chan, MKH (通訊作者)， Imperial Coll Healthcare NHS Trust, Dept Radiat Phys &amp; Radiobiol, London, England.</t>
  </si>
  <si>
    <t>mark.chan2@nhs.net</t>
  </si>
  <si>
    <t>Leung, Ronnie/CAG-2088-2022; Blanck, Oliver/KQE-0583-2024; Chan, Mark Ka Heng/ABF-5313-2021; Chan, Mark K.H./ABF-5313-2021</t>
  </si>
  <si>
    <t>Blanck, Oliver/0000-0003-1391-1308; Chan, Mark K.H./0000-0002-0187-2703; Chiang, Chi-Leung/0000-0002-9836-6478</t>
  </si>
  <si>
    <t>10.1088/1361-6560/aafd47</t>
  </si>
  <si>
    <t>WOS:000458375200001</t>
  </si>
  <si>
    <t>Lafata, KJ; Hong, JC; Geng, RQ; Ackerson, BC; Liu, JG; Zhou, ZN; Torok, J; Kelsey, CR; Yin, FF</t>
  </si>
  <si>
    <t>Lafata, Kyle J.; Hong, Julian C.; Geng, Ruiqi; Ackerson, Bradley C.; Liu, Jian-Guo; Zhou, Zhennan; Torok, Jordan; Kelsey, Chris R.; Yin, Fang-Fang</t>
  </si>
  <si>
    <t>Association of pre-treatment radiomic features with lung cancer recurrence following stereotactic body radiation therapy</t>
  </si>
  <si>
    <t>radiomics; stereotactic body radiation therapy; non-small cell lung cancer; treatment outcomes</t>
  </si>
  <si>
    <t>STAGE-I; SURVIVAL</t>
  </si>
  <si>
    <t>The purpose of this work was to investigate the potential relationship between radiomic features extracted from pre-treatment x-ray CT images and clinical outcomes following stereotactic body radiation therapy (SBRT) for non-small-cell lung cancer (NSCLC). Seventy patients who received SBRT for stage-1 NSCLC were retrospectively identified. The tumor was contoured on pre-treatment free-breathing CT images, from which 43 quantitative radiomic features were extracted to collectively capture tumor morphology, intensity, fine-texture, and coarse-texture. Treatment failure was defined based on cancer recurrence, local cancer recurrence, and non-local cancer recurrence following SBRT. The univariate association between each radiomic feature and each clinical endpoint was analyzed using Welch's t-test, and p-values were corrected for multiple hypothesis testing. Multivariate associations were based on regularized logistic regression with a singular value decomposition to reduce the dimensionality of the radiomics data. Two features demonstrated a statistically significant association with local failure: Homogeneity2 (p = 0.022) and Long-Run-High-Gray-Level-Emphasis (p = 0.048). These results indicate that relatively dense tumors with a homogenous coarse texture might be linked to higher rates of local recurrence. Multivariable logistic regression models produced maximum AUC values of 0.72 +/- 0.04, 0.83 +/- 0.03, and 0.60 +/- 0.04, for the recurrence, local recurrence, and non-local recurrence endpoints, respectively. The CT-based radiomic features used in this study may be more associated with local failure than non-local failure following SBRT for stage I NSCLC. This finding is supported by both univariate and multivariate analyses.</t>
  </si>
  <si>
    <t>[Lafata, Kyle J.; Hong, Julian C.; Geng, Ruiqi; Ackerson, Bradley C.; Torok, Jordan; Kelsey, Chris R.; Yin, Fang-Fang] Duke Univ, Dept Radiat Oncol, Med Ctr, Durham, NC 27710 USA; [Lafata, Kyle J.; Geng, Ruiqi; Yin, Fang-Fang] Duke Univ, Med Phys Grad Program, Durham, NC 27710 USA; [Lafata, Kyle J.; Liu, Jian-Guo] Duke Univ, Dept Phys, Durham, NC 27710 USA; [Liu, Jian-Guo] Duke Univ, Dept Math, Durham, NC 27710 USA; [Zhou, Zhennan] Peking Univ, Beijing Int Ctr Math Res, Beijing 100871, Peoples R China</t>
  </si>
  <si>
    <t>Duke University; Duke University; Duke University; Duke University; Peking University</t>
  </si>
  <si>
    <t>Lafata, KJ (通訊作者)， Duke Univ, Dept Radiat Oncol, Med Ctr, Durham, NC 27710 USA.;Lafata, KJ (通訊作者)， Duke Univ, Med Phys Grad Program, Durham, NC 27710 USA.;Lafata, KJ (通訊作者)， Duke Univ, Dept Phys, Durham, NC 27710 USA.</t>
  </si>
  <si>
    <t>kyle.lafata@duke.edu; fangfang.yin@duke.edu</t>
  </si>
  <si>
    <t>; Liu, Jianguo/AAP-7327-2020; Geng, Ruiqi/HLH-7638-2023; Hong, Julian/X-6397-2018</t>
  </si>
  <si>
    <t>Ackerson, Bradley/0000-0001-9722-4593; Hong, Julian/0000-0001-5172-6889; Yin, Fang-Fang/0000-0002-2025-4740</t>
  </si>
  <si>
    <t>10.1088/1361-6560/aaf5a5</t>
  </si>
  <si>
    <t>WOS:000455823300004</t>
  </si>
  <si>
    <t>Zhuang, YD; Han, JJ; Chen, LX; Liu, XW</t>
  </si>
  <si>
    <t>Zhuang, Yongdong; Han, Junjie; Chen, Lixin; Liu, Xiaowei</t>
  </si>
  <si>
    <t>Dose-volume histogram prediction in volumetric modulated arc therapy for nasopharyngeal carcinomas based on uniform-intensity radiation with equal angle intervals</t>
  </si>
  <si>
    <t>DVH prediction; uniform-intensity radiation; nasopharyngeal carcinoma; volumetric modulated arc therapy</t>
  </si>
  <si>
    <t>OPTIMIZATION</t>
  </si>
  <si>
    <t>In this study, we developed a gated recurrent unit (GRU)-based recurrent neural network (RNN) for dose-volume histogram (DVH) prediction in volumetric modulated arc therapy (VMAT) planning for nasopharyngeal carcinomas (NPCs) based on uniform-intensity radiation with equal angle intervals and investigated the feasibility and usefulness of this method for treatment optimization. One hundred twenty-four NPC patients were selected from a database containing clinical VMAT plans from 2015 to 2018; of these, the data from 100 patients were used to train the GRU-RNN, and the data of the other 24 patients were used for testing. For the prescribed doses to D-95 (the absorbed dose for 95% of the planning target volume) of all the plans in 30 or 31 fractions, 70 Gy were delivered to PTV70 (the gross tumour volume with circumferential margin), 60 Gy were delivered to PTV60, 54 Gy were delivered to PTV54 and 66 Gy were delivered to PTV66 (lymph node gross tumour volume with circumferential margin). For each NPC patient, an equal-field-weight conformal radiotherapy plan was generated by a treatment planning system (TPS) to offer uniform-intensity radiation. By adjusting the field weights, the dose distribution induced by individual conformal beams was acquired, and the corresponding DVH was calculated. Direction-dependent DVHs were employed to predict the DVH for VMAT with the GRU-RNN, and the regenerated VMAT experimental plans (EPs), guided by the predicted DVHs, were evaluated by comparing them with the clinical plans (CPs). For the 24 test patients, the regenerated EPs guided by the GRU-RNN predictive model achieved good consistency relative to the CPs. The EPs resulted in better dose sparing for many organs at risk (OARs) while still meeting the acceptable criteria for the PTVs. Significant differences were found in the maximum/mean doses to the optic nerves, temporal lobes, lenses, mandibles, temporomandibular joints (TMJs), larynx and inner ears, with P-values of 0.03, 0.01, 0.01, &lt;0.01, 0.02, 0.02 and &lt;0.01, respectively. On average, compared to the CPs, the maximum/mean doses to these OARs were altered by -1.38 Gy, -0.92 Gy, 0.53 Gy, -1.19 Gy, -1.16 Gy, 2.39 Gy and -1.71 Gy, respectively. The results showed the accuracy and effectiveness of the proposed uniform-intensity radiation approach. The regenerated plans guided by the predictive method were not inferior to the manual plans, indicating their great potential for improved planning and quality control in clinical applications.</t>
  </si>
  <si>
    <t>[Zhuang, Yongdong; Liu, Xiaowei] Sun Yat Sen Univ, Sch Phys, 135 Xin Gang Rd West, Guangzhou 510275, Peoples R China; [Chen, Lixin] Sun Yat Sen Univ, Canc Ctr, 651 Dong Feng Rd East, Guangzhou 510060, Peoples R China; [Han, Junjie] Guangdong Gen Hosp, Dept Radiat Oncol, Guangzhou, Guangdong, Peoples R China</t>
  </si>
  <si>
    <t>Sun Yat Sen University; Sun Yat Sen University; Guangdong Academy of Medical Sciences &amp; Guangdong General Hospital</t>
  </si>
  <si>
    <t>Liu, XW (通訊作者)， Sun Yat Sen Univ, Sch Phys, 135 Xin Gang Rd West, Guangzhou 510275, Peoples R China.</t>
  </si>
  <si>
    <t>Han, Junjie/HJG-9032-2022</t>
  </si>
  <si>
    <t>This work was supported by the National Natural Science Foundation of China (U1832128 and 11375278).</t>
  </si>
  <si>
    <t>23NT03</t>
  </si>
  <si>
    <t>10.1088/1361-6560/ab5433</t>
  </si>
  <si>
    <t>WOS:000518764700002</t>
  </si>
  <si>
    <t>Kroll, C; Dietrich, O; Bortfeldt, J; Paganelli, C; Baroni, G; Kamp, F; Neppl, S; Belka, C; Parodi, K; Opel, M; Riboldi, M</t>
  </si>
  <si>
    <t>Kroll, C.; Dietrich, O.; Bortfeldt, J.; Paganelli, C.; Baroni, G.; Kamp, F.; Neppl, S.; Belka, C.; Parodi, K.; Opel, M.; Riboldi, M.</t>
  </si>
  <si>
    <t>Improving the modelling of susceptibility-induced spatial distortions in MRI-guided extra-cranial radiotherapy</t>
  </si>
  <si>
    <t>spatial distortion artefacts; image guidance; MRI-guided radiotherapy; susceptibility</t>
  </si>
  <si>
    <t>MAGNETIC-SUSCEPTIBILITY; GEOMETRIC DISTORTION; NUMERICAL-ANALYSIS; FIELD; RESONANCE; PHANTOM; DENSITY; DISTRIBUTIONS; SIMULATION; PROSTATE</t>
  </si>
  <si>
    <t>Magnetic-resonance linear-accelerator (MR-LINAC) systems integrating in-room magnetic-resonance-imaging (MRI) guidance are a currently emerging technology. Such systems address the need to provide frequent imaging at optimal soft-tissue contrast for treatment guidance. However, the use of MRI-guidance in radiotherapy should address imaging-related spatial distortions, which may hinder accurate geometrical characterization of the treatment site. Since spatial encoding relies on well-defined magnetic fields, accurate modeling of the magnetic field alterations due to B-0-inhomogeneities, gradient nonlinearities, and susceptibilities is needed. In this work, the modeling of susceptibility induced distortions is considered. Dedicated susceptibility measurements are reported, aiming at extending the characterization of different tissues for MRI-guided extra-cranial radiotherapy applications. A digital 4D anthropomorphic phantom, providing time-resolved anatomical changes due to breathing, is exploited as reference anatomy to quantify spatial distortions due to variations in tissue susceptibility. Sub-millimeter values can be attributed to susceptibility-induced distortions, with maximum values up to 2.3 mm at a gradient strength of 5 mT m(-1). Improvements in susceptibility simulation for extra-cranial sites are shown when including specifically the contributions from lung, liver and muscular tissues.</t>
  </si>
  <si>
    <t>[Kroll, C.; Bortfeldt, J.; Parodi, K.; Riboldi, M.] Ludwig Maximilians Univ Munchen, Dept Med Phys, Garching, Germany; [Dietrich, O.] Ludwig Maximilians Univ Munchen, Univ Hosp, Dept Radiol, Munich, Germany; [Bortfeldt, J.] European Org Nucl Res CERN, Geneva, Switzerland; [Paganelli, C.; Baroni, G.] Politecn Milan, Dipartimento Elettron Informaz &amp; Bioingn, Milan, Italy; [Baroni, G.] Ctr Nazl Adroterapia Oncol, Bioengn Unit, Pavia, Italy; [Kamp, F.; Neppl, S.; Belka, C.] Ludwig Maximilians Univ Munchen, Dept Radiat Oncol, Univ Hosp, Munich, Germany; [Belka, C.] German Canc Consortium DKTK, Munich, Germany; [Opel, M.] Bayerische Akad Wissensch, Walther Meissner Inst, Garching, Germany; [Kroll, C.] Max Planck Inst Meteorol, Hamburg, Germany</t>
  </si>
  <si>
    <t>University of Munich; University of Munich; European Organization for Nuclear Research (CERN); Polytechnic University of Milan; Centro Nazionale di Adroterapia Oncologica (CNAO); University of Munich; Helmholtz Association; German Cancer Research Center (DKFZ); Max Planck Society</t>
  </si>
  <si>
    <t>Riboldi, M (通訊作者)， Ludwig Maximilians Univ Munchen, Dept Med Phys, Garching, Germany.</t>
  </si>
  <si>
    <t>marco.riboldi@physik.uni-muenchen.de</t>
  </si>
  <si>
    <t>Dietrich, Olaf/C-4696-2014; Bortfeldt, Jona/AAJ-5370-2021; Opel, Matthias/L-8784-2016; Baroni, Guido/D-3012-2011; Riboldi, Marco/AAE-1272-2020</t>
  </si>
  <si>
    <t>Dietrich, Olaf/0000-0001-6182-5039; Kroll, Clarissa/0000-0002-3449-418X; Opel, Matthias/0000-0003-4735-9574; Baroni, Guido/0000-0002-5464-0164; Bortfeldt, Jonathan/0000-0002-0777-985X</t>
  </si>
  <si>
    <t>German Research Foundation (DFG) Cluster of Excellence Munich-Centre for Advanced Photonics (MAP); Heinrich Boll Foundation; COFUND-FP-CERN-2014 program [665779]</t>
  </si>
  <si>
    <t>German Research Foundation (DFG) Cluster of Excellence Munich-Centre for Advanced Photonics (MAP)(German Research Foundation (DFG)); Heinrich Boll Foundation; COFUND-FP-CERN-2014 program</t>
  </si>
  <si>
    <t>This work was supported by the German Research Foundation (DFG) Cluster of Excellence Munich-Centre for Advanced Photonics (MAP). The preliminary SQUID measurements were performed at the Technical University Munich (TUM) in the group of Prof Fassler. C Kroll gratefully acknowledges a study scholarship by the Heinrich Boll Foundation. J Bortfeldt acknowledges support by the COFUND-FP-CERN-2014 program (Grant No. 665779).</t>
  </si>
  <si>
    <t>10.1088/1361-6560/ab447c</t>
  </si>
  <si>
    <t>WOS:000500247900006</t>
  </si>
  <si>
    <t>Smith, BR; Hyer, DE; Flynn, RT; Hill, PM; Culberson, WS</t>
  </si>
  <si>
    <t>Smith, Blake R.; Hyer, Daniel E.; Flynn, Ryan T.; Hill, Patrick M.; Culberson, Wesley S.</t>
  </si>
  <si>
    <t>Trimmer sequencing time minimization during dynamically collimated proton therapy using a colony of cooperating agents</t>
  </si>
  <si>
    <t>protons; optimization; collimation</t>
  </si>
  <si>
    <t>BRAIN-TUMORS; MONTE-CARLO; RADIOTHERAPY; OPTIMIZATION; PHOTON; APERTURE; STEP</t>
  </si>
  <si>
    <t>The dynamic collimation system (DCS) can be combined with pencil beam scanning proton therapy to deliver highly conformal treatment plans with unique collimation at each energy layer. This energy layer-specific collimation is accomplished through the synchronized motion of four trimmer blades that intercept the proton beam near the target boundary in the beam's eye view. However, the corresponding treatment deliveries come at the cost of additional treatment time since the translational speed of the trimmer is slower than the scanning speed of the proton pencil beam. In an attempt to minimize the additional trimmer sequencing time of each field while still maintaining a high degree of conformity, a novel process utilizing ant colony optimization (ACO) methods was created to determine the most efficient route of trimmer sequencing and beamlet scanning patterns for a collective set of collimated proton beamlets. The ACO process was integrated within an in-house treatment planning system optimizer to determine the beam scanning and DCS trimmer sequencing patterns and compared against an analytical approximation of the trimmer sequencing time should a contour-like scanning approach be assumed instead. Due to the stochastic nature of ACO, parameters where determined so that they could ensure good convergence and an efficient optimization of trimmer sequencing that was faster than an analytical contour-like trimmer sequencing. The optimization process was tested using a set of three intracranial treatment plans which were planned using a custom research treatment planning system and were successfully optimized to reduce the additional trimmer sequencing time to approximately 60 s per treatment field while maintaining a high degree of target conformity. Thus, the novel use of ACO techniques within a treatment planning algorithm has been demonstrated to effectively determine collimation sequencing patterns for a DCS in order to minimize the additional treatment time required for trimmer movement during treatment.</t>
  </si>
  <si>
    <t>[Smith, Blake R.; Culberson, Wesley S.] Univ Wisconsin, Sch Med &amp; Publ Hlth, Dept Med Phys, Madison, WI 53705 USA; [Hyer, Daniel E.; Flynn, Ryan T.] Univ Iowa, Dept Radiat Oncol, Iowa City, IA 52242 USA; [Hill, Patrick M.] Univ Wisconsin, Sch Med &amp; Publ Hlth, Dept Human Oncol, Madison, WI 53705 USA</t>
  </si>
  <si>
    <t>University of Wisconsin System; University of Wisconsin Madison; University of Iowa; University of Wisconsin System; University of Wisconsin Madison</t>
  </si>
  <si>
    <t>Smith, BR (通訊作者)， Univ Wisconsin, Sch Med &amp; Publ Hlth, Dept Med Phys, Madison, WI 53705 USA.</t>
  </si>
  <si>
    <t>bsmith34@wisc.edu</t>
  </si>
  <si>
    <t>Hyer, Daniel/0000-0002-7638-9599; Flynn, Ryan/0000-0002-8604-6047</t>
  </si>
  <si>
    <t>NCI NIH HHS [R37 CA226518] Funding Source: Medline</t>
  </si>
  <si>
    <t>10.1088/1361-6560/ab416d</t>
  </si>
  <si>
    <t>WOS:000500247900025</t>
  </si>
  <si>
    <t>Huang, P; Su, L; Chen, SY; Cao, KL; Song, Q; Kazanzides, P; Iordachita, I; Bell, MAL; Wong, JW; Li, DW; Ding, K</t>
  </si>
  <si>
    <t>Huang, Pu; Su, Lin; Chen, Shuyang; Cao, Kunlin; Song, Qi; Kazanzides, Peter; Iordachita, Iulian; Bell, Muyinatu A. Lediju; Wong, John W.; Li, Dengwang; Ding, Kai</t>
  </si>
  <si>
    <t>2D ultrasound imaging based intra-fraction respiratory motion tracking for abdominal radiation therapy using machine learning</t>
  </si>
  <si>
    <t>tracking; ultrasound; principal component analysis; slow feature analysis; template matching</t>
  </si>
  <si>
    <t>TIME TARGET TRACKING; LIVER; RADIOTHERAPY; GUIDANCE; BLOCK</t>
  </si>
  <si>
    <t>We have previously developed a robotic ultrasound imaging system for motion monitoring in abdominal radiation therapy. Owing to the slow speed of ultrasound image processing, our previous system could only track abdominal motions under breath-hold. To overcome this limitation, a novel 2D-based image processing method for tracking intra-fraction respiratory motion is proposed. Fifty-seven different anatomical features acquired from 27 sets of 2D ultrasound sequences were used in this study. Three 2D ultrasound sequences were acquired with the robotic ultrasound system from three healthy volunteers. The remaining datasets were provided by the 2015 MICCAI Challenge on Liver Ultrasound Tracking. All datasets were preprocessed to extract the feature point, and a patient-specific motion pattern was extracted by principal component analysis and slow feature analysis (SFA). The tracking finds the most similar frame (or indexed frame) by a k-dimensional-tree-based nearest neighbor search for estimating the tracked object location. A template image was updated dynamically through the indexed frame to perform a fast template matching (TM) within a learned smaller search region on the incoming frame. The mean tracking error between manually annotated landmarks and the location extracted from the indexed training frame is 1.80 +/- 1.42 mm. Adding a fast TM procedure within a small search region reduces the mean tracking error to 1.14 +/- 1.16 mm. The tracking time per frame is 15 ms, which is well below the frame acquisition time. Furthermore, the anatomical reproducibility was measured by analyzing the location's anatomical landmark relative to the probe; the position-controlled probe has better reproducibility and yields a smaller mean error across all three volunteer cases, compared to the force-controlled probe (2.69 versus 11.20 mm in the superior-inferior direction and 1.19 versus 8.21 mm in the anterior-posterior direction). Our method reduces the processing time for tracking respiratory motion significantly, which can reduce the delivery uncertainty.</t>
  </si>
  <si>
    <t>[Huang, Pu; Li, Dengwang] Shandong Normal Univ, Sch Phys &amp; Elect, Shandong Key Lab Med Phys &amp; Image Proc, Jinan, Shandong, Peoples R China; [Huang, Pu; Su, Lin; Wong, John W.; Ding, Kai] Johns Hopkins Sch Med, Dept Radiat Oncol &amp; Mol Radiat Sci, Baltimore, MD 21205 USA; [Chen, Shuyang; Kazanzides, Peter] Johns Hopkins Univ, Dept Comp Sci, Baltimore, MD 21218 USA; [Cao, Kunlin; Song, Qi] CuraCloud Corp, Seattle, WA USA; [Iordachita, Iulian] Johns Hopkins Univ, Dept Mech Engn, Baltimore, MD 21218 USA; [Bell, Muyinatu A. Lediju] Johns Hopkins Univ, Dept Elect &amp; Comp Engn, Baltimore, MD 21218 USA</t>
  </si>
  <si>
    <t>Shandong Normal University; Johns Hopkins University; Johns Hopkins Medicine; Johns Hopkins University; Johns Hopkins University; Johns Hopkins University</t>
  </si>
  <si>
    <t>Li, DW (通訊作者)， Shandong Normal Univ, Sch Phys &amp; Elect, Shandong Key Lab Med Phys &amp; Image Proc, Jinan, Shandong, Peoples R China.;Ding, K (通訊作者)， Johns Hopkins Sch Med, Dept Radiat Oncol &amp; Mol Radiat Sci, Baltimore, MD 21205 USA.</t>
  </si>
  <si>
    <t>lidengwang@sdnu.edu.cn; kding1@jhmi.edu</t>
  </si>
  <si>
    <t>; Ding, Kai/E-1943-2013; Kazanzides, Peter/A-3358-2010; Iordachita, Iulian/A-3507-2010; Chen, shuyang/ABC-1178-2021</t>
  </si>
  <si>
    <t>Chen, Shuyang/0000-0003-2627-3691; Li, Dengwang/0000-0001-5126-3888; Kazanzides, Peter/0000-0002-6117-5467;</t>
  </si>
  <si>
    <t>National Institutes of Health [NCI R01 CA161613]; Taishan Scholars Project of Shandong Province [Tsqn20161023]; Primary Research and Development Plan of Shandong Province [2018GGX101018]; National Natural Science Foundation of China</t>
  </si>
  <si>
    <t>National Institutes of Health(United States Department of Health &amp; Human ServicesNational Institutes of Health (NIH) - USA); Taishan Scholars Project of Shandong Province; Primary Research and Development Plan of Shandong Province; National Natural Science Foundation of China(National Natural Science Foundation of China (NSFC))</t>
  </si>
  <si>
    <t>LS, PK, II, MB, JW, and KD were supported in part by grant from the National Institutes of Health (NCI R01 CA161613). PH and DL were supported in part by the National Natural Science Foundation of China, Taishan Scholars Project of Shandong Province (Tsqn20161023) and the Primary Research and Development Plan of Shandong Province (No. 2018GGX101018).</t>
  </si>
  <si>
    <t>10.1088/1361-6560/ab33db</t>
  </si>
  <si>
    <t>WOS:000485720400006</t>
  </si>
  <si>
    <t>He, DN; Fan, XB; Chatterjee, A; Wang, SY; Medved, M; Pineda, FD; Yousuf, A; Antic, T; Oto, A; Karczmar, GS</t>
  </si>
  <si>
    <t>He, Dianning; Fan, Xiaobing; Chatterjee, Aritrick; Wang, Shiyang; Medved, Milica; Pineda, Federico D.; Yousuf, Ambereen; Antic, Tatjana; Oto, Aytekin; Karczmar, Gregory S.</t>
  </si>
  <si>
    <t>A compact solution for estimation of physiological parameters from ultrafast prostate dynamic contrast enhanced MRI</t>
  </si>
  <si>
    <t>pharmacokinetic models; physiological parameters; arterial input function; ultrafast dynamic contrast enhanced MRI</t>
  </si>
  <si>
    <t>DCE-MRI; PHARMACOKINETIC PARAMETERS; SEMIQUANTITATIVE ANALYSIS; KINETIC-PARAMETERS; T-1-WEIGHTED MRI; BREAST-CANCER; TUMOR-TISSUE; PERFUSION; ACCURACY; T1</t>
  </si>
  <si>
    <t>The Tofts pharmacokinetic model requires multiple calculations for analysis of dynamic contrast enhanced (DCE) MRI. In addition, the Tofts model may not be appropriate for the prostate. This can result in error propagation that reduces the accuracy of pharmacokinetic measurements. In this study, we present a compact solution allowing estimation of physiological parameters K-trans and v(e) from ultrafast DCE acquisitions, without fitting DCE-MRI data to the standard Tofts pharmacokinetic model. Since the standard Tofts model can be simplified to the Patlak model at early times when contrast efflux from the extravascular extracellular space back to plasma is negligible, K-trans can be solved explicitly for a specific time. Further, v(e) can be estimated directly from the late steady-state signal using the derivative form of Tofts model. Ultrafast DCE-MRI data were acquired from 18 prostate cancer patients on a Philips Achieva 3T-TX scanner. Regions-of-interest (ROIs) for prostate cancer, normal tissue, gluteal muscle, and iliac artery were manually traced. The contrast media concentration as function of time was calculated over each ROI using gradient echo signal equation with pre-contrast tissue T1 values, and using the 'reference tissue' model with a linear approximation. There was strong correlation (r = 0.88-0.91,p &lt; 0.0001) between K-trans extracted from the Tofts model and K-trans estimated from the compact solution for prostate cancer and normal tissue. Additionally, there was moderate correlation (r = 0.65-0.73,p &lt; 0.0001) between extracted versus estimated v(e). Bland-Altman analysis showed moderate to good agreement between physiological parameters extracted from the Tofts model and those estimated from the compact solution with absolute bias less than 0.20 min(-1) and 0.10 for K-trans and v(e), respectively. The compact solution may decrease systematic errors and error propagation, and could increase the efficiency of clinical workflow. The compact solution requires high temporal resolution DCE-MRI due to the need to adequately sample the early phase of contrast media uptake.</t>
  </si>
  <si>
    <t>[He, Dianning] Northeastern Univ, Coll Med &amp; Biol Informat Engn, Shenyang, Liaoning, Peoples R China; [He, Dianning; Fan, Xiaobing; Chatterjee, Aritrick; Wang, Shiyang; Medved, Milica; Pineda, Federico D.; Yousuf, Ambereen; Oto, Aytekin; Karczmar, Gregory S.] Univ Chicago, Dept Radiol, Chicago, IL 60637 USA; [Antic, Tatjana] Univ Chicago, Dept Pathol, Chicago, IL 60637 USA</t>
  </si>
  <si>
    <t>Northeastern University - China; University of Chicago; University of Chicago</t>
  </si>
  <si>
    <t>Karczmar, GS (通訊作者)， Univ Chicago, Dept Radiol, Chicago, IL 60637 USA.</t>
  </si>
  <si>
    <t>gskarczm@uchicago.edu</t>
  </si>
  <si>
    <t>; He, Dong/LBH-8540-2024; Chatterjee, Aritrick/H-8834-2019; Pineda, Federico/KVB-4453-2024</t>
  </si>
  <si>
    <t>Pineda, Federico Damian/0000-0002-9073-4379; Chatterjee, Aritrick/0000-0003-4022-7106;</t>
  </si>
  <si>
    <t>National Institutes of Health [R01CA218700, U01CA142565, R01CA172801, S10OD018448]; University of Chicago Comprehensive Cancer Center from the National Cancer Institute Cancer Center Support Grant [P30CA014599]; Fundamental Research Funds for the Central Universities [02120022119001]</t>
  </si>
  <si>
    <t>National Institutes of Health(United States Department of Health &amp; Human ServicesNational Institutes of Health (NIH) - USA); University of Chicago Comprehensive Cancer Center from the National Cancer Institute Cancer Center Support Grant; Fundamental Research Funds for the Central Universities(Fundamental Research Funds for the Central Universities)</t>
  </si>
  <si>
    <t>This research is supported by the National Institutes of Health (Grant Nos: R01CA218700, U01CA142565, R01CA172801 and S10OD018448), the University of Chicago Comprehensive Cancer Center from the National Cancer Institute Cancer Center Support Grant P30CA014599 and the Fundamental Research Funds for the Central Universities (No. 02120022119001).</t>
  </si>
  <si>
    <t>10.1088/1361-6560/ab2b62</t>
  </si>
  <si>
    <t>WOS:000480292700007</t>
  </si>
  <si>
    <t>Dickmann, J; Wesp, P; Rädler, M; Rit, S; Pankuch, M; Johnson, RP; Bashkirov, V; Schulte, RW; Parodi, K; Landry, G; Dedes, G</t>
  </si>
  <si>
    <t>Dickmann, J.; Wesp, P.; Raedler, M.; Rit, S.; Pankuch, M.; Johnson, R. P.; Bashkirov, V; Schulte, R. W.; Parodi, K.; Landry, G.; Dedes, G.</t>
  </si>
  <si>
    <t>Prediction of image noise contributions in proton computed tomography and comparison to measurements</t>
  </si>
  <si>
    <t>proton CT; proton therapy; relative stopping power; dose reduction; fluence-modulated proton CT; quenching; Monte Carlo</t>
  </si>
  <si>
    <t>FLUENCE-FIELD; MONTE-CARLO; X-RAY; RANGE UNCERTAINTIES; CT; RECONSTRUCTION; HEAD; PERFORMANCE; THERAPY; SCANNER</t>
  </si>
  <si>
    <t>We present a method to accurately predict image noise in proton computed tomography (pCT) using data generated from a Monte Carlo simulation and a patient or object model that may be generated from a prior x-ray CT image. This enables noise prediction for arbitrary beam fluence settings and, therefore, the application of fluence-modulated pCT (FMpCT), which can achieve prescribed noise targets and may significantly reduce the integral patient dose. We extended an existing Monte Carlo simulation of a prototype pCT scanner to include effects of quenching in the energy detector scintillators and constructed a beam model from experimental tracking data. Simulated noise predictions were compared to experimental data both in the projection domain and in the reconstructed image. Noise prediction agreement between simulated and experimental data in terms of the root-mean-square (RMS) error was better than 7% for a homogeneous water phantom and a sensitometry phantom with tubular inserts. For an anthropomorphic head phantom, modeling the anatomy of a five-year-old child, the RMS error was better than 9% in three evaluated slices. We were able to reproduce subtle noise features near heterogeneities. To demonstrate the feasibility of Monte Carlo simulated noise maps for fluence modulation, we calculated a fluence profile that yields a homogeneous noise level in the image. Unlike for bow-tie filters in x-ray CT this does not require constant fluence at the detector and the shape of the fluence profile is fundamentally different. Using an improved Monte Carlo simulation, we demonstrated the feasibility of using simulated data for accurate image noise prediction for pCT. We believe that the agreement with experimental data is sufficient to enable the future optimization of FMpCT fluence plans to achieve prescribed noise targets in a fluence-modulated acquisition.</t>
  </si>
  <si>
    <t>[Dickmann, J.; Wesp, P.; Raedler, M.; Parodi, K.; Landry, G.; Dedes, G.] Ludwig Maximilians Univ Munchen LMU Munich, Fak Phys, Dept Med Phys, D-85748 Garching, Germany; [Rit, S.] Univ Claude Bernard Lyon 1, INSA Lyon, Univ Lyon, UJM St Ptienne,CNRS,Inserm,CREATIS UMR 5220,U1206, F-69373 Lyon, France; [Pankuch, M.] Northwestern Med Chicago Proton Ctr, Warrenville, IL 60555 USA; [Johnson, R. P.] UC Santa Cruz, Dept Phys, Santa Cruz, CA 95064 USA; [Bashkirov, V; Schulte, R. W.] Loma Linda Univ, Div Biomed Engn Sci, Loma Linda, CA 92354 USA; [Landry, G.] Ludwig Maximilians Univ Munchen, Univ Hosp, Dept Radiat Oncol, D-81377 Munich, Germany; [Landry, G.] German Canc Consortium DKTK, D-81377 Munich, Germany</t>
  </si>
  <si>
    <t>University of Munich; Centre National de la Recherche Scientifique (CNRS); CNRS - Institute for Engineering &amp; Systems Sciences (INSIS); Institut National de la Sante et de la Recherche Medicale (Inserm); Institut National des Sciences Appliquees de Lyon - INSA Lyon; Universite Claude Bernard Lyon 1; University of California System; University of California Santa Cruz; Loma Linda University; University of Munich; Helmholtz Association; German Cancer Research Center (DKFZ)</t>
  </si>
  <si>
    <t>Dedes, G (通訊作者)， Ludwig Maximilians Univ Munchen LMU Munich, Fak Phys, Dept Med Phys, D-85748 Garching, Germany.</t>
  </si>
  <si>
    <t>Bashkirov, Vladimir/A-9213-2016; Landry, Guillaume/AFL-3214-2022; Wesp, Philipp/AAW-2195-2021; Rit, Simon/H-9410-2014; Schulte, Reinhard/ABH-2305-2020</t>
  </si>
  <si>
    <t>Bashkirov, Vladimir/0000-0002-7850-3105; Radler, Martin/0000-0003-3313-2993; Rit, Simon/0000-0003-2530-1013; Schulte, Reinhard/0000-0002-7892-2756; Dickmann, Jannis/0000-0001-8410-3995</t>
  </si>
  <si>
    <t>German Research Foundation (DFG) [388731804]; DFG's Cluster of Excellence Munich-Centre for Advanced Photonics (MAP); Bavaria-California Technology Center (BaCaTeC); Franco-Bavarian university cooperation center (BayFrance)</t>
  </si>
  <si>
    <t>German Research Foundation (DFG)(German Research Foundation (DFG)); DFG's Cluster of Excellence Munich-Centre for Advanced Photonics (MAP)(German Research Foundation (DFG)); Bavaria-California Technology Center (BaCaTeC); Franco-Bavarian university cooperation center (BayFrance)</t>
  </si>
  <si>
    <t>Dr Valentina Giacometti is gratefully acknowledged for developing and sharing the Geant4 simulation platform used in this study. We thank Nick Detrich for support during data acquisition. This work was supported by the German Research Foundation (DFG) project #388731804 'Fluence modulated proton computed tomography: a new approach for low-dose image guidance in particle therapy' and the DFG's Cluster of Excellence Munich-Centre for Advanced Photonics (MAP), by the Bavaria-California Technology Center (BaCaTeC) and by the Franco-Bavarian university cooperation center (BayFrance).</t>
  </si>
  <si>
    <t>10.1088/1361-6560/ab2474</t>
  </si>
  <si>
    <t>WOS:000475775200009</t>
  </si>
  <si>
    <t>Forgács, A; Béresová, M; Garai, I; Lassen, ML; Beyer, T; DiFranco, MD; Berényi, E; Balkay, L</t>
  </si>
  <si>
    <t>Forgacs, Attila; Beresova, Monika; Garai, Ildiko; Lassen, Martin L.; Beyer, Thomas; DiFranco, Matthew D.; Berenyi, Ervin; Balkay, Laszlo</t>
  </si>
  <si>
    <t>Impact of intensity discretization on textural indices of [18F]FDG-PET tumour heterogeneity in lung cancer patients</t>
  </si>
  <si>
    <t>texture analysis; radiomics; quantization; F-18-FDG-PET</t>
  </si>
  <si>
    <t>F-18-FDG PET; FDG-PET; FEATURES; RADIOMICS; IMAGES; SHAPE; REPRODUCIBILITY; RECONSTRUCTION; REPEATABILITY; RELIABILITY</t>
  </si>
  <si>
    <t>Quantifying tumour heterogeneity from [F-18] FDG-PET images promises benefits for treatment selection of cancer patients. Here, the calculation of texture parameters mandates an initial discretization step (binning) to reduce the number of intensity levels. Typically, three types of discrimination methods are used: lesion relative resampling (LRR) with fixed bin number, lesion absolute resampling (LAR) and absolute resampling (AR) with fixed bin widths. We investigated the effects of varying bin widths or bin number using 27 commonly cited local and regional texture indices (TIs) applied on lung tumour volumes. The data set were extracted from 58 lung cancer patients, with three different and robust tumour segmentation methods. In our cohort, the variations of the mean value as the function of the bin widths were similar for TIs calculated with LAR and AR quantification. The TI histograms calculated by LRR method showed distinct behaviour and its numerical values substantially effected by the selected bin number. The correlations of the AR and LAR based TIs demonstrated no principal differences between these methods. However, no correlation was found for the interrelationship between the TIs calculated by LRR and LAR (or AR) discretization method. Visual classification of the texture was also performed for each lesion. This classification analysis revealed that the parameters show statistically significant correlation with the visual score, if LAR or AR discretization method is considered, in contrast to LRR. Moreover, all the resulted tendencies were similar regardless the segmentation methods and the type of textural features involved in this work.</t>
  </si>
  <si>
    <t>[Forgacs, Attila; Garai, Ildiko] Scanomed Nucl Med Ctr, Debrecen, Hungary; [Forgacs, Attila; Balkay, Laszlo] Univ Debrecen, Div Nucl Med &amp; Translat Imaging, Dept Med Imaging, Fac Med, Debrecen, Hungary; [Beresova, Monika; Berenyi, Ervin] Univ Debrecen, Div Radiol &amp; Imaging Sci, Dept Med Imaging, Fac Med, Debrecen, Hungary; [Lassen, Martin L.; Beyer, Thomas; DiFranco, Matthew D.] Med Univ Vienna, Ctr Med Phys &amp; Biomed Engn, QIMP Team, Vienna, Austria; [Lassen, Martin L.] Cedars Sinai Med Ctr, AIM Grp, Los Angeles, CA 90048 USA</t>
  </si>
  <si>
    <t>Scanomed; University of Debrecen; University of Debrecen; Medical University of Vienna; Cedars Sinai Medical Center</t>
  </si>
  <si>
    <t>Forgács, A (通訊作者)， Scanomed Nucl Med Ctr, Debrecen, Hungary.;Forgács, A (通訊作者)， Univ Debrecen, Div Nucl Med &amp; Translat Imaging, Dept Med Imaging, Fac Med, Debrecen, Hungary.</t>
  </si>
  <si>
    <t>attilaforgacsem@gmail.com</t>
  </si>
  <si>
    <t>Lassen, Martin Lyngby/KLZ-1144-2024; DiFranco, Matthew/M-3567-2015; beyer, thomas/AAN-1789-2020</t>
  </si>
  <si>
    <t>Beresova, Monika/0000-0001-8610-3788; Beyer, Thomas/0000-0002-8308-3918; DiFranco, Matthew/0000-0002-5844-1154;</t>
  </si>
  <si>
    <t>EU [EFOP-3.6.3-VEKOP-16-2017-00009]; European Social Found [EFOP-3.6.3-VEKOP-16-2017-00009]; Richter Gedeon Talentum Alapitvany</t>
  </si>
  <si>
    <t>EU(European Union (EU)); European Social Found(European Social Fund (ESF)); Richter Gedeon Talentum Alapitvany</t>
  </si>
  <si>
    <t>This work was supported by EFOP-3.6.3-VEKOP-16-2017-00009 (co-financed by EU and the European Social Found), and in addition by the Richter Gedeon Talentum Alapitvany (www.richter.hu).</t>
  </si>
  <si>
    <t>10.1088/1361-6560/ab2328</t>
  </si>
  <si>
    <t>WOS:000518929400006</t>
  </si>
  <si>
    <t>Iwao, Y; Tashima, H; Yoshida, E; Nishikido, F; Ida, T; Yamaya, T</t>
  </si>
  <si>
    <t>Iwao, Yuma; Tashima, Hideaki; Yoshida, Eiji; Nishikido, Fumihiko; Ida, Takahiro; Yamaya, Taiga</t>
  </si>
  <si>
    <t>Seated versus supine: consideration of the optimum measurement posture for brain-dedicated PET</t>
  </si>
  <si>
    <t>PET; helmet PET; point cloud; head motion; ICP</t>
  </si>
  <si>
    <t>HEAD MOTION TRACKING; STRUCTURED LIGHT</t>
  </si>
  <si>
    <t>Some recently developed brain-dedicated positron emission tomography (PET) scanners measure subjects in a sitting position. Sitting enables PET scanning under more natural conditions for the subjects and also helps with making the scanners smaller. It is unclear, however, how much the degree of head motion when sitting differs from the supine posture commonly employed in clinical PET. In this report, we describe development of a markerless and contactless head motion tracking system and a study of healthy volunteers in several different postures to determine the optimum posture for brain PET. We used Kinect (R) (Microsoft) and developed software that can measure head motion with about 1 mm (translation) and less than 1 degrees (rotation) accuracy. In the volunteer study, we measured the amount of head motion, with and without head fixation, in supine, normal sitting, and reclining postures. The results indicated that the normal sitting posture without head fixation had the largest head movement, and that the reclining and supine postures were similarly effective for minimizing head movement (average head movement of about 0.5 mm during 1 min). We also visualized the influence that head motion had on images for each pose by simulating the actual motions obtained from the volunteer study using a digital Hoffman phantom. Comparisons with the original image showed that the extent to which motion was reduced in the reclining and supine postures were quantitatively equivalent. The head motions of the volunteer studies were also reproduced using a mannequin head on a motorized stage to assess how well the proposed motion measurement system worked when used for motion correction. The results indicated that even though the system improved image quality for all postures, the reclining and supine postures could provide better image quality than the normal sitting posture.</t>
  </si>
  <si>
    <t>[Iwao, Yuma; Tashima, Hideaki; Yoshida, Eiji; Nishikido, Fumihiko; Yamaya, Taiga] Natl Inst Quantum &amp; Radiol Sci &amp; Technol QST, NIRS, Chiba, Japan; [Ida, Takahiro] ATOX Co Ltd, Tokyo, Japan</t>
  </si>
  <si>
    <t>Iwao, Y; Yamaya, T (通訊作者)， Natl Inst Quantum &amp; Radiol Sci &amp; Technol QST, NIRS, Chiba, Japan.</t>
  </si>
  <si>
    <t>iwao.yuma@qst.go.jp; yamaya.taiga@qst.go.jp</t>
  </si>
  <si>
    <t>Tashima, Hideaki/ABB-7337-2020</t>
  </si>
  <si>
    <t>Ida, Takahiro/0000-0003-0752-7457</t>
  </si>
  <si>
    <t>Japan Society for the Promotion of Science (JSPS) KAKENHI [17K18376]; Grants-in-Aid for Scientific Research [17K18376] Funding Source: KAKEN</t>
  </si>
  <si>
    <t>This work was partially funded by the Japan Society for the Promotion of Science (JSPS) KAKENHI grant number 17K18376.</t>
  </si>
  <si>
    <t>10.1088/1361-6560/ab221d</t>
  </si>
  <si>
    <t>WOS:000471166400003</t>
  </si>
  <si>
    <t>Thapa, D; Levy, BE; Marks, DL; Oldenburg, AL</t>
  </si>
  <si>
    <t>Thapa, Diwash; Levy, Benjamin E.; Marks, Daniel L.; Oldenburg, Amy L.</t>
  </si>
  <si>
    <t>Inversion of displacement fields to quantify the magnetic particle distribution in homogeneous elastic media from magnetomotive ultrasound</t>
  </si>
  <si>
    <t>magnetomotive ultrasound; superparamagnetic iron oxides; contrast enhanced imaging; inverse problem; elastostatics; Navier-Cauchy equation; regularized conjugate gradient</t>
  </si>
  <si>
    <t>IRON-OXIDE NANOPARTICLES; RECONSTRUCTION; ELASTOGRAPHY; CONTRAST</t>
  </si>
  <si>
    <t>Magnetomotive ultrasound (MMUS) contrasts superparamagnetic iron-oxide nanoparticles (SPIOs) that undergo submicrometer-scale displacements in response to a magnetic gradient force applied to an imaging sample. Typically, MMUS signals are defined in a way that is proportional to the medium displacement, rendering an indirect measure of the density distribution of SPIOs embedded within. Displacement-based MMUS, however, suffers from 'halo effects' that extend into regions without SPIOs due to their inherent mechanical coupling with the medium. To reduce such effects and to provide a more accurate representation of the SPIO density distribution, we propose a model-based inversion of MMUS displacement fields by reconstructing the body force distribution. Displacement fields are modelled using the static Navier-Cauchy equation for linear, homogeneous, and isotropic media, and the body force fields are, in turn, reconstructed by minimizing a regularized least-squares error functional between the modelled and the measured displacement fields. This reconstruction, when performed on displacement fields of two tissue-mimicking phantoms with cuboidal SPIO-laden inclusions, improved the range of errors in measured heights and widths of the inclusions from 54%-282% pre-inversion to -15%-20%. Likewise, the post-inversion contrast to noise ratios (CNRs) of the images were significantly larger than displacement-derived CNRs alone (p = 0.0078, Wilcoxon signed rank test). Qualitatively, it was found that inversion ameliorates halo effects and increases overall detectability of the inclusion. These findings highlight the utility of model-based inversion as a tool for both signal processing and accurate characterization of the number density distribution of SPIOs in magnetomotive imaging.</t>
  </si>
  <si>
    <t>[Thapa, Diwash; Levy, Benjamin E.; Oldenburg, Amy L.] Univ N Carolina, Dept Phys &amp; Astron, Chapel Hill, NC 27599 USA; [Oldenburg, Amy L.] Univ N Carolina, Biomed Res Imaging Ctr, Chapel Hill, NC 27599 USA; [Marks, Daniel L.] Duke Univ, Dept Elect &amp; Comp Engn, Durham, NC 27708 USA</t>
  </si>
  <si>
    <t>University of North Carolina; University of North Carolina Chapel Hill; University of North Carolina; University of North Carolina Chapel Hill; Duke University</t>
  </si>
  <si>
    <t>Oldenburg, AL (通訊作者)， Univ N Carolina, Dept Phys &amp; Astron, Chapel Hill, NC 27599 USA.;Oldenburg, AL (通訊作者)， Univ N Carolina, Biomed Res Imaging Ctr, Chapel Hill, NC 27599 USA.</t>
  </si>
  <si>
    <t>aold@physics.unc.edu</t>
  </si>
  <si>
    <t>Levy, Benjamin/LXV-0431-2024; Oldenburg, Amy/H-2635-2013</t>
  </si>
  <si>
    <t>Oldenburg, Amy/0000-0002-2642-8350; Thapa, Diwash/0000-0002-7068-6461; Levy, Benjamin/0000-0001-6806-3647;</t>
  </si>
  <si>
    <t>National Institutes of Health [R21 HL 119928]; U.S. Department of Defense [FA9550-14-1-0208, N00014-10-1-0792]</t>
  </si>
  <si>
    <t>National Institutes of Health(United States Department of Health &amp; Human ServicesNational Institutes of Health (NIH) - USA); U.S. Department of Defense(United States Department of Defense)</t>
  </si>
  <si>
    <t>D Thapa would like to thank Md Murad Hossain of the Biomedical Engineering department at the University of North Carolina, Chapel Hill, USA for his guidance in this study. This study was funded by the National Institutes of Health (R21 HL 119928) and the U.S. Department of Defense (FA9550-14-1-0208 and N00014-10-1-0792).</t>
  </si>
  <si>
    <t>10.1088/1361-6560/ab1f2b</t>
  </si>
  <si>
    <t>WOS:000518929400009</t>
  </si>
  <si>
    <t>Wang, QX; Adair, A; Deng, Y; Chen, HL; Moyers, M; Lin, J; Yepes, P</t>
  </si>
  <si>
    <t>Wang, Qianxia; Adair, Antony; Deng, Yu; Chen, Hongliang; Moyers, Michael; Lin, James; Yepes, Pablo</t>
  </si>
  <si>
    <t>A track repeating algorithm for intensity modulated carbon ion therapy</t>
  </si>
  <si>
    <t>Monte Carlo; Geant4; 3D-dose; DVH; gamma-index</t>
  </si>
  <si>
    <t>DOSE CALCULATION ALGORITHM; PROTON; RADIOTHERAPY; BEAMS</t>
  </si>
  <si>
    <t>The fast dose calculator (FDC), a track repeating Monte Carlo (MC) algorithm was initially developed for proton therapy. The validation for proton therapy has been demonstrated in a previous work. In this work we presented the extension of FDC to the calculation of dose distributions for ions, particularly for carbon. Moreover the code algorithm is validated by comparing 3D dose distributions and dose volume histograms (DVH) calculated by FDC with Geant4. A total of 19 patients were employed, including three patients of prostate, five of brain, three of head and neck, four of lung and four of spine. We used a gamma-index technique to analyze dose distributions and we performed a dosimetric analysis for DVHs, a more direct and informative quantity for planning system assessment. The gamma-index passing rates of all patients discussed in this paper are above 90% with the criterion 1%/1 mm, above 98% with the criterion 2%/2 mm and over 99.9% with the criterion 3%/3 mm. The root mean square (RMS) of percent difference of dosimetric indices D-02, D-05, D-50, D-95 and D-98 are 0.75%, 0.70%, 0.79%, 0.83% and 0.76%. All the differences are within clinically accepted norms.</t>
  </si>
  <si>
    <t>[Wang, Qianxia; Adair, Antony; Yepes, Pablo] Rice Univ, Dept Phys &amp; Astron, MS 315,6100 Main St, Houston, TX 77005 USA; [Wang, Qianxia; Adair, Antony; Yepes, Pablo] Univ Texas MD Anderson Canc, Dept Radiat Phys, Unit 1420, 1515 Holcombe Blvd, Houston, TX 77030 USA; [Deng, Yu; Chen, Hongliang; Moyers, Michael; Lin, James] Shanghai Proton &amp; Heavy Ion Ctr, Shanghai 201315, Peoples R China</t>
  </si>
  <si>
    <t>Rice University; University of Texas System; UTMD Anderson Cancer Center</t>
  </si>
  <si>
    <t>Wang, QX (通訊作者)， Rice Univ, Dept Phys &amp; Astron, MS 315,6100 Main St, Houston, TX 77005 USA.;Wang, QX (通訊作者)， Univ Texas MD Anderson Canc, Dept Radiat Phys, Unit 1420, 1515 Holcombe Blvd, Houston, TX 77030 USA.</t>
  </si>
  <si>
    <t>qw14@rice.edu; yepes@rice.edu</t>
  </si>
  <si>
    <t>Wang, Qianxia/ABB-6768-2020; Chen, Hongliang/JPX-9733-2023</t>
  </si>
  <si>
    <t>Wang, Qianxia/0000-0002-0656-1234;</t>
  </si>
  <si>
    <t>10.1088/1361-6560/ab10d0</t>
  </si>
  <si>
    <t>WOS:000466862700005</t>
  </si>
  <si>
    <t>Van Elburg, DJ; Shrestha, R; Goertzen, AL</t>
  </si>
  <si>
    <t>Van Elburg, Devin J.; Shrestha, Ravi; Goertzen, Andrew L.</t>
  </si>
  <si>
    <t>Towards a second-generation PET/MR insert with enhanced timing and count rate performance</t>
  </si>
  <si>
    <t>silicon photomultipliers; multi-pixel photon counters; positron emission tomography; charge division multiplexing; coincidence time resolution; dead time; count rate</t>
  </si>
  <si>
    <t>SCANNER; OPENPET; MRI</t>
  </si>
  <si>
    <t>Previously we have developed a first-generation PET insert prototype for small animal PET/MR imaging, which used resistor-based charge division multiplexing circuits and SensL B-series silicon photomultipliers (SiPMs). In this work we present results from a second-generation readout board with improved timing and count rate performance. Three detector boards were tested: the first-generation readout board with SensL SPMArray4B (SiPM-B), the second-generation readout board with SensL ArrayC-30035-16P-PCB (SiPM-C) using the 'fast' outputs for timing, and the second generation board using Hamamatsu S11361-3050AE-04 MPPC arrays. Timing data were obtained with detector modules in coincidence with a single-pixel SensL MicroFJ-SMA-30035 reference detector and acquired using standard NIM electronics, while count rate data were acquired using the OpenPET data acquisition electronics system. The full-width at half-maximum (FWHM) coincidence time resolution (CTR) for the SiPM-B, SiPM-C and MPPC designs were 2600 +/- 200 ps, 550 +/- 50 ps, and 570 +/- 30 ps, respectively. OpenPET waveform capture determined the mean signal durations, measured as time above 10% of the maximum amplitude, were 1850 +/- 150 ns, 600 +/- 25 ns, and 350 +/- 25 ns, respectively, where the short signal of the MPPC resulted in reduced pileup effects at higher count rates. Decaying source measurements showed a non-paralyzable dead time of 1.30-1.41 mu s for all three detectors tested, which was limited by the signal capture and processing time of the OpenPET system.</t>
  </si>
  <si>
    <t>[Van Elburg, Devin J.; Goertzen, Andrew L.] Univ Manitoba, Dept Phys &amp; Astron, Winnipeg, MB R3T 2N2, Canada; [Van Elburg, Devin J.] Univ Calgary, Dept Phys &amp; Astron, Calgary, AB T2N 1N4, Canada; [Shrestha, Ravi; Goertzen, Andrew L.] Univ Manitoba, Dept Radiol, Winnipeg, MB R3E 3P4, Canada</t>
  </si>
  <si>
    <t>University of Manitoba; University of Calgary; University of Manitoba</t>
  </si>
  <si>
    <t>Van Elburg, DJ (通訊作者)， Univ Manitoba, Dept Phys &amp; Astron, Winnipeg, MB R3T 2N2, Canada.;Van Elburg, DJ (通訊作者)， Univ Calgary, Dept Phys &amp; Astron, Calgary, AB T2N 1N4, Canada.</t>
  </si>
  <si>
    <t>devin.vanelburg@ucalgary.ca</t>
  </si>
  <si>
    <t>Goertzen, Andrew/B-2297-2013</t>
  </si>
  <si>
    <t>Van Elburg, Devin/0000-0002-8979-8455; Shrestha, Ravi/0000-0003-2324-7658</t>
  </si>
  <si>
    <t>Natural Sciences and Engineering Research Council of Canada (NSERC) [341628]; Research Manitoba Graduate Studentship award; Manitoba Graduate Scholarship</t>
  </si>
  <si>
    <t>Natural Sciences and Engineering Research Council of Canada (NSERC)(Natural Sciences and Engineering Research Council of Canada (NSERC)); Research Manitoba Graduate Studentship award; Manitoba Graduate Scholarship</t>
  </si>
  <si>
    <t>This work was supported by the Natural Sciences and Engineering Research Council of Canada (NSERC) through Discovery Grant 341628 to AL Goertzen and through a Research Manitoba Graduate Studentship award and Manitoba Graduate Scholarship to D Van Elburg.</t>
  </si>
  <si>
    <t>10.1088/1361-6560/ab0efa</t>
  </si>
  <si>
    <t>WOS:000464454200003</t>
  </si>
  <si>
    <t>Vidal, M; Ibáñez, P; Guerra, P; Valdivieso-Casique, MF; Rodrígues, R; Illane, C; Udías, JM</t>
  </si>
  <si>
    <t>Vidal, M.; Ibanez, P.; Guerra, P.; Valdivieso-Casique, M. F.; Rodrigues, R.; Illane, C.; Udias, J. M.</t>
  </si>
  <si>
    <t>Fast optimized Monte Carlo phase-space generation and dose prediction for low energy x-ray intra-operative radiation therapy</t>
  </si>
  <si>
    <t>intra-operative radiation therapy; phase-space optimization; hybrid Monte Carlo; INTRABEAM; treatment planning system; dose calculation</t>
  </si>
  <si>
    <t>WHOLE-BREAST RADIOTHERAPY; RADIOCHROMIC FILMS; QUALITY-ASSURANCE; PHOTON TRANSPORT; ELECTRON-BEAMS; SOURCE MODEL; SIMULATION; DOSIMETRY; PENELOPE; RADIOSURGERY</t>
  </si>
  <si>
    <t>Low energy x-ray intra-operative radiation therapy (IORT) is used mostly for breast cancer treatment with spherical applicators. X-ray IORT treatment delivered during surgery (ex: INTRABEAM (R), Carl Zeiss) can benefit from accurate and fast dose prediction in a patient 3D volume. However, full Monte Carlo (MC) simulations are time-consuming and no commercial treatment planning system (TPS) was available for this treatment delivery technique. Therefore, the aim of this work is to develop a dose computation tool based on MC phase space information, which computes fast and accurate dose distributions for spherical and needle INTRABEAM (R) applicators. First, a database of monoenergetic phase-space (PHSP) files and depth dose profiles (DDPs) in water for each applicator is generated at factory and stored for on-site use. During commissioning of a given INTRABEAM (R) unit, the proposed fast and optimized phase-space (FOPS) generation process creates a phase-space at the exit of the applicator considered, by fitting the energy spectrum of the source to a combination of the monoenergetic precomputed phase-spaces, by means of a genetic algorithm, with simple experimental data of DDPs in water provided by the user. An in-house hybrid MC (HMC) algorithm which takes into account condensed history simulations of photoelectric, Rayleigh and Compton interactions for x-rays up to 1 MeV computes the dose from the optimized phase-space file. The whole process has been validated against radiochromic films in water as well as reference MC simulations performed with pen Easy in heterogeneous phantoms. From the pre-computed monoenergetic PHSP files and DDPs, building the PHSP file optimized to a particular depth-dose curve in water only takes a few minutes in a single core (i7@2.5 GHz), for all the applicators considered in this work, and this needs to be done only when the x-ray source (XRS) is replaced. Once the phase-space file is ready, the HMC code is able to compute dose distributions within 10 min. For all the applicators, more than 95% of voxels from dose distributions computed with the FOPS+hybrid code agreed within 7%-0.5 mm with both reference MC simulations and measurements. The method proposed has been fully validated and it is now implemented into radiance (GMV SA, Spain), the first commercial IORT TPS.</t>
  </si>
  <si>
    <t>[Vidal, M.; Ibanez, P.; Udias, J. M.] Univ Complutense Madrid, Grp Fis Nucl, Dept Estruct Mat Fis Term &amp; Elect, Madrid, Spain; [Vidal, M.; Ibanez, P.; Udias, J. M.] Univ Complutense Madrid, IPARCOS, Dept Estruct Mat Fis Term &amp; Elect, Madrid, Spain; [Ibanez, P.; Udias, J. M.] Hosp Clin San Carlos, Inst Invest Sanitaria, Madrid, Spain; [Guerra, P.] Univ Politecn Madrid, Dept Elect Engn, CET Moncloa, ETSIT, Madrid, Spain; [Guerra, P.] Biomed Res Ctr Bioengn Biomat &amp; Nanomed CIBER BBN, Madrid, Spain; [Guerra, P.] MedLumics SL, Madrid, Spain; [Valdivieso-Casique, M. F.; Rodrigues, R.; Illane, C.] GMV, Madrid, Spain</t>
  </si>
  <si>
    <t>Complutense University of Madrid; Complutense University of Madrid; Hospital Clinico San Carlos; Universidad Politecnica de Madrid; CIBER - Centro de Investigacion Biomedica en Red; CIBERBBN</t>
  </si>
  <si>
    <t>Ibáñez, P (通訊作者)， Univ Complutense Madrid, Grp Fis Nucl, Dept Estruct Mat Fis Term &amp; Elect, Madrid, Spain.;Ibáñez, P (通訊作者)， Univ Complutense Madrid, IPARCOS, Dept Estruct Mat Fis Term &amp; Elect, Madrid, Spain.;Ibáñez, P (通訊作者)， Hosp Clin San Carlos, Inst Invest Sanitaria, Madrid, Spain.</t>
  </si>
  <si>
    <t>pbibanez@ucm.es</t>
  </si>
  <si>
    <t>Ibanez, Paula/U-1070-2017; Udias, Jose/A-7523-2010; Ibáñez, Paula/U-1070-2017</t>
  </si>
  <si>
    <t>Ibanez, Paula/0000-0001-8612-5303; Vidal, Marie/0000-0001-9289-2437; Udias, Jose/0000-0003-3714-764X;</t>
  </si>
  <si>
    <t>Comunidad de Madrid [S2013/MIT TOPUS-CM]; Spanish Ministry of Science and Innovation [FPA2010-17142]; Spanish government (XIORT grant) [IPT-2012-0431-300000]; Spanish government (ENTEPRASE) [PSE-300000-2009-5]; Spanish government (PRECISION) [IPT-300000-2010-3]; Spanish government (FPA2015); European Regional Funds; CDTI under the CENIT program (AMIT Project); CPAN [CSPD-2007-00042@Ingenio2010]; UCM; UE under FEDER program</t>
  </si>
  <si>
    <t>Comunidad de Madrid(Comunidad de Madrid); Spanish Ministry of Science and Innovation(Spanish Government); Spanish government (XIORT grant); Spanish government (ENTEPRASE); Spanish government (PRECISION); Spanish government (FPA2015); European Regional Funds; CDTI under the CENIT program (AMIT Project); CPAN; UCM; UE under FEDER program</t>
  </si>
  <si>
    <t>This work is supported by the Comunidad de Madrid (S2013/MIT TOPUS-CM, PRONTO-CM), Spanish Ministry of Science and Innovation (FPA2010-17142), Spanish government (XIORT grant IPT-2012-0431-300000, ENTEPRASE PSE-300000-2009-5, PRECISION IPT-300000-2010-3 and FPA2015), by European Regional Funds, by CDTI under the CENIT program (AMIT Project) and by CPAN, CSPD-2007-00042@Ingenio2010. Calculations were performed in the 'Cluster de Calculo de Alta Capacidad para Tecnicas Fisicas' funded in part by UCM and in part by UE under FEDER program. This is a contribution to the International Excellence Campus of Moncloa. We would like to acknowledge the support of Matthias Benker from Carl Zeiss Meditec for providing the experimental data as well as Sven Clausen and Frank Schneider for their hospitality and help during the stay of P Ibanez at Universitatsklinikum Mannheim.</t>
  </si>
  <si>
    <t>10.1088/1361-6560/ab03e7</t>
  </si>
  <si>
    <t>WOS:000462050200002</t>
  </si>
  <si>
    <t>Yang, J; Park, D; Gullberg, GT; Seo, Y</t>
  </si>
  <si>
    <t>Yang, Jaewon; Park, Dookun; Gullberg, Grant T.; Seo, Youngho</t>
  </si>
  <si>
    <t>Joint correction of attenuation and scatter in image space using deep convolutional neural networks for dedicated brain 18F-FDG PET</t>
  </si>
  <si>
    <t>brain FDG PET; attenuation correction; scatter correction; convolutional neural network; deep learning</t>
  </si>
  <si>
    <t>Dedicated brain positron emission tomography (PET) devices can provide higher-resolution images with much lower doses compared to conventional whole-body PET systems, which is important to support PET neuroimaging and particularly useful for the diagnosis of neurodegenerative diseases. However, when a dedicated brain PET scanner does not come with a combined CT or transmission source, there is no direct solution for accurate attenuation and scatter correction, both of which are critical for quantitative PET. To address this problem, we propose joint attenuation and scatter correction (ASC) in image space for non-corrected PET (PETNC) using deep convolutional neural networks (DCNNs). This approach is a one-step process, distinct from conventional methods that rely on generating attenuation maps first that are then applied to iterative scatter simulation in sinogram space. For training and validation, time-of-flight PET/MR scans and additional helical CTs were performed for 35 subjects (25/10 split for training and test dataset). A DCNN model was proposed and trained to convert PETNC to DCNN -based ASC PET (PETDCNN) directly in image space. For quantitative evaluation, uptake differences between PETDCNN and reference CT-based ASC PET (PETCT-ASC) were computed for 116 automated anatomical labels (AALs) across 10 test subjects (1160 regions in total). MR-based ASC PET (PETMR-ASC), a current clinical protocol in PET/MR imaging, was another reference for comparison. Statistical significance was assessed using a paired t test. The performance of PETDCNN was comparable to that of PETMR-ASC, in comparison to reference PETCT-ASC. The mean SUV differences (mean +/- SD) from PETCT-ASC were 4.0% +/- 15.4% (P &lt; 0.001) and -4.2% +/- 4.3% (P &lt; 0.001) for PETDCNN and PETMR-ASC, respectively. The overall larger variation of PETDCNN (1 5.4%) was prone to the subject with the highest mean difference (48.5% +/- 10.4%). The mean difference of PETDCNN excluding the subject was substantially improved to -0.8% +/- 5.2% (P &lt; 0.001), which was lower than that of PETMR-ASC ( - 5.07% +/- 3.60%, P &lt; 0.001). In conclusion, we demonstrated the feasibility of directly producing PET images corrected for attenuation and scatter using a DCNN (PETDCNN) from PETNC in image space without requiring conventional attenuation map generation and time-consuming scatter correction. Additionally, our DCNN -based method provides a possible alternative to MR-ASC for simultaneous PET/MRI.</t>
  </si>
  <si>
    <t>[Yang, Jaewon; Gullberg, Grant T.; Seo, Youngho] Univ Calif San Francisco, Dept Radiol &amp; Biomed Imaging, Phys Res Lab, San Francisco, CA 94143 USA; [Park, Dookun] Microsoft, Bellevue, WA USA; [Yang, Jaewon] UCSF Phys Res Lab, 185 Berry St,Suite 350, San Francisco, CA 94143 USA</t>
  </si>
  <si>
    <t>University of California System; University of California San Francisco; Microsoft</t>
  </si>
  <si>
    <t>Yang, J (通訊作者)， Univ Calif San Francisco, Dept Radiol &amp; Biomed Imaging, Phys Res Lab, San Francisco, CA 94143 USA.;Yang, J (通訊作者)， UCSF Phys Res Lab, 185 Berry St,Suite 350, San Francisco, CA 94143 USA.</t>
  </si>
  <si>
    <t>jaewon.yang@uscf.edud</t>
  </si>
  <si>
    <t>Seo, Youngho/D-5705-2013</t>
  </si>
  <si>
    <t>Yang, Jaewon/0000-0001-7637-0436</t>
  </si>
  <si>
    <t>National Institutes of Health [R01HL135490, R01EB026331]; National Institute of Biomedical Imaging and Bioengineering [R01EB026331] Funding Source: NIH RePORTER</t>
  </si>
  <si>
    <t>National Institutes of Health(United States Department of Health &amp; Human ServicesNational Institutes of Health (NIH) - USA); National Institute of Biomedical Imaging and Bioengineering(United States Department of Health &amp; Human ServicesNational Institutes of Health (NIH) - USANIH National Institute of Biomedical Imaging &amp; Bioengineering (NIBIB))</t>
  </si>
  <si>
    <t>The study was supported in part by the National Institutes of Health under Grants R01HL135490 and R01EB026331.</t>
  </si>
  <si>
    <t>10.1088/1361-6560/ab0606</t>
  </si>
  <si>
    <t>Green Published, Green Submitted, Green Accepted</t>
  </si>
  <si>
    <t>WOS:000463540400007</t>
  </si>
  <si>
    <t>Billas, I; Bouchard, H; Oelfke, U; Duane, S</t>
  </si>
  <si>
    <t>Billas, Ilias; Bouchard, Hugo; Oelfke, Uwe; Duane, Simon</t>
  </si>
  <si>
    <t>The effect of magnetic field strength on the response of Gafchromic EBT-3 film</t>
  </si>
  <si>
    <t>MRI-Linac; MRI-guided radiotherapy; film dosimetry; magnetic field</t>
  </si>
  <si>
    <t>REFERENCE DOSIMETRY; ACCELERATOR; PHOTON; SCANNER</t>
  </si>
  <si>
    <t>With the advent of MRI-guided radiotherapy, the suitability of commercially available radiation dose detectors needs to be assessed. The aim of this study was to investigate the effect of the magnetic field (B-field) on the response of the Gafchromic EBT-3 films. Moreover, as an independent study, we contribute to clarifying the inconsistency of the results of recent published studies, on the effect of B-field on the sensitivity of Gafchromic films. A Co-60 beam was used to irradiate film samples in an electromagnet. An in-house PMMA phantom was designed to fit in the 5 cm gap between the two poles of the magnet. The phantom consists of two symmetrical plates where a film can be inserted. The absorbed dose rate of the Co-60 beam for zero B-field was measured using alanine pellets in a Farmer-type holder. A 12-point response curve was created, representing netOD as a function of dose, for each of five different B-field strengths (0 T to 2 T). This study finds that there is at most a small effect of the magnetic field on the response of EBT-3 film. In terms of netOD (red channel) the change in response varied from. 0.0011 at 0.5 T to 0.0045 at 2.0 T, with a standard uncertainty of 0.0030. If uncorrected, this would lead to an error in filmmeasured dose, for the red channel, of 2.4% at 2 T, with a standard uncertainty on dose of 1.4%. Results are also presented for B-field strengths of 0.5 T, 1 T and 1.5 T, which are all zero within the measurement uncertainty. Comparison between other studies is also presented. Considering the small change on dose determined with EBT-3 when irradiated under the presence of B-field and taking into account the overall uncertainty in dosimetry using EBT-3 film achieved in this work, EBT-3 is assessed to be a suitable detector for relative and absolute dosimetry, with appropriate corrections, in MRI-guided radiotherapy. The results of the current work also elucidate the inconsistency on the reports from previous studies and demonstrate the necessity of similar investigations by independent teams, especially if the existing results may be in conflict.</t>
  </si>
  <si>
    <t>[Billas, Ilias; Duane, Simon] Natl Phys Lab, Chem Med &amp; Environm Sci Dept, Teddington, Middx, England; [Bouchard, Hugo] Univ Montreal, Dept Phys, Montreal, PQ, Canada; [Billas, Ilias; Oelfke, Uwe] Inst Canc Res, Joint Dept Phys, London, England; [Billas, Ilias; Oelfke, Uwe] Royal Marsden NHS Fdn Trust, London, England</t>
  </si>
  <si>
    <t>National Physical Laboratory - UK; Universite de Montreal; Royal Marsden NHS Foundation Trust; University of London; Institute of Cancer Research - UK; Royal Marsden NHS Foundation Trust</t>
  </si>
  <si>
    <t>Billas, I (通訊作者)， Natl Phys Lab, Chem Med &amp; Environm Sci Dept, Teddington, Middx, England.;Billas, I (通訊作者)， Inst Canc Res, Joint Dept Phys, London, England.;Billas, I (通訊作者)， Royal Marsden NHS Fdn Trust, London, England.</t>
  </si>
  <si>
    <t>ilias.billas@npl.co.uk</t>
  </si>
  <si>
    <t>Bouchard, Hugo/AAW-6909-2020; Billas, Ilias/AAT-3506-2020</t>
  </si>
  <si>
    <t>UK government's Department for Business, Innovation and Skills; European Metrology Programme for Innovation and Research (EMPIR) [15HLT08 MRIgRT]; European Union; Cancer Research UK [C33589/A19727]; NHS; Cancer Research UK [19727] Funding Source: researchfish</t>
  </si>
  <si>
    <t>UK government's Department for Business, Innovation and Skills; European Metrology Programme for Innovation and Research (EMPIR); European Union(European Union (EU)); Cancer Research UK(Cancer Research UK); NHS; Cancer Research UK(Cancer Research UK)</t>
  </si>
  <si>
    <t>The authors wish to thank Hugo Palmans from the Chemical, Medical and Environmental Science Department at NPL for his useful comments on the manuscript. The work was supported by the UK government's Department for Business, Innovation and Skills and the European Metrology Programme for Innovation and Research (EMPIR) project 15HLT08 MRIgRT. The EMPIR initiative is co-funded by the European Union's Horizon 2020 research and innovation programme and the EMPIR participating states. Research at The Institute of Cancer Research is supported by Cancer Research UK under Programme C33589/A19727 and NHS funding to the NIHR Biomedical Research Centre at The Royal Marsden Hospital and The Institute of Cancer Research.</t>
  </si>
  <si>
    <t>06NT03</t>
  </si>
  <si>
    <t>10.1088/1361-6560/ab0503</t>
  </si>
  <si>
    <t>HP1KZ</t>
  </si>
  <si>
    <t>WOS:000461427000001</t>
  </si>
  <si>
    <t>Krah, N; Patera, V; Rit, S; Schiavi, A; Rinaldi, I</t>
  </si>
  <si>
    <t>Krah, N.; Patera, V.; Rit, S.; Schiavi, A.; Rinaldi, I.</t>
  </si>
  <si>
    <t>Regularised patient-specific stopping power calibration for proton therapy planning based on proton radiographic images</t>
  </si>
  <si>
    <t>proton therapy; proton imaging; treatment planning; proton radiography</t>
  </si>
  <si>
    <t>ENERGY COMPUTED-TOMOGRAPHY; CT-HOUNSFIELD UNITS; ION RADIOGRAPHY; PREDICTION; SYSTEM; PATH; CODE</t>
  </si>
  <si>
    <t>Proton transmission imaging has been proposed and investigated as imaging modality complementary to x-ray based techniques in proton beam therapy. In particular, it addresses the issue of range uncertainties due to the conversion of an x-ray patient computed tomography (CT) image expressed in Hounsfield Units (HU) to relative stopping power (RSP) needed as input to the treatment planning system. One approach to exploit a single proton radiographic projection is to perform a patient-specific calibration of the CT to RSP conversion curve by optimising the match between a measured and a numerically integrated proton radiography. In this work, we develop the mathematical tools needed to perform such an optimisation in an efficient and robust way. Our main focus lies on set-ups which combine pencil beam scanning with a range telescope detector, although most of our methods can be employed in combination with other set-ups as well. Proton radiographies are simulated in Monte Carlo using an idealised detector and applying the same data processing chain used with experimental data. This approach allows us to have a ground truth CT-RSP curve to compare the optimisation results with. Our results show that the parameters of the CT-RSP curve are strongly correlated when using a pencil beam based set-up, which leads to unrealistic variation in the optimised CT-RSP curves. To address this issue, we introduce a regularisation procedure which guarantees a plausible degree of smoothness in the optimised CT-RSP curves. We investigate three different methods to perform the numerical projection operation needed to generate a proton digitally reconstructed radiography. We find that the approximate and computationally faster method performs as well as the more accurate but more demanding method. We perform a Monte Carlo experiment based on a head and neck patient to evaluate the range accuracy achievable with the optimised CT-RSP curves and find an agreement with the ground truth expectation of better than 0.5%. Our results further indicate that the region in the patient in which the proton radiography is acquired does not necessarily have to correspond to the treatment volume to achieve this accuracy. This is important as the imaged region could be freely chosen, e.g. in order to spare organs at risk.</t>
  </si>
  <si>
    <t>[Krah, N.; Rit, S.] Lyon Univ, CNRS, CREATIS, UMR5220,Ctr Leon Berard, Lyon, France; [Patera, V.; Schiavi, A.] Sapienza Univ Rome, Dept Basic &amp; Appl Sci Engn, Rome, Italy; [Patera, V.; Schiavi, A.] Natl Inst Nucl Phys, INFN Sect Rome, Rome, Italy; [Rinaldi, I.] CNRS, IN2P3, Villeurbanne, France; [Rinaldi, I.] Lyon 1 Univ, UMR 5822, Villeurbanne, France; [Rinaldi, I.] MAASTRO Clin, Maastricht, Netherlands</t>
  </si>
  <si>
    <t>Institut National de la Sante et de la Recherche Medicale (Inserm); Centre National de la Recherche Scientifique (CNRS); CNRS - Institute for Engineering &amp; Systems Sciences (INSIS); UNICANCER; Centre Leon Berard; Institut National des Sciences Appliquees de Lyon - INSA Lyon; Sapienza University Rome; Istituto Nazionale di Fisica Nucleare (INFN); Centre National de la Recherche Scientifique (CNRS); CNRS - National Institute of Nuclear and Particle Physics (IN2P3); Centre National de la Recherche Scientifique (CNRS); CNRS - National Institute of Nuclear and Particle Physics (IN2P3); Universite Claude Bernard Lyon 1; Maastricht University; Maastricht University Medical Centre (MUMC)</t>
  </si>
  <si>
    <t>Krah, N (通訊作者)， Lyon Univ, CNRS, CREATIS, UMR5220,Ctr Leon Berard, Lyon, France.</t>
  </si>
  <si>
    <t>Rit, Simon/H-9410-2014; Schiavi, Angelo/D-2924-2017; SCHIAVI, Angelo/D-2924-2017; Rinaldi, Ilaria/F-8703-2018</t>
  </si>
  <si>
    <t>Rit, Simon/0000-0003-2530-1013; SCHIAVI, Angelo/0000-0002-7081-2747; Krah, Nils/0000-0002-1376-6633; Rinaldi, Ilaria/0000-0002-2857-0852; PATERA, Vincenzo/0000-0003-1999-8424</t>
  </si>
  <si>
    <t>European Union [753370]; University of Rome; 'Fondation pour la Recherche Medicale' (FRM) [DIC20161236452]; SIRIC LYriCAN Grant [INCa_INSERM_DGOS_12563]; LABEX PRIMES of Universite de Lyon, within the program 'Investissements d'Avenir' [ANR-11-LABX-0063, ANR-11-IDEX-0007]; NVIDIA Corporation; Marie Curie Actions (MSCA) [753370] Funding Source: Marie Curie Actions (MSCA)</t>
  </si>
  <si>
    <t>European Union(European Union (EU)); University of Rome; 'Fondation pour la Recherche Medicale' (FRM)(Fondation pour la Recherche Medicale); SIRIC LYriCAN Grant; LABEX PRIMES of Universite de Lyon, within the program 'Investissements d'Avenir'(Agence Nationale de la Recherche (ANR)); NVIDIA Corporation(Nvidia Corporation); Marie Curie Actions (MSCA)(Marie Curie Actions)</t>
  </si>
  <si>
    <t>The work of Nils Krah was supported by funding from the European Union's Horizon 2020 research and innovation programme under the Marie Sklodowska-Curie grant agreement No 753370. The work of Ilaria Rinaldi was supported partially by a research fellowship 'Visiting Professor Sapienza' from the University of Rome. This work was performed within the framework of the project DIC20161236452 of the 'Fondation pour la Recherche Medicale' (FRM), of the SIRIC LYriCAN Grant INCa_INSERM_DGOS_12563 and of the LABEX PRIMES (ANR-11-LABX-0063) of Universite de Lyon, within the program 'Investissements d'Avenir' (ANR-11-IDEX-0007) operated by the ANR. We gratefully acknowledge the support of NVIDIA Corporation with the donation of the Titan X Pascal GPU used for this research.</t>
  </si>
  <si>
    <t>10.1088/1361-6560/ab03db</t>
  </si>
  <si>
    <t>WOS:000461060600002</t>
  </si>
  <si>
    <t>Reynolds, T; Shieh, CC; Keall, PJ; O'Brien, RT</t>
  </si>
  <si>
    <t>Reynolds, Tess; Shieh, Chun-Chien; Keall, Paul J.; O'Brien, Ricky T.</t>
  </si>
  <si>
    <t>Towards patient connected imaging with ACROBEAT: Adaptive CaRdiac cOne BEAm computed Tomography</t>
  </si>
  <si>
    <t>cardiac imaging; C-arm computed tomography; dynamic imaging; prospective gating; radiotherapy; intervention radiology</t>
  </si>
  <si>
    <t>C-ARM CT; CORONARY-ARTERIES; HEART-RATE; MOTION; RECONSTRUCTION; ANGIOGRAPHY; ACQUISITION; ABLATION; PHASES; TIME</t>
  </si>
  <si>
    <t>Robotic C-arm cone beam computed tomography (CBCT) systems are playing an increasingly pivotal role in interventional cardiac procedures and high precision radiotherapy treatments. One of the main challenges in any form of cardiac imaging is mitigating the intrinsic motion of the heart, which causes blurring and artefacts in the 3D reconstructed image. Most conventional 3D cardiac CBCT acquisition techniques attempt to combat heart motion through retrospective gating techniques, whereby acquired projections are sorted into the desired cardiac phase after the completion of the scan. However, this results in streaking artefacts and unnecessary radiation exposure to the patient. Here, we present our Adaptive CaRdiac cOne BEAm computed Tomography (ACROBEAT) acquisition protocol that uses the patient's electrocardiogram (ECG) signal to adaptively regulate the gantry velocity and projection time interval in real-time. It enables prospectively gated patient connected imaging in a single sweep of the gantry. The XCAT digital software phantom was used to complete a simulation study to compare ACROBEAT to a conventional multi-sweep retrospective ECG gated acquisition, under a variety of different acquisition conditions. The effect of location and length of the acquisition window and total number of projections acquired on image quality and total scan time were examined. Overall, ACROBEAT enables up to a 5 times average improvement in the contrast-to-noise ratio, a 40% reduction in edge response width and an 80% reduction in total projections acquired compared to conventional multi- sweep retrospective ECG gated acquisition.</t>
  </si>
  <si>
    <t>[Reynolds, Tess; Shieh, Chun-Chien; Keall, Paul J.; O'Brien, Ricky T.] Univ Sydney, Fac Med &amp; Hlth, ACRF Image X Inst, Sydney, NSW 2006, Australia</t>
  </si>
  <si>
    <t>University of Sydney</t>
  </si>
  <si>
    <t>Reynolds, T (通訊作者)， Univ Sydney, Fac Med &amp; Hlth, ACRF Image X Inst, Sydney, NSW 2006, Australia.</t>
  </si>
  <si>
    <t>tess.reynolds@sydney.edu.au</t>
  </si>
  <si>
    <t>Keall, Paul/0000-0003-4803-6507; Reynolds, Tess/0000-0003-0543-9170; O'Brien, Ricky/0000-0002-6586-7356</t>
  </si>
  <si>
    <t>Cancer Institute of NSW Career Development Fellowship; Australian NHMRC Senior Principal Research Fellowship; Australian Government National Health and Medical Research Council [APP1120333]; Cancer Institute New South Wales Early Career Fellowship [CS00481]; Cancer Australia; Priority-drive Collaborative Cancer Research Scheme [1123068]</t>
  </si>
  <si>
    <t>Cancer Institute of NSW Career Development Fellowship; Australian NHMRC Senior Principal Research Fellowship(National Health &amp; Medical Research Council (NHMRC) of Australia); Australian Government National Health and Medical Research Council(National Health &amp; Medical Research Council (NHMRC) of Australia); Cancer Institute New South Wales Early Career Fellowship; Cancer Australia; Priority-drive Collaborative Cancer Research Scheme</t>
  </si>
  <si>
    <t>Ricky O'Brien would like to acknowledge the support of a Cancer Institute of NSW Career Development Fellowship. Paul J Keall acknowledges the support of an Australian NHMRC Senior Principal Research Fellowship. Chun-Chien Shieh acknowledge the support from the Australian Government National Health and Medical Research Council Early Career Fellowship APP1120333, and Cancer Institute New South Wales Early Career Fellowship CS00481. This grant #1123068 was awarded through the Priority-drive Collaborative Cancer Research Scheme and funded by Cancer Australia. The authors would also like to acknowledge ACRF Image X Institute Design and Communication Officer Julia Johnson for graphical support. Paul J Keall and Ricky O'Brien have a patent filed for variable gantry speed 4DCBCT image acquisition.</t>
  </si>
  <si>
    <t>10.1088/1361-6560/ab03f4</t>
  </si>
  <si>
    <t>HO5KG</t>
  </si>
  <si>
    <t>WOS:000460964400001</t>
  </si>
  <si>
    <t>Shi, LX; Wang, A; Wei, JK; Zhu, L</t>
  </si>
  <si>
    <t>Shi, Linxi; Wang, Adam; Wei, Jikun; Zhu, Lei</t>
  </si>
  <si>
    <t>Fast shading correction for cone-beam CT via partitioned tissue classification</t>
  </si>
  <si>
    <t>correction; cone beam CT; image-guided radiation therapy</t>
  </si>
  <si>
    <t>X-RAY SCATTER; PROTON DOSE CALCULATION; COMPUTED-TOMOGRAPHY; RADIATION-THERAPY; PRIMARY MODULATION; FEASIBILITY; SEGMENTATION; ALGORITHM</t>
  </si>
  <si>
    <t>The quantitative use of cone beam computed tomography (CBCT) in radiation therapy is limited by severe shading artifacts, even with system embedded correction. We recently proposed effective shading correction methods, using planning CT (pCT) as prior information to estimate low-frequency errors in either the projection domain or image domain. In this work, we further improve the clinical practicality of our previous methods by removing the requirement of prior pCT images. Clinical CBCT images are typically composed of a limited number of tissues. By utilizing the low frequency characteristic of shading distribution, we first generate a 'shading-free' template image by enforcing uniformity on CBCT voxels of the same tissue type via a technique named partitioned tissue classification. Only a small subset of voxels in the template image are used in the correction process to generate sparse samples of shading artifacts. Local filtration, a Fourier transform based algorithm, is employed to efficiently process the sparse errors to compute a full-field distribution of shading artifacts for CBCT correction. We evaluate the method's performance using an anthropomorphic pelvis phantom and 6 pelvis patients. The proposed method improves the image quality of CBCT for both phantom and patients to a level matching that of pCT. On the pelvis phantom, the signal non-uniformity (SNU) is reduced from 12.11% to 3.11% and 8.40% to 2.21% on fat and muscle, respectively. The maximum CT number error is reduced from 70 to 10 HU and 73 to 11 HU on fat and muscle, respectively. On patients, the average SNU is reduced from 9.22% to 1.06% and 11.41% to 1.67% on fat and muscle, respectively. The maximum CT number error is reduced from 95 to 9 HU and 88 to 8 HU on fat and muscle, respectively. The typical processing time for one CBCT dataset is about 45 s on a standard PC.</t>
  </si>
  <si>
    <t>[Shi, Linxi; Wang, Adam] Stanford Univ, Dept Radiol, Palo Alto, CA 94305 USA; [Wei, Jikun] Landauer Med Phys, 2 Sci Rd, Glenwood, IL 60425 USA; [Wei, Jikun] Southeastern Reg Med Ctr, Canc Treatment Ctr Amer, 600 Celebrate Life Pkwy, Newnan, GA 30265 USA; [Zhu, Lei] Univ Sci &amp; Technol China, Sch Phys Sci, Hefei 230026, Anhui, Peoples R China</t>
  </si>
  <si>
    <t>Stanford University; Landauer, Inc.; Chinese Academy of Sciences; University of Science &amp; Technology of China, CAS</t>
  </si>
  <si>
    <t>Shi, LX (通訊作者)， Stanford Univ, Dept Radiol, Palo Alto, CA 94305 USA.</t>
  </si>
  <si>
    <t>linxit@stanford.edu</t>
  </si>
  <si>
    <t>Wang, Adam/0000-0001-9234-1264</t>
  </si>
  <si>
    <t>Stanford Cancer Imaging Training (SCIT) Program, NIH [T32 CA009695]; Ministry of Science and Technology of China [2016YFC0101400]; National Natural Science Foundation of China [81671681]; Fundamental Research Funds for the Central Universities [WK2030040089]</t>
  </si>
  <si>
    <t>Stanford Cancer Imaging Training (SCIT) Program, NIH; Ministry of Science and Technology of China(Ministry of Science and Technology, China); National Natural Science Foundation of China(National Natural Science Foundation of China (NSFC)); Fundamental Research Funds for the Central Universities(Fundamental Research Funds for the Central Universities)</t>
  </si>
  <si>
    <t>The research reported in this publication was in part supported by Stanford Cancer Imaging Training (SCIT) Program, NIH award T32 CA009695. The content is solely the responsibility of the authors and does not necessarily represent the official views of the National Institutes of Health. The work is also partially supported by the Ministry of Science and Technology of China Key Research and Development Projects (Grant No. 2016YFC0101400), by National Natural Science Foundation of China (Grant No. 81671681) and by the Fundamental Research Funds for the Central Universities (Grant No. WK2030040089). Adam Wang is a shareholder of Varian Medical Systems.</t>
  </si>
  <si>
    <t>10.1088/1361-6560/ab0475</t>
  </si>
  <si>
    <t>WOS:000461207800002</t>
  </si>
  <si>
    <t>Kolbitsch, C; Neji, R; Fenchel, M; Schuh, A; Mallia, A; Marsden, P; Schaeffter, T</t>
  </si>
  <si>
    <t>Kolbitsch, Christoph; Neji, Radhouene; Fenchel, Matthias; Schuh, Andreas; Mallia, Andrew; Marsden, Paul; Schaeffter, Tobias</t>
  </si>
  <si>
    <t>Joint cardiac and respiratory motion estimation for motion-corrected cardiac PET-MR</t>
  </si>
  <si>
    <t>PET-MR; dynamic AC; joint image registration; cardiac and respiratory motion correction</t>
  </si>
  <si>
    <t>IMAGE-RECONSTRUCTION; COMPENSATION; REGISTRATION</t>
  </si>
  <si>
    <t>Respiratory and cardiac motion can strongly impair cardiac PET image quality and tracer uptake quantification. Standard gating techniques can minimize these motion artefacts but suffer from low signal-to-noise ratio because only a small percentage of the total data is utilized. Motion correction approaches have been proposed to overcome this problem but require accurate knowledge of such physiological motion. Here we present a joint PET-MR motion estimation approach which combines complimentary dynamic image information from simultaneously acquired MR and PET to ensure improved cardiac and respiratory motion estimation for motion-corrected image reconstruction (MCIR) of PET images. A 3D triple-echo Dixon MR scan is used both for calculation of MR-based attenuation correction (AC) maps and estimation of physiological motion. PET listmode data is obtained simultaneously to the MR acquisition which is used for a joint motion estimation and reconstruction of the final MCIR PET. In a first step, dynamic cardiac and respiratory motion resolved 4D MR and PET images are reconstructed. These image series are used in a joint image registration to estimate non-rigid cardiac and respiratory motion fields. In a second step, the motion fields are utilized in a MR MCIR to obtain cardiac and respiratory resolved dynamic MR-based AC maps. In the last step, the non-rigid motion fields and the dynamic AC maps are applied in a PET MCIR to obtain the final motion-corrected PET images. PET-MR data has been obtained in six patients without any known heart disease. Motion amplitudes were between 5.6 and 16 mm, with higher values in the basal compared to the mid-ventricular and apical segments. The proposed joint PET-MR motion estimation provided more accurate motion estimation than using either modality separately. The underestimation of PET uptake due to respiratory and cardiac motion artefacts in the AC maps was up to 17%. The average increase in uptake values using MCIR was 23% +/- 10% (p &lt; 0.0001), with values of 28% +/- 11% (p &lt; 0.0001) for basal, 21% +/- 8% (p &lt; 0.0001) for mid-cavity and 17% +/- 7% (p &lt; 0.0001) for apical segments. With the proposed scheme we could ensure high PET image quality and improve local PET uptake quantification by up to 30%. Attenuation correction and motion information was obtained from the same PET-MR raw data, which was obtained during free-breathing to minimize scan times and to increase patient comfort.</t>
  </si>
  <si>
    <t>[Kolbitsch, Christoph; Schaeffter, Tobias] PTB, Braunschweig, Germany; [Kolbitsch, Christoph; Schaeffter, Tobias] PTB, Berlin, Germany; [Kolbitsch, Christoph; Neji, Radhouene; Mallia, Andrew; Marsden, Paul; Schaeffter, Tobias] Kings Coll London, Sch Biomed Engn &amp; Imaging Sci, London, England; [Neji, Radhouene] Siemens Healthcare, MR Res Collaborat, Frimley, England; [Fenchel, Matthias] Siemens Med Solut, MR R&amp;D Collaborat, New York, NY USA; [Schuh, Andreas] Imperial Coll London, Dept Comp, Biomed Image Anal Grp, London, England</t>
  </si>
  <si>
    <t>Physikalisch-Technische Bundesanstalt (PTB); Physikalisch-Technische Bundesanstalt (PTB); University of London; King's College London; Siemens AG; Siemens United Kingdom; Siemens AG; Siemens USA; Imperial College London</t>
  </si>
  <si>
    <t>Kolbitsch, C (通訊作者)， PTB, Braunschweig, Germany.;Kolbitsch, C (通訊作者)， PTB, Berlin, Germany.;Kolbitsch, C (通訊作者)， Kings Coll London, Sch Biomed Engn &amp; Imaging Sci, London, England.</t>
  </si>
  <si>
    <t>christoph.kolbitsch@ptb.de</t>
  </si>
  <si>
    <t>Schaeffter, Tobias/AAI-6826-2020</t>
  </si>
  <si>
    <t>Schaeffter, Tobias/0000-0003-1310-2631</t>
  </si>
  <si>
    <t>European Union [241711]; National Institute for Health Research (NIHR) Biomedical Research Centre at Guy's and St Thomas' NHS Foundation Trust; King's College London; UK EPSRC grant [EP/M022587/1]; EPSRC [EP/P022200/1, EP/M022587/1] Funding Source: UKRI; Engineering and Physical Sciences Research Council [EP/M022587/1, EP/P022200/1] Funding Source: researchfish</t>
  </si>
  <si>
    <t>European Union(European Union (EU)); National Institute for Health Research (NIHR) Biomedical Research Centre at Guy's and St Thomas' NHS Foundation Trust; King's College London; UK EPSRC grant(UK Research &amp; Innovation (UKRI)Engineering &amp; Physical Sciences Research Council (EPSRC)); EPSRC(UK Research &amp; Innovation (UKRI)Engineering &amp; Physical Sciences Research Council (EPSRC)); Engineering and Physical Sciences Research Council(UK Research &amp; Innovation (UKRI)Engineering &amp; Physical Sciences Research Council (EPSRC))</t>
  </si>
  <si>
    <t>Dr Neji and Dr Fenchel are employees of Siemens Healthineers. This work was part of the SUBLIMA project supported by the European Union under the seventh framework program (no: 241711). This research was supported by the National Institute for Health Research (NIHR) Biomedical Research Centre at Guy's and St Thomas' NHS Foundation Trust and King's College London. The views expressed are those of the authors and not necessarily those of the NHS, the NIHR or the Department of Health. The PET image reconstruction used for this project was in part developed during the Computational Collaborative Project in Synergistic PET-MR Reconstruction (https://www.ccppetmr.ac.uk/), UK EPSRC grant EP/M022587/1. The authors would also like to thank James Stirling and Sami Jeljeli for their help with the patient scanning.</t>
  </si>
  <si>
    <t>10.1088/1361-6560/aaf246</t>
  </si>
  <si>
    <t>WOS:000454078500005</t>
  </si>
  <si>
    <t>Burigo, LN; Oborn, BM</t>
  </si>
  <si>
    <t>Burigo, Lucas N.; Oborn, Bradley M.</t>
  </si>
  <si>
    <t>MRI-guided proton therapy planning: accounting for an inline MRI fringe field</t>
  </si>
  <si>
    <t>MR-guided radiotherapy; proton therapy; treatment planning; proton beam delivery; MR-guided proton therapy</t>
  </si>
  <si>
    <t>DOSE CALCULATION; MAGNETIC-FIELD; ION RADIOTHERAPY; BEAM DEFLECTION; MONTE-CARLO; FEASIBILITY; MOTION; BRAIN; OPTIMIZATION; SIMULATION</t>
  </si>
  <si>
    <t>MRI-guided proton therapy is being pursued for its promise to provide a more conformal, accurate proton therapy. However, the presence of the magnetic field imposes a challenge for the beam delivery as protons are deflected due to the Lorenz force. In this study, the impact of realistic inline MRI fringe field on IMPT plan delivery is investigated for a water phantom, liver tumor and prostate cancer differing in target volume, shape, and field configuration using Monte Carlo simulations. A method to correct for the shift of the beam spot positions in the presence of the inline magnetic field is presented. Results show that when not accounting for the effect of the magnetic field on the pencil beam delivery, the spot positions are substantially shifted and the quality of delivered plans is significantly deteriorated leading to dose inhomogeneities and creation of hot and cold spots. However, by correcting the pencil beam delivery, the dose quality of the IMPT plans is restored to a high degree. Nevertheless, adaptation of beam delivery alone is not robust regarding different treatment sites. By fully accounting during plan optimization for the dose distortions caused by the fringe and imaging fields, highly conformal IMPT plans are achieved. These results demonstrate proton pencil beam scanning and treatment planning can be adapted for precise delivery of state-of-the-art IMPT plans in MR-guided proton therapy in the presence of an inline MRI fringe field.</t>
  </si>
  <si>
    <t>[Burigo, Lucas N.] German Canc Res Ctr, Heidelberg, Germany; [Burigo, Lucas N.] Heidelberg Inst Radiat Oncol HIRO Heidelberg, Natl Ctr Radiat Res Oncol NCRO, Heidelberg, Germany; [Oborn, Bradley M.] Univ Wollongong, Ctr Med Radiat Phys, Wollongong, NSW 2522, Australia; [Oborn, Bradley M.] Wollongong Hosp, ICCC, Wollongong, NSW 2500, Australia</t>
  </si>
  <si>
    <t>Helmholtz Association; German Cancer Research Center (DKFZ); University of Wollongong; Wollongong Hospital</t>
  </si>
  <si>
    <t>Burigo, LN (通訊作者)， German Canc Res Ctr, Heidelberg, Germany.;Burigo, LN (通訊作者)， Heidelberg Inst Radiat Oncol HIRO Heidelberg, Natl Ctr Radiat Res Oncol NCRO, Heidelberg, Germany.</t>
  </si>
  <si>
    <t>10.1088/1361-6560/ab436a</t>
  </si>
  <si>
    <t>JK5BR</t>
  </si>
  <si>
    <t>WOS:000494859100001</t>
  </si>
  <si>
    <t>Kertzscher, G; Beddar, S</t>
  </si>
  <si>
    <t>Kertzscher, Gustavo; Beddar, Sam</t>
  </si>
  <si>
    <t>Inorganic scintillation detectors for 192Ir brachytherapy</t>
  </si>
  <si>
    <t>inorganic scintillation detectors; treatment verification; in vivo dosimetry; error detection; brachytherapy; high dose rate brachytherapy; Ir-192</t>
  </si>
  <si>
    <t>IN-VIVO DOSIMETRY; ENERGY BEAM DOSIMETRY; LUMINESCENCE DOSIMETRY; HDR BRACHYTHERAPY; RADIATION; PHANTOM; RUBY</t>
  </si>
  <si>
    <t>Many brachytherapy (BT) errors could be detected with real-time in vivo dosimetry technology. Inorganic scintillation detectors (ISDs) have demonstrated promising capabilities for BT, because some ISD materials can generate scintillation signals large enough that (a) the background signal emitted in the fiber-optic cable (stem signal) is insignificant, and (b) small detector volumes can be used to avoid volume averaging effects in steep dose gradients near BT sources. We investigated the characteristics of five ISD materials to identify one that is appropriate for BT. ISDs consisting of a 0.26 to 1.0?mm(3) volume of ruby (Al2O3:Cr), a mixture of Y2O3:Eu and YVO4:Eu, ZnSe:O, or CsI:Tl coupled to a fiber-optic cable were irradiated in a water-equivalent phantom using a high-dose-rate Ir-192 BT source. Detectors based on plastic scintillators BCF-12 and BCF-60 (0.8?mm(3) volume) were used as a reference. Measurements demonstrated that the ruby, Y2O3:Eu+YVO4:Eu, ZnSe:O, and CsI:Tl ISDs emitted scintillation signals that were up to 19, 19, 250, and 880 times greater, respectively, than that of the BCF-12 detector. While the total signals of the plastic scintillation detectors were dominated by the stem signal for source positions 0.5?cm from the fiber-optic cable and??&gt;3.5?cm from the scintillator volume, the stem signal for the ruby and Y2O3:Eu+YVO4:Eu ISDs were??&lt;1% of the total signal for source positions??&lt;3.4 and??&lt;4.4?cm from the scintillator, respectively, and??&lt;0.7% and??&lt;0.5% for the ZnSe:O and CsI:Tl ISDs, respectively, for positions??8.0?cm. In contrast to the other ISDs, the Y2O3:Eu+YVO4:Eu ISD exhibited unstable scintillation and significant afterglow. All ISDs exhibited significant energy dependence, i.e. their dose response to distance-dependent Ir-192 energy spectra differed significantly from the absorbed dose in water. Provided that energy dependence is accounted for, ZnSe:O ISDs are promising for use in error detection and patient safety monitoring during BT.</t>
  </si>
  <si>
    <t>[Kertzscher, Gustavo] Univ Texas MD Anderson Canc Ctr, Dept Radiat Phys, Houston, TX 77030 USA; [Beddar, Sam] Univ Texas Grad Sch Biomed Sci Houston, Houston, TX 77030 USA</t>
  </si>
  <si>
    <t>University of Texas System; UTMD Anderson Cancer Center; University of Texas System; University of Texas Health Science Center Houston; University of Texas Graduate School of Biomedical Sciences</t>
  </si>
  <si>
    <t>Beddar, S (通訊作者)， Univ Texas Grad Sch Biomed Sci Houston, Houston, TX 77030 USA.</t>
  </si>
  <si>
    <t>Kertzscher, Gustavo/0000-0002-7228-1521; Beddar, Sam/0000-0001-5825-110X</t>
  </si>
  <si>
    <t>National Cancer Institute, National Institutes of Health [CA182450]</t>
  </si>
  <si>
    <t>The authors thank Phosphor Technology Ltd. and SICCAS for providing crystal samples. The authors acknowledge Scientific Publications of The University of MD Anderson Cancer Center for editing this manuscript. The authors acknowledge Grant No. CA182450 from the National Cancer Institute, National Institutes of Health. The content is solely the responsibility of the authors and does not necessarily represent the official views of the National Cancer Institute or the National Institutes of Health.</t>
  </si>
  <si>
    <t>10.1088/1361-6560/ab421f</t>
  </si>
  <si>
    <t>JU6VX</t>
  </si>
  <si>
    <t>WOS:000501813100001</t>
  </si>
  <si>
    <t>Bachi, N; Otranto, S; Otero, GS; Olson, RE</t>
  </si>
  <si>
    <t>Bachi, N.; Otranto, S.; Otero, G. S.; Olson, R. E.</t>
  </si>
  <si>
    <t>The role of multiple ionization of H2O in heavy ion collisions</t>
  </si>
  <si>
    <t>single and multiple ionization; water; heavy ion collisions; cross sections; radiotherapy</t>
  </si>
  <si>
    <t>INDEPENDENT-PARTICLE-MODEL; CROSS-SECTIONS; ELECTRON-EMISSION; WATER-VAPOR; DNA; ATOMS</t>
  </si>
  <si>
    <t>Collisional ionization processes involving H2O molecules and C6+, O8+, Si13+ ions are studied by means of the classical trajectory Monte Carlo method using molecular orbital calculations to define the ionization stages of the water molecule. Net total and single-differential cross sections in energy and angle are obtained by using a newly developed model that goes beyond the commonly applied one-active electron approximation. This model allows us to access the fraction of electron emission arising from single and multiple electron ionization. Calculated cross sections are contrasted and benchmarked against available experimental data at impact energies in the MeV/u range. The present results highlight the important role of multiple ionization in the emission of electrons where we find the majority of electrons emitted with energies greater than similar to 50 eV arise from multiple ionization collisions.</t>
  </si>
  <si>
    <t>[Bachi, N.; Otranto, S.; Otero, G. S.] UNS, Dept Fis, Inst Fis Sur IFISUR, Av LN Alem 1253,B8000CPB, Bahia Blanca, Buenos Aires, Argentina; [Olson, R. E.] Missouri Univ Sci &amp; Technol, Dept Phys, Rolla, MO 65409 USA</t>
  </si>
  <si>
    <t>National University of the South; University of Missouri System; Missouri University of Science &amp; Technology</t>
  </si>
  <si>
    <t>Bachi, N (通訊作者)， UNS, Dept Fis, Inst Fis Sur IFISUR, Av LN Alem 1253,B8000CPB, Bahia Blanca, Buenos Aires, Argentina.</t>
  </si>
  <si>
    <t>nicolas.bachi@uns.edu.ar</t>
  </si>
  <si>
    <t>Otero, Guadalupe Sol/0000-0002-4880-8688; Bachi, Nicolas/0000-0002-5079-0165</t>
  </si>
  <si>
    <t>Secretaria General de Ciencia y Tecnologia, Universidad Nacional del Sur [PGI/F073]; CONICET, Argentina [PIP 11220170100855CO]</t>
  </si>
  <si>
    <t>Secretaria General de Ciencia y Tecnologia, Universidad Nacional del Sur; CONICET, Argentina(Consejo Nacional de Investigaciones Cientificas y Tecnicas (CONICET))</t>
  </si>
  <si>
    <t>Work at IFISUR supported by PGI/F073, Secretaria General de Ciencia y Tecnologia, Universidad Nacional del Sur and PIP 11220170100855CO of CONICET, Argentina. The authors would like to thank Dr P Focke for fruitful discussions.</t>
  </si>
  <si>
    <t>10.1088/1361-6560/ab41db</t>
  </si>
  <si>
    <t>WOS:000500247900020</t>
  </si>
  <si>
    <t>Liu, C; Li, ZX; Hu, WB; Xing, L; Peng, H</t>
  </si>
  <si>
    <t>Liu, Chuang; Li, Zhongxing; Hu, Wenbin; Xing, Lei; Peng, Hao</t>
  </si>
  <si>
    <t>Range and dose verification in proton therapy using proton-induced positron emitters and recurrent neural networks (RNNs)</t>
  </si>
  <si>
    <t>proton therapy; positron emitter; range verification; dose verification; recurrent neural networks</t>
  </si>
  <si>
    <t>IN-BEAM PET; PROMPT-GAMMA; VIVO VERIFICATION; PATIENT; SYSTEM; DISTRIBUTIONS; SIMULATION; DELIVERY; CAMERA; YIELDS</t>
  </si>
  <si>
    <t>Online proton range/dose verification based on measurements of proton-induced positron emitters is a promising strategy for quality assurance in proton therapy. Because of the nonlinear correlation between the dose distribution and the activity distribution of positron emitters, we aim to establish their relationship using recurrent neural network models (LSTM, BiLSTM, GRU, BiGRU and Seq2seq). Simulations were carried out with a spot-scanning proton system using Geant4- 10.3 toolkit and a CT-based patient phantom. The 1D distributions of positron emitters and radiation dose were obtained. Training data were modeled for different beam energy, irradiation positions and counting statistics. The prediction accuracy of range and dose were quantitatively studied. The impact of including anatomical information (HU values in CT images) on the prediction performance was investigated. The BiGRU demonstrates the most stable and accurate performance with good capability of generalization, especially with the inclusion of anatomical information. When the signal-to-noise ratio (SNR) of the 1 D activity profiles is about 3, the range accuracy can be within 0.5 mm and the dose accuracy close to the peak region is &lt;5% (relative uncertainty between prediction and raw input for all datasets). The feasibility of proton range and dose verification using the RNN-based framework was demonstrated. The RNN-based framework promises to provide a reliable and effective way for online monitoring, quality assurance and ultimately allows for adaptive proton therapy.</t>
  </si>
  <si>
    <t>[Liu, Chuang; Li, Zhongxing; Peng, Hao] Wuhan Univ, Dept Med Phys, Wuhan 430072, Hubei, Peoples R China; [Hu, Wenbin] Wuhan Univ, Dept Comp Sci, Wuhan 430072, Hubei, Peoples R China; [Xing, Lei; Peng, Hao] Stanford Univ, Dept Radiat Oncol, Stanford, CA 94305 USA; [Peng, Hao] Hokkaido Univ, Global Inst Collaborat Res &amp; Educ GI CoRE, Sapporo, Hokkaido, Japan</t>
  </si>
  <si>
    <t>Wuhan University; Wuhan University; Stanford University; Hokkaido University</t>
  </si>
  <si>
    <t>Peng, H (通訊作者)， Wuhan Univ, Dept Med Phys, Wuhan 430072, Hubei, Peoples R China.;Xing, L; Peng, H (通訊作者)， Stanford Univ, Dept Radiat Oncol, Stanford, CA 94305 USA.;Peng, H (通訊作者)， Hokkaido Univ, Global Inst Collaborat Res &amp; Educ GI CoRE, Sapporo, Hokkaido, Japan.</t>
  </si>
  <si>
    <t>lei@stanford.edu; penghao@whu.edu.cn</t>
  </si>
  <si>
    <t>; Peng, Hao/L-7364-2019; 刘, 闯/HNP-3709-2023</t>
  </si>
  <si>
    <t>Liu, Chuang/0000-0003-2377-2567; Xing, Lei/0000-0003-2536-5359</t>
  </si>
  <si>
    <t>10.1088/1361-6560/ab3564</t>
  </si>
  <si>
    <t>WOS:000484508700002</t>
  </si>
  <si>
    <t>Xu, JM; Liu, HF</t>
  </si>
  <si>
    <t>Xu, Jinmin; Liu, Huafeng</t>
  </si>
  <si>
    <t>Three-dimensional convolutional neural networks for simultaneous dual-tracer PET imaging</t>
  </si>
  <si>
    <t>dual-tracer PET; 3D CNN; hybrid loss; reconstruction</t>
  </si>
  <si>
    <t>SEPARATION; SIMULATION; KINETICS; CMRO2; WATER; SCAN</t>
  </si>
  <si>
    <t>Dual-tracer positron emission tomography (PET) is a promising technique to measure the distribution of two tracers in the body by a single scan, which can improve the clinical accuracy of disease diagnosis and can also serve as a research tool for scientists. Most current research on dual-tracer PET reconstruction is based on mixed images pre-reconstructed by algorithms, which restricts the further improvement of the precision of reconstruction. In this study, we present a hybrid loss-guided deep learning based framework for dual-tracer PET imaging using sinogram data, which can achieve reconstruction by naturally unifying two functions: the reconstruction of the mixed images and the separation for individual tracers. Combined with volumetric dual-tracer images, we adopted a three-dimensional (3D) convolutional neural network (CNN) to learn full features, including spatial information and temporal information simultaneously. In addition, an auxiliary loss layer was introduced to guide the reconstruction of the dual tracers. We used Monte Carlo simulations with data augmentation to generate sufficient datasets for training and testing. The results were analyzed by the bias and variance both spatially (different regions of interest) and temporally (different frames). The analysis verified the feasibility of the 3D CNN framework for dual-tracer reconstruction. Furthermore, we compared the reconstruction results with a deep belief network (DBN), which is another deep learning based technique for the separation of dual-tracer images based on time-activity curves (TACs). The comparison results provide insights into the superior features and performance of the 3D CNN. Furthermore, we tested the [C-11] FMZ-[C-11]DTBZ images with three total-counts levels (5 x 10(6), 1 x 10(7), 5 x 10(7)), which indicate different noise ratios. The analysis results demonstrate that our method can successfully recover the respective distribution of lower total counts with nearly the same accuracy as that of the higher total counts in the total counts range we applied, which also also indicates the proposed 3D CNN framework is more robust to noise compared with DBN.</t>
  </si>
  <si>
    <t>[Xu, Jinmin; Liu, Huafeng] Zhejiang Univ, Coll Opt Sci &amp; Engn, State Key Lab Modern Opt Instrumentat, Hangzhou 310027, Zhejiang, Peoples R China</t>
  </si>
  <si>
    <t>Zhejiang University</t>
  </si>
  <si>
    <t>Liu, HF (通訊作者)， Zhejiang Univ, Coll Opt Sci &amp; Engn, State Key Lab Modern Opt Instrumentat, Hangzhou 310027, Zhejiang, Peoples R China.</t>
  </si>
  <si>
    <t>National Natural Science Foundation of China [U1809204, 61525106, 61427807, 61701436]; National Key Technology Research and Development Program of China [2017YFE0104000, 2016YFC1300302]; Shenzhen Innovation Funding [JCYJ20170818164343304, JCYJ20170816172431715]</t>
  </si>
  <si>
    <t>National Natural Science Foundation of China(National Natural Science Foundation of China (NSFC)); National Key Technology Research and Development Program of China(National Key Technology R&amp;D ProgramNational High Technology Research and Development Program of China); Shenzhen Innovation Funding</t>
  </si>
  <si>
    <t>This work is supported in part by the National Natural Science Foundation of China (Grant No. U1809204, 61525106, 61427807, 61701436), by the National Key Technology Research and Development Program of China (Grant No. 2017YFE0104000, 2016YFC1300302), and by Shenzhen Innovation Funding (Grant No. JCYJ20170818164343304, JCYJ20170816172431715).</t>
  </si>
  <si>
    <t>10.1088/1361-6560/ab3103</t>
  </si>
  <si>
    <t>WOS:000487116400005</t>
  </si>
  <si>
    <t>Cerviño, LI; Soultan, D; Advani, SJ; Cornell, M; Yock, A; Pettersson, N; Song, WY; Aguilera, J; Murphy, J; Hoh, C; James, C; Paravati, A; Coope, R; Gill, B; Moiseenko, V</t>
  </si>
  <si>
    <t>Cervino, Laura, I; Soultan, Dima; Advani, Sunil J.; Cornell, Mariel; Yock, Adam; Pettersson, Niclas; Song, William Y.; Aguilera, Joseph; Murphy, James; Hoh, Carl; James, Claude; Paravati, Anthony; Coope, Robin; Gill, Bradford; Moiseenko, Vitali</t>
  </si>
  <si>
    <t>An in vitro study for the dosimetric and radiobiological validation of respiratory gating in conventional and hypofractionated radiotherapy of the lung: effect of dose, dose rate, and breathing pattern</t>
  </si>
  <si>
    <t>radiation therapy; medical physics; SBRT; radiobiology; lung SBRT; gated SBRT</t>
  </si>
  <si>
    <t>BODY RADIATION-THERAPY; PHASE-I/II; MANAGEMENT; TRIAL</t>
  </si>
  <si>
    <t>Stereotactic body radiotherapy (SBRT) of the lung has become a standard of care for early-stage inoperable non-small cell lung cancer (NSCLC). A common strategy to manage respiratory motion is gating, which inevitably results in an increase in treatment time, especially in irregularly-breathing patients. Flattening-filter free (FFF) beams allow for delivery of the treatment at a higher dose rate, therefore counteracting the lengthened treatment time due to frequent interruption of the beam during gated radiotherapy. In this study, we perform our in vitro evaluation of the dosimetric and radiobiological effect of gated lung SBRT with simultaneous integrated boost (SIB) using both flattened and FFF beams. A moving thorax-shaped phantom with inserts and applicators was used for simulation, planning, gated treatment delivery measurements and in vitro tests. The effects of gating window, dose rate, and breathing pattern were evaluated. Planned doses represented a typical conventional fractionation, 200 cGy per fraction with SIB to 240 cGy, flattened beam only, and SBRT, 800 cGy with SIB to 900 cGy, flattened and FFF beams. Ideal, as well as regular and irregular patient-specific breathing patterns with and without gating were used. A survival assay for lung adenocarcinoma A549 cell line was performed. Delivered dose was within 6% for locations planned to receive 200 and 800 cGy and within 4% for SIB locations. Time between first beam-on and last beam-off varied from approximately 1.5 min for conventional fractionation, 200/240 cGy, to 10.5 min for gated SBRT, 800/900 cGy doses, flattened beam and irregular breathing motion pattern. With FFF beams dose delivery time was shorter by a factor of 2-3, depending on the gating window and breathing pattern. We have found that, for the most part, survival depended on dose and not on dose rate, gating window, or breathing regularity.</t>
  </si>
  <si>
    <t>[Cervino, Laura, I; Advani, Sunil J.; Cornell, Mariel; Aguilera, Joseph; Murphy, James; Paravati, Anthony; Moiseenko, Vitali] Univ Calif San Diego, Dept Radiat Med &amp; Appl Sci, La Jolla, CA 92093 USA; [Soultan, Dima] Univ Kansas, Dept Radiat Oncol, Canc Ctr, Kansas City, KS 66160 USA; [Yock, Adam] Vanderbilt Univ, Dept Radiat Oncol, Med Ctr, Nashville, TN 37203 USA; [Pettersson, Niclas] Univ Gothenburg, Sahlgrenska Acad, Inst Clin Sci, Dept Radiat Phys, Gothenburg, Sweden; [Song, William Y.] Virginia Commonwealth Univ, Dept Radiat Oncol, Richmond, VA 23298 USA; [Hoh, Carl; James, Claude] Univ Calif San Diego, Dept Radiol, La Jolla, CA 92093 USA; [Coope, Robin] BC Canc Agcy, Genome Sci Ctr, Vancouver, BC V5Z 4S6, Canada; [Gill, Bradford] BC Canc Agcy, Dept Med Phys, Vancouver, BC V5Z 4S6, Canada</t>
  </si>
  <si>
    <t>University of California System; University of California San Diego; University of Kansas; Vanderbilt University; University of Gothenburg; Virginia Commonwealth University; University of California System; University of California San Diego; British Columbia Cancer Agency; British Columbia Cancer Agency</t>
  </si>
  <si>
    <t>Cerviño, LI (通訊作者)， Univ Calif San Diego, Dept Radiat Med &amp; Appl Sci, La Jolla, CA 92093 USA.</t>
  </si>
  <si>
    <t>lcervino@ucsd.edu</t>
  </si>
  <si>
    <t>; Yock, Adam/LQJ-9864-2024</t>
  </si>
  <si>
    <t>Yock, Adam/0000-0003-3628-2380; Pettersson, Niclas/0000-0003-4962-0799; Cervino, Laura/0000-0001-6479-6990</t>
  </si>
  <si>
    <t>NIH/NCI [CA205765]; University of California Cancer Research Coordinating Committee [CRN-14-201501]</t>
  </si>
  <si>
    <t>NIH/NCI(United States Department of Health &amp; Human ServicesNational Institutes of Health (NIH) - USANIH National Cancer Institute (NCI)); University of California Cancer Research Coordinating Committee(University of California System)</t>
  </si>
  <si>
    <t>We would like to thank Megan Dagys for her initial help with the treatment plans. This work was supported by grants from NIH/NCI CA205765 (SJA) and University of California Cancer Research Coordinating Committee CRN-14-201501 (SJA).</t>
  </si>
  <si>
    <t>10.1088/1361-6560/ab2940</t>
  </si>
  <si>
    <t>WOS:000474298100001</t>
  </si>
  <si>
    <t>Conti, A; Mériaux, S; Larrat, B</t>
  </si>
  <si>
    <t>Conti, Allegra; Meriaux, Sebastien; Larrat, Benoit</t>
  </si>
  <si>
    <t>About the Marty model of blood-brain barrier closure after its disruption using focused ultrasound</t>
  </si>
  <si>
    <t>BBB disruption; ultrasound; brain drug delivery</t>
  </si>
  <si>
    <t>PARAMETERS; DEPENDENCE</t>
  </si>
  <si>
    <t>Many studies have demonstrated that pulsed ultrasound combined with circulating microbubbles can permeate the blood-brain barrier in a reversible manner. In 2012, our group demonstrated that the BBB remains permeable to small MRI contrast agents up to 24 h after ultrasound application and also that this duration was dependent on nanoparticle size. We derived a simple theoretical model explaining these observations (Marty et al 2012 J. Cereb. Blood Flow Metab. 32 1948-58). However, in this original paper the expression of the BBB closure time (t(1/2)) as a function of the size of delivered contrast agents (d(H)) could not be mathematically derived from the model but rather from a guessed function that is fit to the numerical solution of the model. In this context, the two numeric parameters of this fitting function could not be related to the other physical parameters of the model. Here, we present a formal solution, finding the same expression of t(1/2) in already published and linking t(1/2) to relevant physical variables such as the molecular hydrodynamic diameter d(H), the BBB closure rate k and the standard deviation of the initial BBB gap sizes distribution sigma(0).</t>
  </si>
  <si>
    <t>[Conti, Allegra; Meriaux, Sebastien; Larrat, Benoit] CEA, Direct Rech Fondamentale, Inst Sci Vie Frederic Joliot, NeuroSpin, Gif Sur Yvette, France; [Conti, Allegra; Meriaux, Sebastien; Larrat, Benoit] Paris Saclay Univ, Orsay, France</t>
  </si>
  <si>
    <t>CEA; Universite Paris Saclay</t>
  </si>
  <si>
    <t>Larrat, B (通訊作者)， CEA, Direct Rech Fondamentale, Inst Sci Vie Frederic Joliot, NeuroSpin, Gif Sur Yvette, France.;Larrat, B (通訊作者)， Paris Saclay Univ, Orsay, France.</t>
  </si>
  <si>
    <t>benoit.larrat@cea.fr</t>
  </si>
  <si>
    <t>Conti, Allegra/A-1465-2017; Larrat, Benoit/AAC-4920-2019; Meriaux, Sebastien/C-3163-2014</t>
  </si>
  <si>
    <t>Conti, Allegra/0000-0003-4210-5065; Meriaux, Sebastien/0000-0001-7430-8348</t>
  </si>
  <si>
    <t>Enhanced Eurotalents post-doctoral fellowship part of the Marie Sklodowska-Curie Actions Programme [600382]; European Commission</t>
  </si>
  <si>
    <t>Enhanced Eurotalents post-doctoral fellowship part of the Marie Sklodowska-Curie Actions Programme; European Commission(European Union (EU)European Commission Joint Research Centre)</t>
  </si>
  <si>
    <t>AC received an Enhanced Eurotalents post-doctoral fellowship (Grant Agreement n. 600382), part of the Marie Sklodowska-Curie Actions Programme, co-funded by the European Commission and managed by the French Atomic Energy and Alternative Energies Commission (CEA)</t>
  </si>
  <si>
    <t>14NT02</t>
  </si>
  <si>
    <t>10.1088/1361-6560/ab259d</t>
  </si>
  <si>
    <t>WOS:000476530000002</t>
  </si>
  <si>
    <t>Tulik, M; Kabat, D; Baran, M; Kycia, R; Tabor, Z</t>
  </si>
  <si>
    <t>Tulik, Monika; Kabat, Damian; Baran, Mateusz; Kycia, Radoslaw; Tabor, Zbislaw</t>
  </si>
  <si>
    <t>Use of statistical approaches to improve the quality control of the dose delivery in radiotherapy</t>
  </si>
  <si>
    <t>quality assurance; plan verification; gamma index</t>
  </si>
  <si>
    <t>GAMMA INDEX; QUANTITATIVE-EVALUATION; QA; ASSURANCE; AUDIT; PLANS</t>
  </si>
  <si>
    <t>The gamma index is a measure used routinely for the quality control of dose delivery in radiotherapy, implemented in commercial systems for the verification of treatment plans. It involves comparison of the difference between planned and delivered doses to a single reference. The same reference value is selected for all points in the plan that can potentially hide dose delivery errors, especially in medium and low dose areas. In this study, a receiver operating characteristic analysis is used to demonstrate the limits of the performance of the global gamma index as a method for detecting dose delivery errors. The performance of a global gamma index is compared with two approaches based on statistical tests for outlier detection. Two statistical approaches are considered: according to the first, the distribution of the delivered doses is estimated based on an appropriate calibration procedure. According to the second, the distribution of the delivered doses is estimated based on the detection of relatively homogeneous regions of a plan and analyzing the distributions of planned doses within these regions. The performance of the three approaches is compared based on analytical considerations and in simulations in which errors are intentionally introduced to the plan delivery and noise related to dose delivery is modeled. We have shown that a statistics-based approach to gamma analysis generally leads to better detection of true delivery errors. The results of analytical consideration coincide with the simulations. In simulations, we observe that both statistical approaches are better detectors of true delivery errors than the global method for the gamma-index passing rate in the range from 0.9-1.0. It is shown that the global gamma index is a weak detector of dose delivery errors, which in some circumstances behaves only slightly better than a purely random classifier.</t>
  </si>
  <si>
    <t>[Tulik, Monika; Kabat, Damian] Maria Sklodowska Curie Mem Canc Ctr, Garncarska 11, PL-31115 Krakow, Poland; [Tulik, Monika; Kabat, Damian] Inst Oncol, Cracow Branch, Garncarska 11, PL-31115 Krakow, Poland; [Baran, Mateusz; Kycia, Radoslaw; Tabor, Zbislaw] Cracow Univ Technol, Fac Phys Math &amp; Comp Sci, Warszawska 24, PL-31155 Krakow, Poland</t>
  </si>
  <si>
    <t>Maria Sklodowska-Curie National Research Institute of Oncology; Maria Sklodowska-Curie National Research Institute of Oncology; Cracow University of Technology</t>
  </si>
  <si>
    <t>Tabor, Z (通訊作者)， Cracow Univ Technol, Fac Phys Math &amp; Comp Sci, Warszawska 24, PL-31155 Krakow, Poland.</t>
  </si>
  <si>
    <t>ztabor@pk.edu.pl</t>
  </si>
  <si>
    <t>Baran, Mateusz/U-9571-2019; Kycia, Radoslaw/J-4397-2015</t>
  </si>
  <si>
    <t>Tulik, Monika/0000-0002-6725-6575; Kabat, Damian/0000-0001-5252-7478; Kycia, Radoslaw/0000-0002-6390-4627; Baran, Mateusz/0000-0001-9667-5579</t>
  </si>
  <si>
    <t>National Center for Research and Development [POIR.04.01.04-000014/16]</t>
  </si>
  <si>
    <t>National Center for Research and Development(National Centre for Research &amp; Development, Poland)</t>
  </si>
  <si>
    <t>The study was supported by the National Center for Research and Development under Grant POIR.04.01.04-000014/16.</t>
  </si>
  <si>
    <t>10.1088/1361-6560/ab25ab</t>
  </si>
  <si>
    <t>WOS:000476529600002</t>
  </si>
  <si>
    <t>Kang, HG; Yamamoto, S; Takyu, S; Nishikido, F; Mohammadi, A; Horita, R; Sato, S; Yamaya, T</t>
  </si>
  <si>
    <t>Kang, Han Gyu; Yamamoto, Seiichi; Takyu, Sodai; Nishikido, Fumihiko; Mohammadi, Akram; Horita, Ryo; Sato, Shinji; Yamaya, Taiga</t>
  </si>
  <si>
    <t>Optical imaging for the characterization of radioactive carbon and oxygen ion beams</t>
  </si>
  <si>
    <t>heavy ion therapy; radioactive ion beam; optical imaging; Cerenkov luminescence</t>
  </si>
  <si>
    <t>RING OPENPET; PET; IRRADIATION; DOSIMETRY; FEASIBILITY; SYSTEM; WATER</t>
  </si>
  <si>
    <t>Heavy ion therapy is a promising cancer therapy technique due to the sharper Bragg peak and smaller lateral scattering characteristics of heavy ion beams as compared to a proton therapy. Recently, the potential for radioactive ion beam therapy has been investigated in combination with the OpenPET system to improve the accuracy of in vivo beam range verification. However, the characteristics of the radioactive ion beams have not been investigated thoroughly. Optical imaging has been proposed as a novel high-resolution beam range estimation method for heavy ion beams. In this study, high-resolution luminescence imaging and Cerenkov light imaging were performed for the range estimation of radioactive ion beams such as C-11 and O-15 in the Heavy Ion Medical Accelerator in Chiba (HIMAC) secondary beam line. A polymethyl methacrylate (PMMA) phantom (10.0 x 10.0 x 9.9 cm(3)) was irradiated by C-11 and O-15 ion beams. In order to obtain the in-beam luminescence and off-line beam Cerenkov light images, an optical system was used that consisted of a lens and a cooled CCD camera. The Bragg peaks and stopping positions of the C-11 and O-15 ion beams could be visualized by using the luminescence and Cerenkov light imaging, respectively. The Bragg peaks showed a good correlation with the peak of the luminescence profile with a positional discrepancy of 1 mm and 0.4 mm for the C-11 and O-15 ion beams, respectively. In conclusion, optical imaging using luminescence and Cerenkov light could be used for the precise range estimation of radioactive ion beams.</t>
  </si>
  <si>
    <t>[Kang, Han Gyu; Takyu, Sodai; Nishikido, Fumihiko; Mohammadi, Akram; Sato, Shinji; Yamaya, Taiga] Natl Inst Radiol Sci, Natl Inst Quantum, Chiba, Japan; [Kang, Han Gyu; Takyu, Sodai; Nishikido, Fumihiko; Mohammadi, Akram; Sato, Shinji; Yamaya, Taiga] Natl Inst Radiol Sci, Natl Inst Radiol Sci &amp; Technol, Chiba, Japan; [Yamamoto, Seiichi; Horita, Ryo] Nagoya Univ, Radiol &amp; Med Lab Sci, Grad Sch Med, Nagoya, Aichi, Japan; [Kang, Han Gyu] Natl Inst Radiol Sci, Natl Inst Quantum, Inage Ku, 4-9-1 Anagawa, Chiba 2638555, Japan; [Kang, Han Gyu] Natl Inst Radiol Sci, Natl Inst Radiol Sci &amp; Technol, Inage Ku, 4-9-1 Anagawa, Chiba 2638555, Japan</t>
  </si>
  <si>
    <t>National Institutes for Quantum Science &amp; Technology; National Institutes for Quantum Science &amp; Technology; Nagoya University; National Institutes for Quantum Science &amp; Technology; National Institutes for Quantum Science &amp; Technology</t>
  </si>
  <si>
    <t>Kang, HG (通訊作者)， Natl Inst Radiol Sci, Natl Inst Quantum, Chiba, Japan.;Kang, HG (通訊作者)， Natl Inst Radiol Sci, Natl Inst Radiol Sci &amp; Technol, Chiba, Japan.;Kang, HG (通訊作者)， Natl Inst Radiol Sci, Natl Inst Quantum, Inage Ku, 4-9-1 Anagawa, Chiba 2638555, Japan.;Kang, HG (通訊作者)， Natl Inst Radiol Sci, Natl Inst Radiol Sci &amp; Technol, Inage Ku, 4-9-1 Anagawa, Chiba 2638555, Japan.</t>
  </si>
  <si>
    <t>hangyookang@gmail.com; yamaya.taiga@qst.go.jp</t>
  </si>
  <si>
    <t>Hamato, Akram/V-7081-2019; Kang, Han/I-1552-2019</t>
  </si>
  <si>
    <t>Hamato, Akram/0000-0002-3274-4261;</t>
  </si>
  <si>
    <t>Japan Society for the Promotion of Science (JSPS) KAKENHI [18H05967]; Grants-in-Aid for Scientific Research [18H05967] Funding Source: KAKEN</t>
  </si>
  <si>
    <t>This work was performed as part of the Research Project with Heavy Ions at NIRS-HIMAC. This work was partially supported by the Japan Society for the Promotion of Science (JSPS) KAKENHI Grant Number 18H05967.</t>
  </si>
  <si>
    <t>10.1088/1361-6560/ab1ccf</t>
  </si>
  <si>
    <t>WOS:000469802000001</t>
  </si>
  <si>
    <t>Gurney-Champion, OJ; Collins, DJ; Wetscherek, A; Rata, M; Klaassen, R; van Laarhoven, HWM; Harrington, KJ; Oelfke, U; Orton, MR</t>
  </si>
  <si>
    <t>Gurney-Champion, Oliver J.; Collins, David J.; Wetscherek, Andreas; Rata, Mihaela; Klaassen, Remy; van Laarhoven, Hanneke W. M.; Harrington, Kevin J.; Oelfke, Uwe; Orton, Matthew R.</t>
  </si>
  <si>
    <t>Principal component analysis fosr fast and model-free denoising of multi b-value diffusion-weighted MR images</t>
  </si>
  <si>
    <t>diffusion-weighted MRI; denoising; intravoxel incoherent motion; principal component analysis; synthetic MRI; motion</t>
  </si>
  <si>
    <t>INTRAVOXEL INCOHERENT MOTION; WATER DIFFUSION; LIVER; PRECISION; IMPACT; BODY</t>
  </si>
  <si>
    <t>Despite the utility of tumour characterisation using quantitative parameter maps from multi-b-value diffusion-weighted MRI (DWI), clinicians often prefer the use of the image with highest diffusion-weighting (b-value), for instance for defining regions of interest (ROIs). However, these images are typically degraded by noise, as they do not utilize the information from the full acquisition. We present a principal component analysis (PCA) approach for model-free denoising of DWI data. PCA-denoising was compared to synthetic MRI, where a diffusion model is fitted for each voxel and a denoised image at a given b-value is generated from the model fit. A quantitative comparison of systematic and random errors was performed on data simulated using several diffusion models (mono-exponential, bi-exponential, stretched-exponential and kurtosis). A qualitative visual comparison was also performed for in vivo images in six healthy volunteers and three pancreatic cancer patients. In simulations, the reduction in random errors from PCA-denoising was substantial (up to 55%) and similar to synthetic MRI (up to 53%). Model-based synthetic MRI denoising resulted in substantial (up to 29% of signal) systematic errors, whereas PCA-denoising was able to denoise without introducing systematic errors (less than 2%). In vivo, the signal-to-noise ratio (SNR) and sharpness of PCA-denoised images were superior to synthetic MRI, resulting in clearer tumour boundaries. In the presence of motion, PCA-denoising did not cause image blurring, unlike image averaging or synthetic MRI. Multi-b-value MRI can be denoised model-free with our PCA-denoising strategy that reduces noise to a level similar to synthetic MRI, but without introducing systematic errors associated with the synthetic MRI method.</t>
  </si>
  <si>
    <t>[Gurney-Champion, Oliver J.; Wetscherek, Andreas; Oelfke, Uwe] Inst Canc Res, Joint Dept Phys, London, England; [Gurney-Champion, Oliver J.; Collins, David J.; Wetscherek, Andreas; Rata, Mihaela; Harrington, Kevin J.; Oelfke, Uwe; Orton, Matthew R.] Royal Marsden NHS Fdn Trust, London, England; [Collins, David J.; Rata, Mihaela; Orton, Matthew R.] Canc Res UK, Inst Canc Res, Canc Imaging Ctr, London, England; [Klaassen, Remy; van Laarhoven, Hanneke W. M.] Univ Amsterdam, Dept Med Oncol, Canc Ctr Amsterdam, Amsterdam UMC, Amsterdam, Netherlands; [Harrington, Kevin J.] Inst Canc Res, Targeted Therapy Team, London, England; [Klaassen, Remy] Univ Amsterdam, Lab Expt Oncol &amp; Radiobiol, Ctr Expt &amp; Mol Med, Canc Ctr Amsterdam,Amsterdam UMC, Amsterdam, Netherlands</t>
  </si>
  <si>
    <t>Royal Marsden NHS Foundation Trust; University of London; Institute of Cancer Research - UK; Royal Marsden NHS Foundation Trust; Cancer Research UK; University of London; Institute of Cancer Research - UK; Royal Marsden NHS Foundation Trust; University of Amsterdam; Vrije Universiteit Amsterdam; University of London; Institute of Cancer Research - UK; Royal Marsden NHS Foundation Trust; Vrije Universiteit Amsterdam; University of Amsterdam</t>
  </si>
  <si>
    <t>Gurney-Champion, OJ (通訊作者)， Inst Canc Res, Joint Dept Phys, London, England.;Gurney-Champion, OJ (通訊作者)， Royal Marsden NHS Fdn Trust, London, England.</t>
  </si>
  <si>
    <t>oliver.gurney-champion@icr.ac.uk</t>
  </si>
  <si>
    <t>; van Laarhoven, Hanneke/AAW-3464-2021; Harrington, Kevin/CAH-0578-2022; Gurney-Champion, Oliver/C-9838-2015</t>
  </si>
  <si>
    <t>Wetscherek, Andreas/0000-0003-4799-2193; van Laarhoven, Hanneke/0000-0003-3546-9709; Collins, David/0000-0001-8281-1496; van Laarhoven, H.W.M./0000-0003-1274-5643; Orton, Matthew R/0000-0002-0805-763X; Gurney-Champion, Oliver/0000-0003-1750-6617; Harrington, Kevin/0000-0002-6014-348X; Oelfke, Uwe/0000-0003-2309-0814; Rata, Mihaela/0000-0003-4999-8038</t>
  </si>
  <si>
    <t>Cancer Research UK Programme [C33589/A19727, C7224/A23275]; Dutch Cancer Society [UVA2013-5932]; CRUK; EPSRC; Department of Health [C1060/A10334, C1060/A16464]; NHS; NIHR Biomedical Research Centre at the Royal Marsden NHS Foundation Trust; Institute of Cancer Research; MRC; MRC [MC_EX_MR/M009068/1, MR/M009068/1] Funding Source: UKRI; Cancer Research UK [16464, 19727, 23275] Funding Source: researchfish; Medical Research Council [MC_EX_MR/M009068/1, MR/M009068/1] Funding Source: researchfish; National Institute for Health Research [NF-SI-0515-10101] Funding Source: researchfish; Versus Arthritis; Cancer Research UK [21993] Funding Source: researchfish</t>
  </si>
  <si>
    <t>Cancer Research UK Programme(Cancer Research UK); Dutch Cancer Society(KWF Kankerbestrijding); CRUK(Cancer Research UK); EPSRC(UK Research &amp; Innovation (UKRI)Engineering &amp; Physical Sciences Research Council (EPSRC)); Department of Health; NHS; NIHR Biomedical Research Centre at the Royal Marsden NHS Foundation Trust(Royal Society of New ZealandMarsden Fund (NZ)); Institute of Cancer Research; MRC(UK Research &amp; Innovation (UKRI)Medical Research Council UK (MRC)); MRC(UK Research &amp; Innovation (UKRI)Medical Research Council UK (MRC)); Cancer Research UK(Cancer Research UK); Medical Research Council(UK Research &amp; Innovation (UKRI)Medical Research Council UK (MRC)); National Institute for Health Research(National Institutes of Health Research (NIHR)); Versus Arthritis; Cancer Research UK(Versus ArthritisCancer Research UK)</t>
  </si>
  <si>
    <t>This work was supported by Cancer Research UK Programme Grants C33589/A19727 and C7224/A23275 and the Dutch Cancer Society (UVA2013-5932). CRUK and EPSRC support to the Cancer Imaging Centre at ICR and RMH in association with MRC and Department of Health C1060/A10334, C1060/A16464 and NHS funding to the National Institute for Health Research (NIHR) Biomedical Research Centre and the Clinical Research Facility in Imaging. This report represents independent research funded partially by the NIHR Biomedical Research Centre at the Royal Marsden NHS Foundation Trust and the Institute of Cancer Research. The views expressed in this publication are those of the author(s) and not necessarily those of the NHS, the National Institute for Health Research or the Department of Health.</t>
  </si>
  <si>
    <t>10.1088/1361-6560/ab1786</t>
  </si>
  <si>
    <t>HY7MY</t>
  </si>
  <si>
    <t>WOS:000468321300001</t>
  </si>
  <si>
    <t>Nguyen, MP; Goorden, MC; Kamphuis, C; Beekman, FJ</t>
  </si>
  <si>
    <t>Minh Phuong Nguyen; Goorden, Marlies C.; Kamphuis, Chris; Beekman, Freek J.</t>
  </si>
  <si>
    <t>Evaluation of pinhole collimator materials for micron-resolution ex vivo SPECT</t>
  </si>
  <si>
    <t>collimator material; autoradiography; micron-resolution; Monte Carlo simulation; pinhole SPECT</t>
  </si>
  <si>
    <t>EFFECTIVE DIAMETER; IMAGING-SYSTEM; GAMMA-CAMERA; SENSITIVITY; DESIGN; GATE; TOMOGRAPHY; SCATTER; PET</t>
  </si>
  <si>
    <t>Pinhole collimation is widely recognized for offering superior resolution-sensitivity trade-off in SPECT imaging of small subjects. The newly developed EXIRAD-3D autoradiography technique (MILabs B.V.) based on a highly focusing multi-pinhole collimator achieves micron-resolution SPECT for cryo-cooled tissue samples. For such high resolutions, the choice of pinhole material may have a significant impact on images. Therefore, this paper aims to compare the performance of EXIRAD-3D with lead, tungsten, gold, and depleted uranium pinhole collimators designed such that they achieve equal sensitivities. Performance in terms of resolution is characterized for several radioisotopes, namely In-111 (171 keV and 245 keV), Tc-99m (140 keV), Tl-201 (71 keV), and I-125 (27 keV). Using Monte Carlo simulation, point spread functions were generated and their profiles as well as their full-width-at-half-maximum and full-width-at-tenth-maximum were determined and evaluated for different materials and isotopes. Additionally, simulated reconstructions of a Derenzo resolution phantom, validated with experimental data, were judged by assessment of the resolvable rods as well as a contrast-to-noise ratio (CNR) analysis. Our results indicate that using materials with higher photon-stopping power yields images with better CNR for the studied isotopes with improvements ranging from 1.9% to 36.6%. Visual assessment on the reconstructed images suggests that for EXIRAD-3D, the tungsten collimator is generally a good choice for a wide range of SPECT isotopes. For relatively high-energy isotopes such as In-111, using gold inserts can be beneficial.</t>
  </si>
  <si>
    <t>[Minh Phuong Nguyen; Goorden, Marlies C.; Beekman, Freek J.] Delft Univ Technol, Sect Biomed Imaging, Delft, Netherlands; [Kamphuis, Chris; Beekman, Freek J.] MILabs BV, Utrecht, Netherlands; [Beekman, Freek J.] Univ Med Ctr, Brain Ctr Rudolf Magnus, Dept Translat Neurosci, Utrecht, Netherlands</t>
  </si>
  <si>
    <t>Delft University of Technology; Utrecht University; Utrecht University Medical Center</t>
  </si>
  <si>
    <t>Nguyen, MP (通訊作者)， Delft Univ Technol, Sect Biomed Imaging, Delft, Netherlands.</t>
  </si>
  <si>
    <t>m.p.nguyen@tudelft.nl</t>
  </si>
  <si>
    <t>Beekman, Freek/KFS-0858-2024</t>
  </si>
  <si>
    <t>10.1088/1361-6560/ab1618</t>
  </si>
  <si>
    <t>WOS:000468283500002</t>
  </si>
  <si>
    <t>Ji, X; Feng, M; Zhang, R; Chen, GH; Li, K</t>
  </si>
  <si>
    <t>Ji, Xu; Feng, Mang; Zhang, Ran; Chen, Guang-Hong; Li, Ke</t>
  </si>
  <si>
    <t>An experimental method to directly measure DQE(k) at k=0 for 2D x-ray imaging systems</t>
  </si>
  <si>
    <t>detective quantum efficiency; zero frequency DQE; NPS; x-ray detector; x-ray imaging; photon counting detector</t>
  </si>
  <si>
    <t>DETECTIVE QUANTUM EFFICIENCY; ACTIVE-MATRIX; SIGNAL</t>
  </si>
  <si>
    <t>The zero-frequency detective quantum efficiency (DQE), viz., DQE(0), is defined as the ratio between output and input squared signal-to-noise ratio of an imaging system. In 1963, R. Shaw applied Fourier analysis to generalize DQE(0) to the frequency-dependent DQE, i.e. DQE(k). Under conditions specified by Shaw, DQE(k) is the same as DQE(0) at k = 0. The experimental measurement of DQE(k) involves the measurement of system modulation transfer function (MTF) and noise power spectrum (NPS). Although the measurement of MTF is straightforward, the experimental measurements of NPS(k) encountered several challenges. As a result, some experimental methods may yield a nonphysical NPS value at k = 0, which makes the measured DQE(k)vertical bar(k= 0) deviate from the true zero-frequency DQE. This work presents new results from three aspects: 1) system drift is a significant error source when a large number of independent image acquisitions are involved in measuring NPS and DQE; 2) a cascaded systems analysis shows that the drift induces a global positive offset to the measured autocovariance function, and the offset is quantitatively related to the NPS error at k = 0; 3) based on the measured autocovariance data, drift-induced offset can be estimated, so that errors in the measured NPS(k)vertical bar(k=0) and DQE(k)vertical bar(k=0) can be corrected. Both numerical simulations with known ground truth for DQE(0) and experimental studies were performed to validate the proposed measurement method. The results demonstrated that the method mitigates the undesirable influence of system drift in DQE(k)vertical bar(k=0) and DQE(0), allowing the measured values consistent with the classical definition of zero-frequency DQE.</t>
  </si>
  <si>
    <t>[Ji, Xu; Feng, Mang; Zhang, Ran; Chen, Guang-Hong; Li, Ke] Univ Wisconsin, Dept Med Phys, 1111 Highland Ave, Madison, WI 53705 USA; [Chen, Guang-Hong; Li, Ke] Univ Wisconsin, Dept Radiol, 600 Highland Ave, Madison, WI 53792 USA</t>
  </si>
  <si>
    <t>Li, Ke/0000-0002-2672-2672</t>
  </si>
  <si>
    <t>National Institute of Biomedical Imaging and Bioengineering of the National Institutes of Health [R01EB020521]; Office of the Assistant Secretary of Defense for Health Affairs, through the Breast Cancer Research Program [W81XWH-16-1-0031]</t>
  </si>
  <si>
    <t>National Institute of Biomedical Imaging and Bioengineering of the National Institutes of Health(United States Department of Health &amp; Human ServicesNational Institutes of Health (NIH) - USANIH National Institute of Biomedical Imaging &amp; Bioengineering (NIBIB)); Office of the Assistant Secretary of Defense for Health Affairs, through the Breast Cancer Research Program</t>
  </si>
  <si>
    <t>This work was partially supported by the National Institute of Biomedical Imaging and Bioengineering of the National Institutes of Health under Award Number R01EB020521, and by the Office of the Assistant Secretary of Defense for Health Affairs, through the Breast Cancer Research Program, under Award No. W81XWH-16-1-0031. The authors would like to thank Kevin Treb for his editorial assistance, as well as the anonymous reviewers for their suggestions to improve the quality of this paper.</t>
  </si>
  <si>
    <t>10.1088/1361-6560/ab10a2</t>
  </si>
  <si>
    <t>WOS:000463540400001</t>
  </si>
  <si>
    <t>Tan, MX; Mariapun, S; Yip, CH; Ng, KH; Teo, SH</t>
  </si>
  <si>
    <t>Tan, Maxine; Mariapun, Shivaani; Yip, Cheng Har; Ng, Kwan Hoong; Teo, Soo-Hwang</t>
  </si>
  <si>
    <t>A novel method of determining breast cancer risk using parenchymal textural analysis of mammography images on an Asian cohort</t>
  </si>
  <si>
    <t>breast cancer; parenchymal texture analysis; mammographic density; risk prediction; digital mammography</t>
  </si>
  <si>
    <t>DENSITY; FEATURES; REDUCTION; MODEL; BIAS</t>
  </si>
  <si>
    <t>Historically, breast cancer risk prediction models are based on mammographic density measures, which are dichotomous in nature and generally categorize each voxel or area of the breast parenchyma as 'dense' or 'not dense'. Using these conventional methods, the structural patterns or textural components of the breast tissue elements are not considered or ignored entirely. This study presents a novel method to predict breast cancer risk that combines new texture and mammographic density based image features. We performed a comprehensive study of the correlation of 944 new and conventional texture and mammographic density features with breast cancer risk on a cohort of Asian women. We studied 250 breast cancer cases and 250 controls matched at full-field digital mammography (FFDM) status for age, BMI and ethnicity. Stepwise regression analysis identified relevant features to be included in a linear discriminant analysis (LDA) classifier model, trained and tested using a leave-one-out based cross-validation method. The area under the receiver operating characteristic (AUC) and adjusted odds ratios (ORs) were used as the two performance assessment indices in our study. For the LDA trained classifier, the adjusted OR was 6.15 (95% confidence interval: 3.55-10.64) and for Volpara volumetric breast density, 1.10 (0.67-1.81). The AUC for the LDA trained classifier was 0.68 (0.64-0.73), compared to 0.52 (0.47-0.57) for Volpara volumetric breast density (p &lt; 0.001). The regression analysis of OR values for the LDA classifier also showed a significant increase in slope (p &lt; 0.02). Mammographic texture features derived from digital mammograms are important quantitative measures for breast cancer risk assessment based models. Parenchymal texture analysis has an important role for stratifying breast cancer risk in women, which can be implemented to routine breast cancer screening strategies.</t>
  </si>
  <si>
    <t>[Tan, Maxine] Monash Univ Malaysia, Sch Engn, Elect &amp; Comp Syst Engn Discipline, Bandar Sunway 47500, Malaysia; [Tan, Maxine] Univ Oklahoma, Sch Elect &amp; Comp Engn, Norman, OK 73019 USA; [Mariapun, Shivaani; Yip, Cheng Har; Teo, Soo-Hwang] Subang Jaya Med Ctr, Canc Res Malaysia, Selangor 47500, Subang Jaya, Malaysia; [Ng, Kwan Hoong] Univ Malaya, Dept Biomed Imaging, Kuala Lumpur 50603, Malaysia</t>
  </si>
  <si>
    <t>Monash University; Monash University Malaysia; University of Oklahoma System; University of Oklahoma - Norman; Universiti Malaya</t>
  </si>
  <si>
    <t>Tan, MX (通訊作者)， Monash Univ Malaysia, Sch Engn, Elect &amp; Comp Syst Engn Discipline, Bandar Sunway 47500, Malaysia.;Tan, MX (通訊作者)， Univ Oklahoma, Sch Elect &amp; Comp Engn, Norman, OK 73019 USA.</t>
  </si>
  <si>
    <t>Maxine.Tan@monash.edu; soohwang.teo@cancerresearch.my</t>
  </si>
  <si>
    <t>; Yip, Cheng-Har/B-1909-2010; Teo, Soo-hwang/H-2353-2014</t>
  </si>
  <si>
    <t>Teo, Soo/0000-0002-0444-590X;</t>
  </si>
  <si>
    <t>Estee Lauder Group of Companies; Sime Darby Ladies Professional Golf Tournament in Malaysia</t>
  </si>
  <si>
    <t>We thank Nadia Rajaram for helpful discussions, the radiologists and staff of the Health Screening Services of Subang Jaya Medical Centre for assistance with image acquisition and acknowledge Volpara for the usage of their software, VolparaDensity on the cases and controls in our dataset. We also thank Mikael Eriksson from the Karolinska Institute for providing the Volpara readings of 46 out of 250 controls in the dataset. Ethics approval for the study was through The Independent Ethics Committee, Subang Jaya Medical Centre, Subang Jaya (now known as the Independent Ethics Committee Ramsay Sime Darby Healthcare) with the approval number of EC201109.4. The MyBrCa study was established with charitable funding from the Estee Lauder Group of Companies, and other donors of Cancer Research Malaysia. The MyMammo study was funded by charitable funding from the Sime Darby Ladies Professional Golf Tournament in Malaysia.</t>
  </si>
  <si>
    <t>10.1088/1361-6560/aafabd</t>
  </si>
  <si>
    <t>WOS:000457439100001</t>
  </si>
  <si>
    <t>Cevik, M; Aleman, D; Lee, Y; Berdyshev, A; Nordström, H; Riad, S; Sahgal, A; Ruschin, M</t>
  </si>
  <si>
    <t>Cevik, M.; Aleman, D.; Lee, Y.; Berdyshev, A.; Nordstrom, H.; Riad, S.; Sahgal, A.; Ruschin, M.</t>
  </si>
  <si>
    <t>Simultaneous optimization of isocenter locations and sector duration in radiosurgery</t>
  </si>
  <si>
    <t>radiosurgery; inverse planning; optimization; Benders decomposition</t>
  </si>
  <si>
    <t>STEREOTACTIC RADIOSURGERY</t>
  </si>
  <si>
    <t>Stereotactic radiosurgery is an effective technique to treat brain tumors for which several inverse planning methods may be appropriate. We propose an integer programming model to simultaneous sector duration and isocenter optimization (SURD) problem for Leksell Gamma Knife (R) Icon (TM) (Elekta, Stockholm, Sweden) to tractably incorporate treatment time. We devise a Benders decomposition scheme to solve the SDIO problem to optimality. The performances of our approaches are assessed using anonymized data from eight previously treated cases, and obtained treatment plans are compared against each other and against the clinical plans. The plans generated by our SDIO model all meet or exceed clinical guidelines while demonstrating high conformity.</t>
  </si>
  <si>
    <t>[Cevik, M.; Ruschin, M.] Ryerson Univ, Dept Mech &amp; Ind Engn, Toronto, ON, Canada; [Lee, Y.; Sahgal, A.; Ruschin, M.] Univ Toronto, Sunnybrook Hlth Sci Ctr, Dept Radiat Oncol, Toronto, ON, Canada; [Aleman, D.; Berdyshev, A.] Univ Toronto, Dept Mech &amp; Ind Engn, Toronto, ON, Canada; [Nordstrom, H.; Riad, S.] Elekta Instrument AB, Stockholm, Sweden</t>
  </si>
  <si>
    <t>Toronto Metropolitan University; University of Toronto; Sunnybrook Research Institute; Sunnybrook Health Science Center; University of Toronto; Elekta</t>
  </si>
  <si>
    <t>Ruschin, M (通訊作者)， Ryerson Univ, Dept Mech &amp; Ind Engn, Toronto, ON, Canada.;Ruschin, M (通訊作者)， Univ Toronto, Sunnybrook Hlth Sci Ctr, Dept Radiat Oncol, Toronto, ON, Canada.</t>
  </si>
  <si>
    <t>mark.ruschin@sunnybrook.ca</t>
  </si>
  <si>
    <t>; Berdyshev, Azamat/HCI-1396-2022</t>
  </si>
  <si>
    <t>Riad, Stella/0000-0003-2807-1524; Lee, Young/0000-0002-9868-1881; Berdyshev, Azamat/0000-0003-0574-1580</t>
  </si>
  <si>
    <t>10.1088/1361-6560/aaf7ce</t>
  </si>
  <si>
    <t>WOS:000455823300007</t>
  </si>
  <si>
    <t>Ma, ZQ; Zhou, S; Wu, X; Zhang, HY; Yan, WJ; Sun, SH; Zhou, JL</t>
  </si>
  <si>
    <t>Ma, Zongqing; Zhou, Shuang; Wu, Xi; Zhang, Heye; Yan, Weijie; Sun, Shanhui; Zhou, Jiliu</t>
  </si>
  <si>
    <t>Nasopharyngeal carcinoma segmentation based on enhanced convolutional neural networks using multi-modal metric learning</t>
  </si>
  <si>
    <t>convolutional neural networks; multi modality segmentation; multi modal metric learning; nasopharyngeal carcinoma</t>
  </si>
  <si>
    <t>BRAIN-TUMOR SEGMENTATION; VOLUME DELINEATION; IMAGE SEGMENTATION; HEAD; CT; RADIOTHERAPY; IMPACT</t>
  </si>
  <si>
    <t>Multi-modality examinations have been extensively applied in current clinical cancer management. Leveraging multi-modality medical images can be highly beneficial for automated tumor segmentation as they provide complementary information that could make the segmentation of tumors more accurate. This paper investigates CNN-based methods for automated nasopharyngeal carcinoma (NPC) segmentation using computed tomography (CT) and magnetic resonance (MR) images. Specially, a multi-modality convolutional neural network (M-CNN) is designed to jointly learn a multi-modal similarity metric and segmentation of paired CT-MR images. By jointly optimizing the similarity learning error and the segmentation error, the feature learning processes of both modalities are mutually guided. In doing so, the segmentation sub-networks are able to take advantage of the other modality's information. Considering that each modality possesses certain distinctive characteristics, we combine the higher-layer features extracted by a single-modality CNN (S-CNN) and M-CNN to form a combined CNN (C-CNN) for each modality, which is able to further utilize the complementary information of different modalities and improve the segmentation performance. The proposed M-CNN and C-CNN were evaluated on 90 CT-MR images of NPC patients. Experimental results demonstrate that our methods achieve improved segmentation performance compared to their counterparts without multi-modal information fusion and the existing CNN-based multi-modality segmentation methods.</t>
  </si>
  <si>
    <t>[Ma, Zongqing; Zhou, Jiliu] Sichuan Univ, Coll Comp Sci, Chengdu 610065, Sichuan, Peoples R China; [Zhou, Shuang] Chengdu Univ Informat Technol, Sch Comp Sci, Chengdu 610225, Sichuan, Peoples R China; [Wu, Xi; Zhang, Heye; Zhou, Jiliu] Sun Yat Sen Univ, Sch Biomed Engn, Shenzhen 518055, Peoples R China; [Yan, Weijie] Sichuan Univ, West China Hosp, Dept Radiol, Chengdu 610041, Sichuan, Peoples R China; [Sun, Shanhui] CuraCloud Corp, Seattle, WA 98104 USA</t>
  </si>
  <si>
    <t>Sichuan University; Chengdu University of Information Technology; Sun Yat Sen University; Sichuan University</t>
  </si>
  <si>
    <t>Sun, SH (通訊作者)， CuraCloud Corp, Seattle, WA 98104 USA.</t>
  </si>
  <si>
    <t>zhoujiliu@cuit.edu.cn</t>
  </si>
  <si>
    <t>Zhang, Heye/JPK-4651-2023; Li, Denghui/KYR-7329-2024</t>
  </si>
  <si>
    <t>National Natural Science Foundation of China [NSFC61701324]</t>
  </si>
  <si>
    <t>This work was support in part by the National Natural Science Foundation of China (grant no. NSFC61701324).</t>
  </si>
  <si>
    <t>10.1088/1361-6560/aaf5da</t>
  </si>
  <si>
    <t>WOS:000455823300002</t>
  </si>
  <si>
    <t>Osinga-Blättermann, JM; Krauss, A</t>
  </si>
  <si>
    <t>Osinga-Blaettermann, J-M; Krauss, A.</t>
  </si>
  <si>
    <t>Determination of kQ factors for cylindrical and plane-parallel ionization chambers in a scanned carbon ion beam by means of cross calibration</t>
  </si>
  <si>
    <t>k(Q) factor; carbon ions; cross calibration; absorbed dose to water</t>
  </si>
  <si>
    <t>RECOMBINATION CORRECTION</t>
  </si>
  <si>
    <t>The accuracy in the dosimetry of therapeutically used carbon ion beams is predominantly affected by the large uncertainty of the so-called k(Q) factor of the ionization chamber used for the measurements. Due to a lack of experimental data, the k(Q) factor of ionization chambers in carbon ion beams is still derived by calculation, and, for instance, a standard uncertainty of about 3% is given for k(Q) factors tabulated in the TRS-398 dosimetric protocol. Recently, k(Q) factors for two Farmer-type ionization chambers have been determined experimentally in the entrance channel of 429 MeV/u carbon ions, achieving about a threefold reduction of the uncertainty. To further improve the data basis on experimental k(Q) factors with low uncertainties, k(Q) factors for the same irradiation condition have now been determined for eight different cylindrical ionization chambers (NE2571, FC65-P, FC23-C, CC25, CC13, TM30010, TM30011, TM30012) and three different plane-parallel ionization chambers (PPC-40, PPC-05, TM34001) by means of a cross-calibration procedure. Generally, standard measurement uncertainties of 1.1% could be achieved. Deviations of less than 1.2% were found between the experimental and the tabulated k(Q) values. Moreover, the consideration of the experimental values with their smaller uncertainties in updated versions of the dosimetric protocols might enable a substantial reduction of the uncertainties in the dosimetry of carbon ion beams.</t>
  </si>
  <si>
    <t>[Osinga-Blaettermann, J-M; Krauss, A.] Phys Tech Bundesanstalt, Dept Dosimetry Radiat Therapy &amp; Diagnost Radiol, Bundesallee 100, D-38116 Braunschweig, Germany; [Osinga-Blaettermann, J-M] German Canc Res Ctr, Div Med Phys Radiat Oncol, INF 280, D-69120 Heidelberg, Germany</t>
  </si>
  <si>
    <t>Physikalisch-Technische Bundesanstalt (PTB); Helmholtz Association; German Cancer Research Center (DKFZ)</t>
  </si>
  <si>
    <t>Krauss, A (通訊作者)， Phys Tech Bundesanstalt, Dept Dosimetry Radiat Therapy &amp; Diagnost Radiol, Bundesallee 100, D-38116 Braunschweig, Germany.</t>
  </si>
  <si>
    <t>achim.krauss@ptb.de</t>
  </si>
  <si>
    <t>10.1088/1361-6560/aaf5ac</t>
  </si>
  <si>
    <t>WOS:000454239200002</t>
  </si>
  <si>
    <t>Spickermann, H; Wegener, S; Sauer, OA</t>
  </si>
  <si>
    <t>Spickermann, Heidi; Wegener, Sonja; Sauer, Otto A.</t>
  </si>
  <si>
    <t>Evaluation of the reconstructed dose from the three-dimensional dose module of a helical diode array: factors of influence and error detection</t>
  </si>
  <si>
    <t>VMAT; 3DVH; quality assurance; DVH</t>
  </si>
  <si>
    <t>QUALITY-ASSURANCE; FILM DOSIMETRY; VALIDATION; VERIFICATION</t>
  </si>
  <si>
    <t>The 3D-dose module (3DVH) of the ArcCH ECK-phantom reconstructs the dose distribution in the phantom volume and transfers it to the patient geometry. Our aim was to evaluate the 3DVH-reconstructed dose systematically building up from simple to complex cases. Therefore, the influence of different field sizes without and with blocking the isocenter was tested. The dose distributions of different radiation techniques, error-free and error-induced VMAT-plans were verified by measuring with films and other detectors in the phantom. It was checked how the inclusion of the dose measured separately in the ArcCHECK-isocenter affects the reconstruction. Thus it was also investigated which detector should be used for the dosimetry in the isocenter. Without including the isocentrically measured dose, the reconstruction for the smallest field (2 x 2 cm(2)) was 5% (6 MV) and 3.7% (10 MV) higher than measured with an ionization chamber. With increasing field size, the deviation decreased. For fields with blocked isocenters, the reconstructed dose was between -10.6% and -24% lower than determined with a micro Diamond. Measurements with the Semiflex of the spinal plan resulted in higher doses than calculated by the treatment planning system (TPS) and measured with the film and the other detectors. Through the inclusion of the isocentric dose in the reconstruction its accordance with the film increased mostly. With exception of an error-induced head and neck plan, the induced errors in the reconstructed dose volume histogram became visible, but were underestimated. With the 3DVH-algorithm not every induced-error was detected. The 3DVH underestimated the dose in blocked areas. To protect organs at risk (OAR), these are often blocked. Consequently, there is a risk that a clinical decision is based on a 3DVH that underestimated the dose for the OAR. We recommend including the isocentric dose in the reconstruction. The detector used for the isocentric measurements should be carefully chosen.</t>
  </si>
  <si>
    <t>[Spickermann, Heidi; Wegener, Sonja; Sauer, Otto A.] Univ Wurzburg, Radiat Oncol, Josef Schneider Str 11, D-97080 Wurzburg, Germany; [Spickermann, Heidi] TU Ilmenau, Inst Biomed Engn &amp; Informat, Gustav Kirchhoff Str 2, D-98693 Ilmenau, Germany; [Spickermann, Heidi] Krankenhaus Buchholz, Strahlentherapie, Steinbecker Str 44, D-21244 Buchholz, Germany</t>
  </si>
  <si>
    <t>University of Wurzburg; Technische Universitat Ilmenau</t>
  </si>
  <si>
    <t>Wegener, S (通訊作者)， Univ Wurzburg, Radiat Oncol, Josef Schneider Str 11, D-97080 Wurzburg, Germany.</t>
  </si>
  <si>
    <t>Wegener_S1@ukw.de</t>
  </si>
  <si>
    <t>Sauer, Otto/I-5798-2015</t>
  </si>
  <si>
    <t>Sauer, Otto/0000-0002-4418-9779; Wegener, Sonja/0000-0002-3024-7069</t>
  </si>
  <si>
    <t>DFG [SA 481/10-1]</t>
  </si>
  <si>
    <t>DFG(German Research Foundation (DFG))</t>
  </si>
  <si>
    <t>This work was supported by DFG grant SA 481/10-1.</t>
  </si>
  <si>
    <t>10.1088/1361-6560/aaf485</t>
  </si>
  <si>
    <t>WOS:000454239200003</t>
  </si>
  <si>
    <t>Rehman, MU; Erhart, K; Kielbasa, J; Meeks, SL; Li, ZQ; Willoughby, T; Ramakrishna, N; Stephenson, K; Rahman, TS; Kelly, P; Zeidan, O</t>
  </si>
  <si>
    <t>Rehman, Mahboob Ur; Erhart, Kevin; Kielbasa, Jerrold; Meeks, Sanford L.; Li, Zhiqiu; Willoughby, Twyla; Ramakrishna, Naren; Stephenson, Ken; Rahman, Talat S.; Kelly, Patrick; Zeidan, Omar</t>
  </si>
  <si>
    <t>An optimized approach for robust spot placement in proton pencil beam scanning</t>
  </si>
  <si>
    <t>proton radiation therapy; proton pencil beam scanning; field shaping and spot placement; optimization in PBS</t>
  </si>
  <si>
    <t>Maintaining a sharp lateral dose falloff in pencil beam scanning (PBS) proton therapy is crucial for sparing organs at risk (OARs), especially when they are in close proximity to the target volume. The most common approach to improve lateral dose falloff is through the use of physical beam shaping devices, such as brass apertures or collimator based systems. A recently proposed approach focuses on proton beam spot placements, moving away from traditional grid-based placements to concentric-contours based schemes. This improves lateral dose falloff in two ways: (1) by better conforming all spots to the tumor boundary and (2) allowing for 'edge enhancement', where boundary spots deliver higher fluence than more central spots, thereby creating a steeper lateral dose falloff. However, these benefits come at the expense of maintaining uniformity of spot distribution inside the target volume. In this work we have developed a new optimized spot placement scheme that provides robust spot distributions inside the target. This approach achieves the boundary conformity of a concentric-contours based approach and uses a fast-iterative method to distribute the interior spots in a highly uniform fashion in an attempt to improve both the lateral dose falloff and uniformity. Furthermore, we quantified the impact of this new approach through direct comparison with grid, contour, and hybrid spot placements schemes, showing improvements for this new approach. The results were validated in homogeneous medium for two different target shapes having concave and convex geometry.</t>
  </si>
  <si>
    <t>[Rehman, Mahboob Ur; Rahman, Talat S.] Univ Cent Florida, Orlando, FL 32816 USA; [Erhart, Kevin] Decimal LLC, Sanford, FL USA; [Kielbasa, Jerrold; Meeks, Sanford L.; Li, Zhiqiu; Willoughby, Twyla; Ramakrishna, Naren; Kelly, Patrick; Zeidan, Omar] Orlando Hlth UF Hlth Canc Ctr, Orlando, FL USA; [Stephenson, Ken] Univ Tennessee, Knoxville, TN 37996 USA</t>
  </si>
  <si>
    <t>State University System of Florida; University of Central Florida; University of Tennessee System; University of Tennessee Knoxville</t>
  </si>
  <si>
    <t>Rehman, MU (通訊作者)， Univ Cent Florida, Orlando, FL 32816 USA.</t>
  </si>
  <si>
    <t>mrehman@knights.ucf.edu; omar.zeidan@orlandohealth.com</t>
  </si>
  <si>
    <t>Meeks, Sanford/0000-0002-9707-6874</t>
  </si>
  <si>
    <t>.decimal, LLC, Sanford, Florida, United States of America</t>
  </si>
  <si>
    <t>This project is partially funded by.decimal, LLC, Sanford, Florida, United States of America.</t>
  </si>
  <si>
    <t>10.1088/1361-6560/ab4e78</t>
  </si>
  <si>
    <t>WOS:000518765200006</t>
  </si>
  <si>
    <t>Zhang, CH; Sang, ZR; Wang, XH; Zhang, XM; Yang, YF</t>
  </si>
  <si>
    <t>Zhang, Chunhui; Sang, Ziru; Wang, Xiaohui; Zhang, Xianming; Yang, Yongfeng</t>
  </si>
  <si>
    <t>The effects of inter-crystal scattering events on the performance of PET detectors</t>
  </si>
  <si>
    <t>PET; Monte Carlo simulation; inter-crystal scattering; spatial resolution; sensitivity</t>
  </si>
  <si>
    <t>BAYESIAN IMAGE-RECONSTRUCTION; TRIPLE COINCIDENCES; RESOLUTION; RECOVERY; SYSTEM</t>
  </si>
  <si>
    <t>The probability of inter-crystal scattering (ICS) events for 511 keV gamma rays in all current scintillation crystals is high and the ICS events degrade the spatial resolution of PET scanners. In this work, Monte Carlo simulations were performed to study the effects of ICS events on the sensitivity and spatial resolution of PET detectors. LaBr3, LYSO, and PWO that represent scintillation crystals of low, medium and high density, respectively, were used. For a point source placed in the middle of two scintillation detectors of 50 x 50 x 20 mm(3) and a lower energy threshold (LET) of 350 keV, the probabilities that at least one gamma ray undergoes ICS are 94%, 84% and 76% for LaBr3, LYSO, and PWO, respectively. The ICS events still provide useful spatial information. The full width at half maximum (FWHM), the full width at tenth maximum (FWTM) and the mean absolute error (MAE) of the curve of the mispositioning of a point source caused by ICS events are 0.45, 3.0 and 0.9 mm if the most popular PET scintillator LYSO is used. The MAE is smaller than the spatial resolution of most current PET scanners. The effect of ICS increases as the detector LET increases, scintillator density decreases, and crystal size decreases. The intrinsic spatial resolutions of a pair of LYSO detectors were calculated using curves of the coincidence counts between one column of the crystals in the two detectors and the sum of the coincidence counts between two opposite crystals of the columns in the two detectors that are in line with the point source changing with the source positions. The latter method removes almost all of ICS events. The FWHM (FWTM) intrinsic spatial resolutions obtained by the two methods are 0.40 (2.0) mm and 0.33 (0.8) mm if the crystal size is 0.5 mm, and are 0.8 (3.0) and 0.68 (1.5) mm if the crystal size is 1.0 mm. ICS events have much bigger contributions to the FWTM rather than the FWHM of the intrinsic spatial resolution of PET detectors. The spatial resolution of a PET scanner can still be improved by decreasing the crystal size to as small as 0.5 mm.</t>
  </si>
  <si>
    <t>[Zhang, Chunhui; Sang, Ziru; Wang, Xiaohui; Zhang, Xianming; Yang, Yongfeng] Chinese Acad Sci, Lauterbur Res Ctr Biomed Imaging, Shenzhen Inst Adv Technol, Shenzhen 518055, Guangdong, Peoples R China</t>
  </si>
  <si>
    <t>Yang, YF (通訊作者)， Chinese Acad Sci, Lauterbur Res Ctr Biomed Imaging, Shenzhen Inst Adv Technol, Shenzhen 518055, Guangdong, Peoples R China.</t>
  </si>
  <si>
    <t>Wang, Xiaohui/B-8126-2011; Yang, Yongfeng/I-7680-2016; Zhang, Xianming/KFB-0629-2024</t>
  </si>
  <si>
    <t>Zhang, Chunhui/0000-0002-8589-0158;</t>
  </si>
  <si>
    <t>10.1088/1361-6560/ab44f4</t>
  </si>
  <si>
    <t>WOS:000500247900004</t>
  </si>
  <si>
    <t>Harvey, EC; Feng, M; Ji, X; Zhang, R; Li, YS; Chen, GH; Li, K</t>
  </si>
  <si>
    <t>Harvey, Evan Cary; Feng, Mang; Ji, Xu; Zhang, Ran; Li, Yinsheng; Chen, Guang-Hong; Li, Ke</t>
  </si>
  <si>
    <t>Impacts of photon counting CT to maximum intensity projection (MIP) images of cerebral CT angiography: theoretical and experimental studies</t>
  </si>
  <si>
    <t>photon counting CT; maximum intensity projection; CT angiography; autocovariance; partial volume effect</t>
  </si>
  <si>
    <t>COMPUTED-TOMOGRAPHY; SPECTRUM</t>
  </si>
  <si>
    <t>While CTA is an established clinical gold standard for imaging large cerebral arteries and veins, an important challenge that currently remains for CTA is its limited performance in imaging small perforating arteries with diameters below 0.5 mm. The purpose of this work was to theoretically and experimentally study the potential benefits of using photon counting detector (PCD)-based CT (PCCT) to improve the performance of CTA in imaging these small arteries. In particular, the study focused on an important component of the CTA image package known as the maximum intensity projection (MIP) image. To help understand how the physical properties of a detector quantitatively influence the MIP image quality, a theoretical model on the statistical properties of MIP images was developed. After validating this model, it was used to explore the individual and joint contribution of the following detector properties to the MIP signal-to-noise ratio (SNR): inter-slice noise covariance, spatial resolution along the z direction, and native pixel pitch along z. The model demonstrated that superior slice sensitivity, reduced inter-slice noise correlation, and smaller native pixel pitch along z provided by PCDs lead to improved vessel SNR in MIP images. Finally, experiments were performed by scanning an anthropomorphic cerebral angiographic phantom using a benchtop PCCT system and a commercial MDCT system. The experimental MIP results consistently demonstrated that compared with MDCT, PCCT provides superior vessel conspicuity and reduced artifactual stenosis.</t>
  </si>
  <si>
    <t>[Harvey, Evan Cary; Feng, Mang; Ji, Xu; Zhang, Ran; Li, Yinsheng; Chen, Guang-Hong; Li, Ke] Univ Wisconsin, Dept Med Phys, 1111 Highland Ave, Madison, WI 53705 USA; [Chen, Guang-Hong; Li, Ke] Univ Wisconsin, Dept Radiol, 600 Highland Ave, Madison, WI 53792 USA</t>
  </si>
  <si>
    <t>Li, Yinsheng/AAW-3650-2021; Zhang, Ran/ABH-4757-2020; Ji, Xu/AAM-1429-2021; Feng, Mang/ABF-7529-2021</t>
  </si>
  <si>
    <t>Li, Ke/0000-0002-2672-2672; Harvey, Evan/0000-0002-3184-7461;</t>
  </si>
  <si>
    <t>This work was partially supported by the National Institute of Biomedical Imaging and Bioengineering of the National Institutes of Health under Award Number U01EB021183.</t>
  </si>
  <si>
    <t>10.1088/1361-6560/ab32fe</t>
  </si>
  <si>
    <t>WOS:000487116400004</t>
  </si>
  <si>
    <t>Zuo, Y; Sarkar, S; Corwin, MT; Olson, K; Badawi, RD; Wang, GB</t>
  </si>
  <si>
    <t>Zuo, Yang; Sarkar, Souvik; Corwin, Michael T.; Olson, Kristin; Badawi, Ramsey D.; Wang, Guobao</t>
  </si>
  <si>
    <t>Structural and practical identifiability of dual-input kinetic modeling in dynamic PET of liver inflammation</t>
  </si>
  <si>
    <t>liver inflammation; dynamic PEI; dual-input kinetic modeling; structural identifiability; practical identifiability</t>
  </si>
  <si>
    <t>FDG UPTAKE; QUANTIFICATION; STEATOSIS; F-18-FDG; BRAIN; NAFLD; NASH</t>
  </si>
  <si>
    <t>Dynamic F-18-FDG PET with tracer kinetic modeling has the potential to noninvasively evaluate human liver inflammation using the FDG blood-to-tissue transport rate K-1. Accurate kinetic modeling of dynamic liver PET data and K-1 quantification requires the knowledge of dual-blood input function from the hepatic artery and portal vein. While the arterial input function can be derived from the aortic region on dynamic PET images, it is difficult to extract the portal vein input function accurately from PET images. The optimization-derived dual-input kinetic modeling approach has been proposed to overcome this problem by jointly estimating the portal vein input function and FDG tracer kinetics from time activity curve fitting. In this paper, we further characterize the model properties by analyzing the structural identifiability of the model parameters using the Laplace transform and practical identifiability using computer simulation based on fourteen patient datasets. The theoretical analysis has indicated that all the kinetic parameters of the dual-input kinetic model are structurally identifiable, though subject to local solutions. The computer simulation results have shown that FDG K-1 can be estimated reliably in the whole-liver region of interest with reasonable bias, standard deviation, and high correlation between estimated and original values, indicating of practical identifiability of K-1. The result has also demonstrated the correlation between K-1 and histological liver inflammation scores is reliable. FDG K-1 quantification by the optimization-derived dual-input kinetic model is promising for assessing liver inflammation.</t>
  </si>
  <si>
    <t>[Zuo, Yang; Corwin, Michael T.; Badawi, Ramsey D.; Wang, Guobao] Univ Calif Davis, Dept Radiol, Sacramento, CA 95817 USA; [Sarkar, Souvik] Univ Calif Davis, Dept Internal Med, Sacramento, CA 95817 USA; [Olson, Kristin] Univ Calif Davis, Dept Pathol &amp; Lab Med, Sacramento, CA 95817 USA</t>
  </si>
  <si>
    <t>Wang, GB (通訊作者)， Univ Calif Davis, Dept Radiol, Sacramento, CA 95817 USA.</t>
  </si>
  <si>
    <t>gbwang@ucdavis.edu</t>
  </si>
  <si>
    <t>Wang, Guobao/AFV-3418-2022; Wang, Guobao/F-1771-2010; Sarkar, Souvik/S-4746-2019</t>
  </si>
  <si>
    <t>Wang, Guobao/0000-0001-6526-1533; Zuo, Yang/0000-0001-7866-6644</t>
  </si>
  <si>
    <t>UC Davis Comprehensive Cancer Center under NIH Grant [P30 CA093373]; K12 Dean's Scholar Award</t>
  </si>
  <si>
    <t>UC Davis Comprehensive Cancer Center under NIH Grant; K12 Dean's Scholar Award</t>
  </si>
  <si>
    <t>The authors thank the anonymous reviewers for their helpful comments. The work of G Wang was supported in part by the UC Davis Comprehensive Cancer Center under NIH Grant P30 CA093373 and K12 Dean's Scholar Award.</t>
  </si>
  <si>
    <t>10.1088/1361-6560/ab1f29</t>
  </si>
  <si>
    <t>WOS:000484728400008</t>
  </si>
  <si>
    <t>Rabus, H; Gargioni, E; Li, WB; Nettelbeck, H; Villagrasa, C</t>
  </si>
  <si>
    <t>Rabus, Hans; Gargioni, Elisabetta; Li, Wei Bo; Nettelbeck, Heidi; Villagrasa, Carmen</t>
  </si>
  <si>
    <t>Determining dose enhancement factors of high-Z nanoparticles from simulations where lateral secondary particle disequilibrium exists</t>
  </si>
  <si>
    <t>dose enhancement; high-Z nanoparticles; gold nanoparticles; Monte Carlo simulation; secondary electron equilibrium</t>
  </si>
  <si>
    <t>MONTE-CARLO-SIMULATION; GOLD NANOPARTICLES; RADIATION; RADIOTHERAPY; BRACHYTHERAPY</t>
  </si>
  <si>
    <t>Nanoparticles (NPs) containing high atomic number (high-Z) materials have been shown to enhance the radiobiological effectiveness of ionizing radiation. This effect is often attributed to an enhancement of the absorbed dose in the vicinity of the NPs, based on Monte Carlo simulations that show a significant local enhancement of the energy deposition on the microscopic scale. The results of such simulations may be significantly biased and lead to a severe overestimation of the dose enhancement if the condition of secondary particle equilibrium is not met in the simulation setup. This current work shows an approach to estimate a 'realistic' dose enhancement from the results of such biased simulations which is based on published photon interaction data and provides a way for correcting biased results.</t>
  </si>
  <si>
    <t>[Rabus, Hans; Nettelbeck, Heidi] PTB, D-38116 Braunschweig, Germany; [Gargioni, Elisabetta] Univ Med Ctr Hamburg Eppendorf UKE, D-20251 Hamburg, Germany; [Li, Wei Bo] German Res Ctr Environm Hlth HMGU, D-85764 Neuherberg, Germany; [Villagrasa, Carmen] IRSN, F-92262 Fontenay Aux Roses, France</t>
  </si>
  <si>
    <t>Physikalisch-Technische Bundesanstalt (PTB); University of Hamburg; University Medical Center Hamburg-Eppendorf</t>
  </si>
  <si>
    <t>Rabus, H (通訊作者)， PTB, D-38116 Braunschweig, Germany.</t>
  </si>
  <si>
    <t>hans.rabus@ptb.de</t>
  </si>
  <si>
    <t>; Li, Wei/M-7475-2013; Gargioni, Elisabetta/N-3961-2013; Rabus, Hans/AFA-9041-2022</t>
  </si>
  <si>
    <t>Nettelbeck, Heidi/0009-0006-9374-2952; Gargioni, Elisabetta/0000-0002-8204-0609; Li, Wei Bo/0000-0002-9802-4400; Villagrasa, Carmen/0000-0002-1738-8019; Rabus, Hans/0000-0001-7700-9845</t>
  </si>
  <si>
    <t>10.1088/1361-6560/ab31d4</t>
  </si>
  <si>
    <t>WOS:000480292700011</t>
  </si>
  <si>
    <t>Choi, CH; Kim, JI; Park, JM</t>
  </si>
  <si>
    <t>Choi, Chang Heon; Kim, Jung-in; Park, Jong Min</t>
  </si>
  <si>
    <t>A 3D-printed patient-specific applicator guide for use in high-dose-rate interstitial brachytherapy for tongue cancer: a phantom study</t>
  </si>
  <si>
    <t>interstitial brachytherapy; high-dose-rate brachytherapy; 3D printer; tongue cancer</t>
  </si>
  <si>
    <t>RADIOTHERAPY</t>
  </si>
  <si>
    <t>A patient-specific applicator guide system (PSAG) for tongue-cancer high-dose-rate (HDR) interstitial brachytherapy (ISBT) was developed by utilizing a 3D printing technique. An effectiveness of the 3D-printed PSAG (3D-PSAG) was evaluated for HDR ISBT. Six patients with tongue cancer were retrospectively selected for this study. For each patient, a total of three virtual clinical target volumes (CTV) requiring the insertion of four catheters (CTV4), six catheters (CTV6), and eight catheters (CTV8) were defined. For each CTV, treatment plans were generated to deliver 45 Gy in nine fractions. The 3D-PSAG was fabricated using a 3D-printer and the patient's CT-images. The resulting 3D-PSAG took the form of a shell conforming to the patient's contours with tubes for catheter insertion. For each CTV, catheters were inserted into the phantom with and without the 3D-PSAG. After that, CT-images of the phantom with the inserted catheters were acquired. Differences between the planned positions and those of the actually inserted catheters were evaluated from the CT-images. Given the actual catheter insertion positions, the dose distributions were reconstructed and analyzed. The maximum positional errors with and without the 3D-PSAG were 0.2 mm and 4.5 mm, respectively. For CTV6, the D-90% values of the original plan, the reconstructed plan with the 3D-PSAG, and the reconstructed plan without the 3D-PSAG, were 48.8 +/- 1.7 Gy, 49.0 +/- 2.9 Gy, and 45.6 +/- 3.3 Gy, respectively. The D-1(cc) values for the mandible were 51.3 +/- 9.2 Gy, 61.6 +/- 8.3 Gy, and 81.1 +/- 16.7 Gy, respectively. The dose homogeneities in the CTVs into which the catheters had been inserted with the 3D-PSAG were always superior to those into which the catheters had been inserted without the 3D-PSAG. The present phantom study demonstrated the feasibility of more accurate interstitial tongue brachytherapy while simplifying the treatment process by utilizing the 3D-PSAG.</t>
  </si>
  <si>
    <t>[Choi, Chang Heon; Kim, Jung-in; Park, Jong Min] Seoul Natl Univ &amp; Hosp, Dept Radiat Oncol, Seoul, South Korea; [Choi, Chang Heon; Kim, Jung-in; Park, Jong Min] Seoul Natl Univ, Inst Radiat Med, Med Res Ctr, Seoul, South Korea; [Choi, Chang Heon; Kim, Jung-in; Park, Jong Min] Seoul Natl Univ, Biomed Res Inst, Coll Med, Seoul, South Korea; [Park, Jong Min] Adv Inst Convergence Technol, Inst Smart Syst, Robot Res Lab Extreme Environm, Suwon, South Korea</t>
  </si>
  <si>
    <t>Seoul National University (SNU); Seoul National University Hospital; Seoul National University (SNU); Seoul National University (SNU)</t>
  </si>
  <si>
    <t>Park, JM (通訊作者)， Seoul Natl Univ &amp; Hosp, Dept Radiat Oncol, Seoul, South Korea.;Park, JM (通訊作者)， Seoul Natl Univ, Inst Radiat Med, Med Res Ctr, Seoul, South Korea.;Park, JM (通訊作者)， Seoul Natl Univ, Biomed Res Inst, Coll Med, Seoul, South Korea.;Park, JM (通訊作者)， Adv Inst Convergence Technol, Inst Smart Syst, Robot Res Lab Extreme Environm, Suwon, South Korea.</t>
  </si>
  <si>
    <t>leodavinci@naver.com</t>
  </si>
  <si>
    <t>Park, Jong Min/HTR-0323-2023</t>
  </si>
  <si>
    <t>Park, Jong Min/0000-0003-3617-3870</t>
  </si>
  <si>
    <t>National Research Foundation of Korea (NRF) - Government of Korea (MSIP) [2017R1C1B1006636]</t>
  </si>
  <si>
    <t>National Research Foundation of Korea (NRF) - Government of Korea (MSIP)</t>
  </si>
  <si>
    <t>This work was supported by the National Research Foundation of Korea (NRF) grant funded by the Government of Korea (MSIP) (No. 2017R1C1B1006636).</t>
  </si>
  <si>
    <t>10.1088/1361-6560/ab277e</t>
  </si>
  <si>
    <t>WOS:000473698800002</t>
  </si>
  <si>
    <t>Shi, ZF; Xie, XW; Li, HY; Meng, QZ; Cong, WX; Wang, G</t>
  </si>
  <si>
    <t>Shi, Zaifeng; Xie, Xiangwei; Li, Hangyuan; Meng, Qingzhen; Cong, Wenxiang; Wang, Ge</t>
  </si>
  <si>
    <t>A Reconfigurable energy-resolving method for a layered edge-on detector</t>
  </si>
  <si>
    <t>spectral imaging; dynamic thresholding; energy depositing; layered energy-integrating detector</t>
  </si>
  <si>
    <t>SILICON-STRIP DETECTOR; COMPUTED-TOMOGRAPHY; RECONSTRUCTION; IONIZATION; RESOLUTION</t>
  </si>
  <si>
    <t>Currently, most of the x-ray spectral detectors can extract signals in a set number of energy bins, that inevitably reduces the dynamic range and energy resolution of the imaging system. Inspired by the idea of dynamic thresholding, we previously proposed a pixel architecture and an energy-resolving method for layered edge-on detector. However, the complicated energy exchange mechanism of x-rays in the detector that ultimately affects the practical applications of the layered detectors had not been previously considered. In this study, we modify the energy-depositing model of x-ray photons and propose a reconfigurable energy-resolving method to improve the spectral performance of a layered energy integrating detector. We analyze the errors associated with the energy-resolving process and present our numerical simulation results obtained with energy bins and dynamically changed detection layers to demonstrate the utility and reliability of the proposed method.</t>
  </si>
  <si>
    <t>[Shi, Zaifeng; Xie, Xiangwei; Li, Hangyuan; Meng, Qingzhen] Tianjin Univ, Sch Microelect, Tianjin, Peoples R China; [Cong, Wenxiang; Wang, Ge] Rensselaer Polytech Inst, Dept Biomed Engn, Biomed Imaging Ctr, Troy, NY 12180 USA</t>
  </si>
  <si>
    <t>Tianjin University; Rensselaer Polytechnic Institute</t>
  </si>
  <si>
    <t>Shi, ZF (通訊作者)， Tianjin Univ, Sch Microelect, Tianjin, Peoples R China.</t>
  </si>
  <si>
    <t>shizaifeng@tju.edu.cn; wangg6@rpi.edu</t>
  </si>
  <si>
    <t>shi, zaifeng/AAM-6769-2020; Wang, Ge/AAH-8592-2020</t>
  </si>
  <si>
    <t>Shi, Zaifeng/0000-0002-3851-5697; Wang, Ge/0000-0002-2656-7705;</t>
  </si>
  <si>
    <t>National Natural Science Foundation of China [61674115]; Natural Science Foundation of Tianjin, China [17JCYBJC15900]; NIH/NIBIB [EB017140]</t>
  </si>
  <si>
    <t>National Natural Science Foundation of China(National Natural Science Foundation of China (NSFC)); Natural Science Foundation of Tianjin, China(Natural Science Foundation of Tianjin); NIH/NIBIB(United States Department of Health &amp; Human ServicesNational Institutes of Health (NIH) - USANIH National Institute of Biomedical Imaging &amp; Bioengineering (NIBIB))</t>
  </si>
  <si>
    <t>This work was funded by the National Natural Science Foundation of China through the grant (No. 61674115), the Natural Science Foundation of Tianjin, China through the grant (No. 17JCYBJC15900) and the NIH/NIBIB through the grant (EB017140). Authors acknowledge the contribution by Yongjia Huang for data collecting and for checking the simulational results. The authors are grateful for the referees' advice and several very valuable suggestions.</t>
  </si>
  <si>
    <t>10.1088/1361-6560/ab1149</t>
  </si>
  <si>
    <t>WOS:000473698800008</t>
  </si>
  <si>
    <t>Gao, HW; Zhang, L; Grimmer, R; Fahrig, R</t>
  </si>
  <si>
    <t>Gao, Hewei; Zhang, Li; Grimmer, Rainer; Fahrig, Rebecca</t>
  </si>
  <si>
    <t>Physics-based spectral compensation algorithm for x-ray CT with primary modulator</t>
  </si>
  <si>
    <t>primary modulator; spectral compensation; ring artifact reduction; beam hardening correction</t>
  </si>
  <si>
    <t>BEAM HARDENING CORRECTION; SCATTER CORRECTION ALGORITHM; TRANSMISSION MEASUREMENTS; GENERAL FRAMEWORK; RADIOGRAPHY; SUPPRESSION; ARTIFACTS</t>
  </si>
  <si>
    <t>X-ray computed tomography (CT) scatter correction using primary modulator has been continuously developed over the past years, with progress in improving the performance of scatter correction. In this work, we further advance the primary modulator technique towards practical applications where the spectral nonuniformity caused by the modulator continues to be a challenging problem. A physics-based spectral compensation algorithm is proposed to adaptively correct for the spectral nonuniformity, and hence to reduce the resultant ring artifacts on reconstructed CT images. First, an initial spectrum of the CT system without the primary modulator is modeled using an understanding of x-ray CT physics, and optimized by an expectation maximization method; then, the optimized estimation of the initial spectrum is utilized to adaptively calculate the effective modulator thickness from measured transmissions of the primary modulator at each detector element, leading to a set of new spectra that is able to capture the nonuniform spectral distribution of the primary modulator; finally, using the modulator-modeled spectrum, a beam hardening mapping function is generated and beam hardening correction is applied to CT projections. A CatPhan(C)600 phantom and an anthropomorphic thorax phantom were scanned with three different primary modulators to evaluate the approach. For the Catphan phantom, the spectral compensation algorithm efficiently removes the ring (and band) artifacts that otherwise dominate the reconstructed CT image. For the three modulators with nominal copper thickness of 52.5,105 and 210 mu m, our method reduces the CT number nonuniformity from 147.9, 436.2 and 696.4 Hounsfield units (HU) to 14.6, 26.2 and 13.6 HU, respectively, close to that of the reference image (i.e. 7.5 HU). For the thorax phantom, the ring artifacts are also suppressed significantly on the transaxial image; on the sagittal image, the alternating black-and-white patterns are largely removed, with the CT number nonuniformity being reduced from 282.0 HU to 38.5 HU.</t>
  </si>
  <si>
    <t>[Gao, Hewei; Zhang, Li] Tsinghua Univ, Dept Engn Phys, Beijing 100084, Peoples R China; [Gao, Hewei; Zhang, Li] Tsinghua Univ, Minist Educ, Key Lab Particle &amp; Radiat Imaging, Beijing 100084, Peoples R China; [Grimmer, Rainer] Siemens Healthineers GmBH, Diagnost Imaging, D-91301 Forchheim, Germany; [Fahrig, Rebecca] Siemens Healthineers GmBH, Adv Therapies, D-91301 Forchheim, Germany</t>
  </si>
  <si>
    <t>Tsinghua University; Tsinghua University; Siemens AG; Siemens Germany; Siemens AG; Siemens Germany</t>
  </si>
  <si>
    <t>Gao, HW (通訊作者)， Tsinghua Univ, Dept Engn Phys, Beijing 100084, Peoples R China.;Gao, HW (通訊作者)， Tsinghua Univ, Minist Educ, Key Lab Particle &amp; Radiat Imaging, Beijing 100084, Peoples R China.</t>
  </si>
  <si>
    <t>hwgao@tsinghua.edu.cn</t>
  </si>
  <si>
    <t>New Faculty Startup Fund from Tsinghua University, Beijing, China; National Natural Science Foundation of China [11435007]</t>
  </si>
  <si>
    <t>New Faculty Startup Fund from Tsinghua University, Beijing, China; National Natural Science Foundation of China(National Natural Science Foundation of China (NSFC))</t>
  </si>
  <si>
    <t>This project was supported in part by the New Faculty Startup Fund from Tsinghua University, Beijing, China and by a grant from the National Natural Science Foundation of China (No. 11435007).</t>
  </si>
  <si>
    <t>10.1088/1361-6560/ab1ad0</t>
  </si>
  <si>
    <t>WOS:000471317900001</t>
  </si>
  <si>
    <t>Gong, CF; Shen, MX; Zheng, XM; Han, C; Zhou, YQ; Xie, CY; Jin, XC</t>
  </si>
  <si>
    <t>Gong, Changfei; Shen, Meixiao; Zheng, Xiaomin; Han, Ce; Zhou, Yongqiang; Xie, Congying; Jin, Xiance</t>
  </si>
  <si>
    <t>Precise delineation and tumor localization based on novel image registration strategy between optical coherence tomography and computed tomography in the radiotherapy of intraocular cancer</t>
  </si>
  <si>
    <t>external beam radiation therapy; intraocular cancer; optical coherence tomography; automatic segmentation; multimodal image registration</t>
  </si>
  <si>
    <t>EXTERNAL-BEAM RADIOTHERAPY; ANTERIOR SEGMENT BIOMETRY; STEREOTACTIC RADIOTHERAPY; PROTON THERAPY; AUTOMATIC SEGMENTATION; RADIATION-THERAPY; UVEAL MELANOMAS; EYE TRACKING; SYSTEM; RADIOSURGERY</t>
  </si>
  <si>
    <t>Radiation-associated toxicities due to sophisticated ocular anatomy and shape variability of organs at risk (OARs) are major concerns during external beam radiation therapy (EBRT) of patients with intraocular cancer. A novel two-step image registration strategy between optical coherence tomography (OCT) and computed tomography (CT) images was proposed and validated to precisely localize the target in the EBRT of patients with intraocular cancer. Specifically, multiple features from OCT and CT images were extracted automatically, then spatial transformation based on thin-plate spline function was performed iteratively to achieve feature alignment between the CT and OCT images. Finally, an exclusive OR (XOR) algorithm was applied for precise 3D registration using a 3D-mesh model generated from OCT and CT volumes. The accuracy of the proposed novel registration strategy was validated and tested in a schematic-eye phantom with an artificially introduced tumor and in ten patients with confirmed primary and/or secondary intraocular cancer. There was an average registration error and computational time of 0.21 +/- 0.05 degrees and 259 +/- 5 s, together with an average Dice similarity coefficient and Hausdorff distance of 88.4 +/- 0.65 and 0.89 +/- 0.09, respectively. The preliminary experimental results demonstrated that the proposed novel strategy to overcome current limitations on eye modeling and to localize precisely the tumor target during EBRT of intraocular cancer is promising.</t>
  </si>
  <si>
    <t>[Gong, Changfei; Zheng, Xiaomin; Han, Ce; Zhou, Yongqiang; Xie, Congying; Jin, Xiance] Wenzhou Med Univ, Dept Radiat &amp; Med Oncol, Affiliated Hosp 1, Wenzhou 325000, Peoples R China; [Shen, Meixiao] Wenzhou Med Univ, Sch Ophthalmol &amp; Optometry, 270 Xueyuan Rd, Wenzhou 325027, Peoples R China</t>
  </si>
  <si>
    <t>Wenzhou Medical University; Wenzhou Medical University</t>
  </si>
  <si>
    <t>Xie, CY; Jin, XC (通訊作者)， Wenzhou Med Univ, Dept Radiat &amp; Med Oncol, Affiliated Hosp 1, Wenzhou 325000, Peoples R China.</t>
  </si>
  <si>
    <t>wzxiecongying@163.com; jinxc1979@hotmail.com</t>
  </si>
  <si>
    <t>Gong, Changfei/JMQ-8567-2023; Jin, Xiance/AAH-2464-2020</t>
  </si>
  <si>
    <t>National Natural Science Foundation of China [11675122]; Wenzhou Municipal Science and Technology Bureau [2018ZY016, Y20170826]</t>
  </si>
  <si>
    <t>National Natural Science Foundation of China(National Natural Science Foundation of China (NSFC)); Wenzhou Municipal Science and Technology Bureau</t>
  </si>
  <si>
    <t>This work was partially funded by the National Natural Science Foundation of China under Grant (No. 11675122), and Wenzhou Municipal Science and Technology Bureau (No. 2018ZY016, Y20170826).</t>
  </si>
  <si>
    <t>10.1088/1361-6560/ab0ddf</t>
  </si>
  <si>
    <t>WOS:000471317900004</t>
  </si>
  <si>
    <t>Wang, JX; Zeng, L; Wang, CX; Guo, YM</t>
  </si>
  <si>
    <t>Wang, Jiaxi; Zeng, Li; Wang, Chengxiang; Guo, Yumeng</t>
  </si>
  <si>
    <t>ADMM-based deep reconstruction for limited-angle CT</t>
  </si>
  <si>
    <t>computed tomography; image reconstruction; limited-angle; ADMM; deep learning</t>
  </si>
  <si>
    <t>CONVOLUTIONAL NEURAL-NETWORK; VIEW IMAGE-RECONSTRUCTION; CONE-BEAM CT; COMPUTED-TOMOGRAPHY; TOMOSYNTHESIS; ART</t>
  </si>
  <si>
    <t>In the real applications of computed tomography (CT) imaging, the projection data of the scanned objects are usually acquired within a limited-angle range because of the limitation of the scanning condition. Under these circumstances, conventional analytical algorithms, such as filtered back-projection (FBP), do not work because the projection data are incomplete. The regularization method has proven to be effective for tomographic reconstruction from under-sampled measurements. To deal with the limited-angle CT reconstruction problem, the regularization method is commonly used, but it is difficult to find a generic regularization term and choose the regularization parameters. Moreover, in some cases, the quality of reconstructed images is less than satisfactory. To solve this problem, we developed an alternating direction method of multipliers (ADMM)-based deep reconstruction (ADMMBDR) algorithm for limited-angle CT. First, we used the ADMM algorithm to decompose a regularization reconstruction model. Then, we utilized a deep convolutional neural network (CNN) to replace a part of the ADMM algorithm to reduce artifacts and avoid the choice of the regularization term and the regularization parameter. Furthermore, we conducted some numerical experiments to evaluate the feasibility and the advantages of the proposed algorithm. The results showed that the proposed algorithm had a better performance than several state-of-the-art algorithms; with respect to structure preservation and artifact reduction.</t>
  </si>
  <si>
    <t>[Wang, Jiaxi; Zeng, Li] Chongqing Univ, Key Lab Optoelect Technol &amp; Syst, Educ Minist China, Chongqing 400044, Peoples R China; [Wang, Jiaxi; Zeng, Li] Chongqing Univ, Engn Res Ctr Ind Computed Tomog Nondestruct Testi, Educ Minist China, Chongqing 400044, Peoples R China; [Zeng, Li; Guo, Yumeng] Chongqing Univ, Coll Math &amp; Stat, Chongqing 401331, Peoples R China; [Wang, Chengxiang] Chongqing Normal Univ, Coll Math Sci, Chongqing 401131, Peoples R China</t>
  </si>
  <si>
    <t>Chongqing University; Chongqing University; Chongqing University; Chongqing Normal University</t>
  </si>
  <si>
    <t>Zeng, L (通訊作者)， Chongqing Univ, Key Lab Optoelect Technol &amp; Syst, Educ Minist China, Chongqing 400044, Peoples R China.;Zeng, L (通訊作者)， Chongqing Univ, Engn Res Ctr Ind Computed Tomog Nondestruct Testi, Educ Minist China, Chongqing 400044, Peoples R China.;Zeng, L (通訊作者)， Chongqing Univ, Coll Math &amp; Stat, Chongqing 401331, Peoples R China.</t>
  </si>
  <si>
    <t>drlizeng@cqu.edu.cn</t>
  </si>
  <si>
    <t>曾, 利/HDN-4664-2022</t>
  </si>
  <si>
    <t>Wang, Jiaxi/0009-0002-9089-5268</t>
  </si>
  <si>
    <t>National Natural Science Foundation of China [61771003, 61701174, 61801086]; National Instrumentation Program of China [2013YQ030629]</t>
  </si>
  <si>
    <t>National Natural Science Foundation of China(National Natural Science Foundation of China (NSFC)); National Instrumentation Program of China</t>
  </si>
  <si>
    <t>The authors declare that there are no conflicts of interest related to this article. This work was supported in part by the National Natural Science Foundation of China under Grant 61771003, 61701174 and 61801086, in part by National Instrumentation Program of China under Grant 2013YQ030629.</t>
  </si>
  <si>
    <t>10.1088/1361-6560/ab1aba</t>
  </si>
  <si>
    <t>WOS:000469802000003</t>
  </si>
  <si>
    <t>González-López, A; Campos-Morcillo, PA</t>
  </si>
  <si>
    <t>Gonzalez-Lopez, Antonio; Campos-Morcillo, Pedro-Antonio</t>
  </si>
  <si>
    <t>Efficient detrending of uniform images for accurate determination of the noise power spectrum at low frequencies</t>
  </si>
  <si>
    <t>noise power spectrum; polynomial detrending; wavelet detrending; detrending performance</t>
  </si>
  <si>
    <t>IMAGING CHARACTERISTICS; DETECTOR</t>
  </si>
  <si>
    <t>The noise power spectrum (NPS) of a digital x-ray imaging device is usually estimated from the average of periodograms of regions of interest (ROIs) in images obtained with uniform radiation fields. In order to mitigate low frequency trends, present in the images and not arising from stochastic processes, detrending methods are applied to the images before being Fourier transformed. The most common of these methods subtracts a second-order polynomial fit from the image. In this work, it is shown that the characteristics of low frequency trends can deviate from the quadratic dependence on spatial coordinates. This results in large residual trends that give rise to important correlations in the detrended images and produce an inaccurate rise of the NPS calculations at low frequencies. A new detrending method of uniform images is presented. The method operates in the subbands of a wavelet transform, removing the low frequency contents of the uniform image. To do this, the approximation subband of the highest level of the wavelet transform is cancelled. The effect on the NPS calculations for three digital detectors is shown and the importance of the parameters of the wavelet transform is discussed. The main result states that the performance of the new method improves those of two polynomial detrending methods commonly used and is close to the performance of the subtraction of uniform exposure images method. Finally, guidelines for the implementation of the procedure, like the number of levels in the wavelet decomposition, are provided. As the number of levels in the wavelet transform increases, the removal of trends is restricted to lower frequencies. The selection of the number of levels should be guided by the shape of the autocorrelation function of the detrended image, which has to resemble the shape expected from the propagation of noise through the imaging chain.</t>
  </si>
  <si>
    <t>[Gonzalez-Lopez, Antonio; Campos-Morcillo, Pedro-Antonio] Hosp Univ Virgen Arrixaca, Ctra Madrid Cartagena, El Palmar 30120, Murcia, Spain</t>
  </si>
  <si>
    <t>González-López, A (通訊作者)， Hosp Univ Virgen Arrixaca, Ctra Madrid Cartagena, El Palmar 30120, Murcia, Spain.</t>
  </si>
  <si>
    <t>Gonzalez-Lopez, Antonio/D-1048-2017; González-López, Antonio/D-1048-2017</t>
  </si>
  <si>
    <t>Gonzalez-Lopez, Antonio/0000-0001-6161-3853;</t>
  </si>
  <si>
    <t>10.1088/1361-6560/ab1a68</t>
  </si>
  <si>
    <t>WOS:000467464500001</t>
  </si>
  <si>
    <t>Tang, FG; Hao, JH; Freschi, F; Niu, CQ; Repetto, M; Liu, F; Crozier, S</t>
  </si>
  <si>
    <t>Tang, Fangang; Hao, Jiahao; Freschi, Fabio; Niu, Chaoqun; Repetto, Maurizio; Liu, Feng; Crozier, Stuart</t>
  </si>
  <si>
    <t>A cone-shaped gradient coil design for high-resolution MRI head imaging</t>
  </si>
  <si>
    <t>asymmetric head coil; gradient coil design; magnetic resonance imaging; insertable head gradient coils; cone-shaped former</t>
  </si>
  <si>
    <t>Insertable head gradient coils offer significant advantages such as high gradient strength and fast gradient switching speed owing to shorter distances to the target region of interest than whole-body cylindrical coils. To produce superior gradient performance, the local head coil is typically designed with an asymmetric configuration to accommodate both the shoulders and head of a patient, leading to tough dimensional constraints and practical limits to the coil implementation. In this paper, we propose a new cone-shaped model to improve the performance of the asymmetric head coils and to mitigate patient claustrophobia. The primary coils are designed with a larger diameter at the patient end for access and a smaller diameter at the service end to bring wires closer to the human head, while the secondary coils are arranged on a cylindrical former to improve coil efficiency. Two cases are studied in this paper. Case I: inner bore size at the patient end (diameter 42 cm) is fixed as the design reference. In this case, inner diameters at any other position vary with the conical tilting angles. Compared with a set of conical gradient coils designed with tilting angles ranging from 0 to 14, it is found that the optimal coil performance is achieved at the tilting angle of 14 degrees. The key performance parameters have been improved by 100%-200% for the transverse coils, and about 50% for the longitudinal coils compared with the cylindrical counterpart with the reference bore size (that is, the same diameter of 42 cm). The conical coils also produce less heat in the gradient structure and lower acoustic noise in the field of view. Case II: inner bore size at the iso-centre (diameter 34 cm) is set as the design reference. It is also found that, compared with 34 cm diameter cylindrical coils, the conical transverse coil performance has been improved at an angle of 14 degrees. The key coil performance increases by 20%-50% for transverse coil but decreases by 20%-40% for the longitudinal coil. However, compared with the tight cylindrical structure (e.g. 34 cm diameter), the tilting angle will provide patient-friendly space for imaging and handling, which can be critical for fMRI and other brain studies.</t>
  </si>
  <si>
    <t>[Tang, Fangang; Repetto, Maurizio; Liu, Feng; Crozier, Stuart] Univ Queensland, Sch Informat Technol &amp; Elect Engn, Brisbane, Qld 4072, Australia; [Hao, Jiahao] Chongqing Univ, Coll Optoelect Engn, Chongqing 400030, Peoples R China; [Freschi, Fabio; Repetto, Maurizio] Politecn Torino, Dept Energy, Corso Duca Abruzzi 24, I-10129 Turin, Italy; [Niu, Chaoqun] Chinese Acad Sci, Inst Elect Engn, Div Superconducting Magnet Sci &amp; Technol, Beijing 100190, Peoples R China; [Niu, Chaoqun] Univ Chinese Acad Sci, Beijing 100083, Peoples R China</t>
  </si>
  <si>
    <t>University of Queensland; Chongqing University; Polytechnic University of Turin; Chinese Academy of Sciences; Institute of Electrical Engineering, CAS; Chinese Academy of Sciences; University of Chinese Academy of Sciences, CAS</t>
  </si>
  <si>
    <t>Liu, F (通訊作者)， Univ Queensland, Sch Informat Technol &amp; Elect Engn, Brisbane, Qld 4072, Australia.</t>
  </si>
  <si>
    <t>feng@itee.uq.edu.au</t>
  </si>
  <si>
    <t>Crozier, Stuart/C-4981-2013; Hao, Jiahao/ITV-6037-2023; Freschi, Fabio/D-5269-2015; liu, feng/B-3050-2019; liu, feng/HPC-8076-2023</t>
  </si>
  <si>
    <t>repetto, maurizio/0000-0001-6693-4146; Crozier, Stuart/0000-0003-4036-2930; Niu, Chaoqun/0000-0001-6491-4512; Freschi, Fabio/0000-0002-8183-3228; liu, feng/0000-0002-1074-2601;</t>
  </si>
  <si>
    <t>Australian Research Council; Australian National Health and Medical Research Council</t>
  </si>
  <si>
    <t>Australian Research Council(Australian Research Council); Australian National Health and Medical Research Council(National Health &amp; Medical Research Council (NHMRC) of Australia)</t>
  </si>
  <si>
    <t>The authors gratefully acknowledge grant support from The Australian Research Council and The Australian National Health and Medical Research Council.</t>
  </si>
  <si>
    <t>10.1088/1361-6560/ab084a</t>
  </si>
  <si>
    <t>WOS:000518923400003</t>
  </si>
  <si>
    <t>Anderson, SE; Grams, MP; Tseung, HWC; Furutani, KM; Beltran, CJ</t>
  </si>
  <si>
    <t>Anderson, Sarah E.; Grams, Michael P.; Tseung, H. Wan Chan; Furutani, Keith M.; Beltran, Chris J.</t>
  </si>
  <si>
    <t>A linear relationship for the LET-dependence of Gafchromic EBT3 film in spot-scanning proton therapy</t>
  </si>
  <si>
    <t>film; LET; proton therapy; dosimetry</t>
  </si>
  <si>
    <t>MONTE-CARLO-SIMULATION; DOSE DISTRIBUTIONS; DOSIMETRY; BEAM; VERIFICATION; CALIBRATION; PHANTOM</t>
  </si>
  <si>
    <t>Radiochromic film (RCF) is a valuable dosimetric tool, primarily due to its sub-millimeter spatial resolution. For accurate proton dosimetry, the dependence of film response on linear energy transfer (LET) must be characterized and calibrated. In this work, we characterized film under-response, or 'quenching', as a function of dose-weighted linear energy transfer (LETd) in several proton fields and established a simple, linear relationship with LETd. We performed measurements as a function of depth in a PMMA phantom irradiated by a spot-scanning proton beam. The fields had energies of 71.3 MeV, 71.3 MeV with filter, and 159.9 MeV. At each depth (measurements taken in depth step sizes of 0.5-1 mm in the Bragg peak), we measured dose with a PTW Markus ion chamber and EBT3 RCF. EBT3 under-response was characterized by the ratio of dose measured with film to that with ion chamber. LETd values for our experimental setup were calculated using in-house clinical Monte Carlo code. Measured film under-response increased with LETd, from approximately 10% under-response for LETd = 5 keV mu m(-1) to approximately 20% for LETd = 8 keV mu m(-1). The under-response for all measurements was plotted versus LETd. A linear fit to the data was performed, yielding a function for under-response, U, with respect to LETd: U = [(-0.0251 +/- 0.0010) mu m keV(-1)] x LETd + (1.02 +/- 0.01). Finally, the linear under-response relationship was applied to a film measurement within a spread-out Bragg peak (SOBP). Without correcting for LETd-dependence in the SOBP measurement, the discrepancy between film and Monte Carlo profiles was greater than 15% at the distal edge. With correction, the corrected film profile was within 2% and 1 mm of the Monte Carlo profile. RCF response depends on LETd, potentially under-responding by &gt; 15% in clinically-relevant scenarios. Therefore, it is insufficient to perform only a dose calibration; LET calibration is also necessary for accurate proton film dosimetry. The LETd-dependence of EBT3 can be described by a single, linear function over a range of clinically-relevant proton therapy LETd values.</t>
  </si>
  <si>
    <t>[Anderson, Sarah E.; Grams, Michael P.; Tseung, H. Wan Chan; Furutani, Keith M.; Beltran, Chris J.] Mayo Clin, Dept Radiat Oncol, Rochester, MN 55905 USA</t>
  </si>
  <si>
    <t>Anderson, SE (通訊作者)， Mayo Clin, Dept Radiat Oncol, Rochester, MN 55905 USA.</t>
  </si>
  <si>
    <t>anderson.sarah3@mayo.edu</t>
  </si>
  <si>
    <t>Grams, Michael/ISS-0116-2023</t>
  </si>
  <si>
    <t>Wan Chan Tseung, Hok Seum/0000-0001-6012-8039</t>
  </si>
  <si>
    <t>10.1088/1361-6560/ab0114</t>
  </si>
  <si>
    <t>WOS:000460772200003</t>
  </si>
  <si>
    <t>Borrazzo, C; Pacilio, M; Galea, N; Preziosi, E; Carnì, M; Francone, M; Catalano, C; Carbone, I</t>
  </si>
  <si>
    <t>Borrazzo, Cristian; Pacilio, Massimiliano; Galea, Nicola; Preziosi, Enrico; Carni, Marco; Francone, Marco; Catalano, Carlo; Carbone, Iacopo</t>
  </si>
  <si>
    <t>T1 and extracellular volume fraction mapping in cardiac magnetic resonance: estimation of accuracy and precision of a novel algorithm</t>
  </si>
  <si>
    <t>T1 mapping; ECV mapping; extracellular volume fraction; cardiac magnetic resonance; MOLLI sequence</t>
  </si>
  <si>
    <t>IN-VIVO; METHODOLOGY; MRI</t>
  </si>
  <si>
    <t>Magnetic resonance imaging is effective for non-invasive detection of myocardial diseases by extracellular volume fraction (ECV) estimation. A new methodology for T1 and ECV mapping is tested in this work, comparing results with other well-consolidated methods. The associated level of uncertainty for data was also estimated, to assess the reliability of the technique. A phantom with known T1 values was used for reference, and 60 subjects (40 controls, 20 diseased patients) were examined, using the modified look-locker inversion-recovery (MOLLI) method. Obtained T1 data were studied in terms of accuracy (difference with reference T1), paired comparisons with other methods, and Gamma-tool analysis with tolerances criteria of 4.21 mm for distance-to-agreement, and between 2%-5% for T1 difference. Accuracy and precision of the T1 mapping was analysed by phantom measurements, and the uncertainty of the ECV was estimated by T1 error propagation. Differences (in paired comparisons) of T1 datasets were not significant neither for statistical tests, nor for Bland-Altman analysis. T1 accuracy was between -12% and -1% across methods, slightly better for the tested method (mean accuracy in the T1 range of interest better than 2%). The Gamma analysis confirm slightly better results for the tested method than other methodologies. The new method improves the computational efficiency by a factor of 25 (at least), revealing to be also more suitable for Big Data-related applications.</t>
  </si>
  <si>
    <t>[Borrazzo, Cristian] Sapienza Univ Rome, Dept Publ Hlth &amp; Infect Dis, Viale Policlin 155, I-00161 Rome, Italy; [Borrazzo, Cristian; Pacilio, Massimiliano; Carni, Marco] Azienda Osped Univ Policlin Umberto I, Dept Med Phys, Viale Policlin 155, I-00161 Rome, Italy; [Galea, Nicola; Francone, Marco; Catalano, Carlo; Carbone, Iacopo] Sapienza Univ Rome, Dept Radiol Ontol &amp; Anatomopathol Sci, Viale Policlin 155, I-00161 Rome, Italy; [Preziosi, Enrico] Tor Vergata Univ Rome, Dept Phys, Via Ric Sci 1, I-00179 Rome, Italy; [Preziosi, Enrico] Tor Vergata Univ Rome, NAST Ctr, Via Ric Sci 1, I-00179 Rome, Italy</t>
  </si>
  <si>
    <t>Sapienza University Rome; Sapienza University Rome; University Hospital Sapienza Rome; Sapienza University Rome; University of Rome Tor Vergata; University of Rome Tor Vergata</t>
  </si>
  <si>
    <t>Borrazzo, C (通訊作者)， Sapienza Univ Rome, Dept Publ Hlth &amp; Infect Dis, Viale Policlin 155, I-00161 Rome, Italy.;Borrazzo, C (通訊作者)， Azienda Osped Univ Policlin Umberto I, Dept Med Phys, Viale Policlin 155, I-00161 Rome, Italy.</t>
  </si>
  <si>
    <t>cristian.borrazzo@uniroma1.it</t>
  </si>
  <si>
    <t>; Borrazzo, Cristian/AAS-6644-2020; Preziosi, Enrico/AAE-4140-2019; Francone, Marco/AAQ-5434-2020; Francone, Marco/U-6761-2017; Galea, Nicola/AAQ-6612-2020; Pacilio, Massimiliano/HJA-5347-2022</t>
  </si>
  <si>
    <t>BORRAZZO, CRISTIAN/0000-0002-2346-898X; /0000-0003-4708-5120; CATALANO, Carlo/0000-0003-4208-9691; Francone, Marco/0000-0002-7906-3420; Pacilio, Massimiliano/0000-0002-2817-6927</t>
  </si>
  <si>
    <t>04NT06</t>
  </si>
  <si>
    <t>10.1088/1361-6560/aafcca</t>
  </si>
  <si>
    <t>WOS:000458375600002</t>
  </si>
  <si>
    <t>Bai, XM; Lim, G; Grosshans, D; Mohan, R; Cao, WH</t>
  </si>
  <si>
    <t>Bai, Xuemin; Lim, Gino; Grosshans, David; Mohan, Radhe; Cao, Wenhua</t>
  </si>
  <si>
    <t>Robust optimization to reduce the impact of biological effect variation from physical uncertainties in intensity-modulated proton therapy</t>
  </si>
  <si>
    <t>IMPT; linear energy transfer; robust optimization; biological effect</t>
  </si>
  <si>
    <t>EFFECTIVENESS RBE VALUES; IMPT TREATMENT PLANS; RANGE UNCERTAINTIES; SENSITIVITY; MODEL; RADIOTHERAPY</t>
  </si>
  <si>
    <t>Robust optimization (RO) methods are applied to intensity-modulated proton therapy (IMPT) treatment plans to ensure their robustness in the face of treatment delivery uncertainties, such as proton range and patient setup errors. However, the impact of those uncertainties on the biological effect of protons has not been specifically considered. In this study, we added biological effect-based objectives into a conventional RO cost function for IMPT optimization to minimize the variation in biological effect. One brain tumor case, one prostate tumor case and one head &amp; neck tumor case were selected for this study. Three plans were generated for each case using three different optimization approaches: planning target volume (PTV)-based optimization, conventional RO, and RO incorporating biological effect (BioRO). In BioRO, the variation in biological effect caused by IMPT delivery uncertainties was minimized for voxels in both target volumes and critical structures, in addition to a conventional voxel-based worst-case RO objective function. The biological effect was approximated by the product of dose-averaged linear energy transfer (LET) and physical dose. All plans were normalized to give the same target dose coverage, assuming a constant relative biological effectiveness (RBE) of 1.1. Dose, biological effect, and their uncertainties were evaluated and compared among the three optimization approaches for each patient case. Compared with PTV-based plans, RO plans achieved more robust target dose coverage and reduced biological effect hot spots in critical structures near the target. Moreover, with their sustained robust dose distributions, BioRO plans not only reduced variations in biological effect in target and normal tissues but also further reduced biological effect hot spots in critical structures compared with RO plans. Our findings indicate that IMPT could benefit from the use of conventional RO, which would reduce the biological effect in normal tissues and produce more robust dose distributions than those of PTV-based optimization. More importantly, this study provides a proof of concept that incorporating biological effect uncertainty gap into conventional RO would not only control the IMPT plan robustness in terms of physical dose and biological effect but also achieve further reduction of biological effect in normal tissues.</t>
  </si>
  <si>
    <t>[Bai, Xuemin; Lim, Gino] Univ Houston, Dept Ind Engn, Houston, TX 77204 USA; [Grosshans, David] Univ Texas MD Anderson Canc Ctr, Dept Radiat Oncol, Houston, TX 77030 USA; [Mohan, Radhe; Cao, Wenhua] Univ Texas MD Anderson Canc Ctr, Dept Radiat Phys, Houston, TX 77030 USA</t>
  </si>
  <si>
    <t>University of Houston System; University of Houston; University of Texas System; UTMD Anderson Cancer Center; University of Texas System; UTMD Anderson Cancer Center</t>
  </si>
  <si>
    <t>Cao, WH (通訊作者)， Univ Texas MD Anderson Canc Ctr, Dept Radiat Phys, Houston, TX 77030 USA.</t>
  </si>
  <si>
    <t>wcao1@mdanderson.org</t>
  </si>
  <si>
    <t>Lim, Gino/J-4607-2014</t>
  </si>
  <si>
    <t>Lim, Gino/0000-0003-2259-2310</t>
  </si>
  <si>
    <t>National Cancer Institute of the National Institutes of Health [2U19CA021239-35]; Cancer Prevention and Research Institute of Texas [RP160232]</t>
  </si>
  <si>
    <t>National Cancer Institute of the National Institutes of Health(United States Department of Health &amp; Human ServicesNational Institutes of Health (NIH) - USANIH National Cancer Institute (NCI)); Cancer Prevention and Research Institute of Texas(Cancer Prevention &amp; Research Institute of Texas)</t>
  </si>
  <si>
    <t>The authors would like to thank Dr Amy Ninetto for her help editing this manuscript and Hans-Peter Wieser for his assistance with using matRad. This work was supported in part by the National Cancer Institute of the National Institutes of Health (2U19CA021239-35) and the Cancer Prevention and Research Institute of Texas (RP160232).</t>
  </si>
  <si>
    <t>10.1088/1361-6560/aaf5e9</t>
  </si>
  <si>
    <t>WOS:000455823300001</t>
  </si>
  <si>
    <t>Chen, YR; Liu, J; Grondin, J; Ekonofagou, E; Luo, JW</t>
  </si>
  <si>
    <t>Chen, Yinran; Liu, Jing; Grondin, Julien; Ekonofagou, Elisa; Luo, Jianwen</t>
  </si>
  <si>
    <t>Compressed sensing reconstruction of synthetic transmit aperture dataset for volumetric diverging wave imaging</t>
  </si>
  <si>
    <t>volumetric ultrasound imaging; compressed sensing; synthetic transmit aperture; high frame rate</t>
  </si>
  <si>
    <t>REAL-TIME; ULTRASOUND; ECHOCARDIOGRAPHY; ELASTOGRAPHY; ARTIFACTS; DESIGN; ARRAYS; IMAGES</t>
  </si>
  <si>
    <t>A high volume rate and high performance ultrasound imaging method based on a matrix array is proposed by using compressed sensing (CS) to reconstruct the complete dataset of synthetic transmit aperture (STA) from three-dimensional (3D) diverging wave transmissions (i.e. 3D CS-STA). Hereto, a series of apodized 3D diverging waves are transmitted from a fixed virtual source, with the ith row of a Hadamard matrix taken as the apodization coefficients in the ith transmit event. Then CS is used to reconstruct the complete dataset, based on the linear relationship between the backscattered echoes and the complete dataset of 3D STA. Finally, standard STA beamforming is applied on the reconstructed complete dataset to obtain the volumetric image. Four layouts of element numbering for apodizations and transmit numbers of 16, 32 and 64 are investigated through computer simulations and phantom experiments. Furthermore, the proposed 3D CS-STA setups are compared with 3D single-line-transmit (SLT) and 3D diverging wave compounding (DWC). The results show that, (i) 3D CS-STA has competitive lateral resolutions to 3D STA, and their contrast ratios (CRs) and contrast-to-noise ratios (CNRs) approach to those of 3D STA as the number of transmit events increases in noise-free condition. (ii) the tested 3D CS-STA setups show good robustness in complete dataset reconstruction in the presence of different levels of noise. (iii) 3D CS-STA outperforms 3D SLT and 3D DWC. More specifically, the 3D CS-STA setup with 64 transmit events and the Random layout achieves similar to 31% improvement in lateral resolution, similar to 14% improvement in ratio of the estimated-to-true cystic areas, a higher volume rate, and competitive CR/CNR when compared with 3D DWC. The results demonstrate that 3D CS-STA has great potential of providing high quality volumetric image with a higher volume rate.</t>
  </si>
  <si>
    <t>[Chen, Yinran; Liu, Jing; Luo, Jianwen] Tsinghua Univ, Sch Med, Dept Biomed Engn, Beijing, Peoples R China; [Grondin, Julien; Ekonofagou, Elisa] Columbia Univ, Dept Biomed Engn, New York, NY USA; [Ekonofagou, Elisa] Columbia Univ, Dept Radiol, New York, NY USA</t>
  </si>
  <si>
    <t>Tsinghua University; Columbia University; Columbia University</t>
  </si>
  <si>
    <t>Luo, JW (通訊作者)， Tsinghua Univ, Sch Med, Dept Biomed Engn, Beijing, Peoples R China.</t>
  </si>
  <si>
    <t>luo_jianwen@tsinghua.edu.cn</t>
  </si>
  <si>
    <t>Luo, Jianwen/D-5612-2011; Chen, Yinran/JGM-1928-2023</t>
  </si>
  <si>
    <t>Luo, Jianwen/0000-0001-9215-5568; Grondin, Julien/0000-0002-5704-5846; Chen, Yinran/0000-0001-8062-1859</t>
  </si>
  <si>
    <t>National Natural Science Foundation of China (NSFC) [61871251, 81471665, 81561168023]; National Key RAMP;D Program of China [2016YFC0102200]</t>
  </si>
  <si>
    <t>National Natural Science Foundation of China (NSFC)(National Natural Science Foundation of China (NSFC)); National Key RAMP;D Program of China</t>
  </si>
  <si>
    <t>This study was supported in part by the National Natural Science Foundation of China (NSFC) (61871251, 81471665 and 81561168023) and the National Key R&amp;D Program of China (2016YFC0102200).</t>
  </si>
  <si>
    <t>10.1088/1361-6560/aaf5f1</t>
  </si>
  <si>
    <t>WOS:000455823300010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</si>
</sst>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D0F4C-64AA-4F11-BB4A-5F3F5623F769}">
  <dimension ref="A1:BT558"/>
  <sheetViews>
    <sheetView tabSelected="1" workbookViewId="0">
      <selection activeCell="B1" sqref="B1"/>
    </sheetView>
  </sheetViews>
  <sheetFormatPr defaultRowHeight="12.5" x14ac:dyDescent="0.25"/>
  <sheetData>
    <row r="1" spans="1:7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x14ac:dyDescent="0.25">
      <c r="A2" t="s">
        <v>72</v>
      </c>
      <c r="B2" t="s">
        <v>73</v>
      </c>
      <c r="C2" t="s">
        <v>74</v>
      </c>
      <c r="D2" t="s">
        <v>74</v>
      </c>
      <c r="E2" t="s">
        <v>74</v>
      </c>
      <c r="F2" t="s">
        <v>75</v>
      </c>
      <c r="G2" t="s">
        <v>74</v>
      </c>
      <c r="H2" t="s">
        <v>74</v>
      </c>
      <c r="I2" t="s">
        <v>76</v>
      </c>
      <c r="J2" t="s">
        <v>77</v>
      </c>
      <c r="K2" t="s">
        <v>74</v>
      </c>
      <c r="L2" t="s">
        <v>74</v>
      </c>
      <c r="M2" t="s">
        <v>78</v>
      </c>
      <c r="N2" t="s">
        <v>79</v>
      </c>
      <c r="O2" t="s">
        <v>74</v>
      </c>
      <c r="P2" t="s">
        <v>74</v>
      </c>
      <c r="Q2" t="s">
        <v>74</v>
      </c>
      <c r="R2" t="s">
        <v>74</v>
      </c>
      <c r="S2" t="s">
        <v>74</v>
      </c>
      <c r="T2" t="s">
        <v>80</v>
      </c>
      <c r="U2" t="s">
        <v>81</v>
      </c>
      <c r="V2" t="s">
        <v>82</v>
      </c>
      <c r="W2" t="s">
        <v>83</v>
      </c>
      <c r="X2" t="s">
        <v>84</v>
      </c>
      <c r="Y2" t="s">
        <v>85</v>
      </c>
      <c r="Z2" t="s">
        <v>86</v>
      </c>
      <c r="AA2" t="s">
        <v>87</v>
      </c>
      <c r="AB2" t="s">
        <v>88</v>
      </c>
      <c r="AC2" t="s">
        <v>89</v>
      </c>
      <c r="AD2" t="s">
        <v>90</v>
      </c>
      <c r="AE2" t="s">
        <v>91</v>
      </c>
      <c r="AF2" t="s">
        <v>74</v>
      </c>
      <c r="AG2">
        <v>39</v>
      </c>
      <c r="AH2">
        <v>16</v>
      </c>
      <c r="AI2">
        <v>16</v>
      </c>
      <c r="AJ2">
        <v>2</v>
      </c>
      <c r="AK2">
        <v>7</v>
      </c>
      <c r="AL2" t="s">
        <v>92</v>
      </c>
      <c r="AM2" t="s">
        <v>93</v>
      </c>
      <c r="AN2" t="s">
        <v>94</v>
      </c>
      <c r="AO2" t="s">
        <v>95</v>
      </c>
      <c r="AP2" t="s">
        <v>96</v>
      </c>
      <c r="AQ2" t="s">
        <v>74</v>
      </c>
      <c r="AR2" t="s">
        <v>97</v>
      </c>
      <c r="AS2" t="s">
        <v>98</v>
      </c>
      <c r="AT2" t="s">
        <v>99</v>
      </c>
      <c r="AU2">
        <v>2019</v>
      </c>
      <c r="AV2">
        <v>64</v>
      </c>
      <c r="AW2">
        <v>24</v>
      </c>
      <c r="AX2" t="s">
        <v>74</v>
      </c>
      <c r="AY2" t="s">
        <v>74</v>
      </c>
      <c r="AZ2" t="s">
        <v>74</v>
      </c>
      <c r="BA2" t="s">
        <v>74</v>
      </c>
      <c r="BB2" t="s">
        <v>74</v>
      </c>
      <c r="BC2" t="s">
        <v>74</v>
      </c>
      <c r="BD2">
        <v>245001</v>
      </c>
      <c r="BE2" t="s">
        <v>100</v>
      </c>
      <c r="BF2" t="str">
        <f>HYPERLINK("http://dx.doi.org/10.1088/1361-6560/ab58fe","http://dx.doi.org/10.1088/1361-6560/ab58fe")</f>
        <v>http://dx.doi.org/10.1088/1361-6560/ab58fe</v>
      </c>
      <c r="BG2" t="s">
        <v>74</v>
      </c>
      <c r="BH2" t="s">
        <v>74</v>
      </c>
      <c r="BI2">
        <v>13</v>
      </c>
      <c r="BJ2" t="s">
        <v>101</v>
      </c>
      <c r="BK2" t="s">
        <v>102</v>
      </c>
      <c r="BL2" t="s">
        <v>103</v>
      </c>
      <c r="BM2" t="s">
        <v>104</v>
      </c>
      <c r="BN2">
        <v>31746783</v>
      </c>
      <c r="BO2" t="s">
        <v>105</v>
      </c>
      <c r="BP2" t="s">
        <v>74</v>
      </c>
      <c r="BQ2" t="s">
        <v>74</v>
      </c>
      <c r="BR2" t="s">
        <v>106</v>
      </c>
      <c r="BS2" t="s">
        <v>107</v>
      </c>
      <c r="BT2" t="str">
        <f>HYPERLINK("https%3A%2F%2Fwww.webofscience.com%2Fwos%2Fwoscc%2Ffull-record%2FWOS:000513009900001","View Full Record in Web of Science")</f>
        <v>View Full Record in Web of Science</v>
      </c>
    </row>
    <row r="3" spans="1:72" x14ac:dyDescent="0.25">
      <c r="A3" t="s">
        <v>72</v>
      </c>
      <c r="B3" t="s">
        <v>108</v>
      </c>
      <c r="C3" t="s">
        <v>74</v>
      </c>
      <c r="D3" t="s">
        <v>74</v>
      </c>
      <c r="E3" t="s">
        <v>74</v>
      </c>
      <c r="F3" t="s">
        <v>109</v>
      </c>
      <c r="G3" t="s">
        <v>74</v>
      </c>
      <c r="H3" t="s">
        <v>74</v>
      </c>
      <c r="I3" t="s">
        <v>110</v>
      </c>
      <c r="J3" t="s">
        <v>77</v>
      </c>
      <c r="K3" t="s">
        <v>74</v>
      </c>
      <c r="L3" t="s">
        <v>74</v>
      </c>
      <c r="M3" t="s">
        <v>78</v>
      </c>
      <c r="N3" t="s">
        <v>79</v>
      </c>
      <c r="O3" t="s">
        <v>74</v>
      </c>
      <c r="P3" t="s">
        <v>74</v>
      </c>
      <c r="Q3" t="s">
        <v>74</v>
      </c>
      <c r="R3" t="s">
        <v>74</v>
      </c>
      <c r="S3" t="s">
        <v>74</v>
      </c>
      <c r="T3" t="s">
        <v>111</v>
      </c>
      <c r="U3" t="s">
        <v>112</v>
      </c>
      <c r="V3" t="s">
        <v>113</v>
      </c>
      <c r="W3" t="s">
        <v>114</v>
      </c>
      <c r="X3" t="s">
        <v>115</v>
      </c>
      <c r="Y3" t="s">
        <v>116</v>
      </c>
      <c r="Z3" t="s">
        <v>117</v>
      </c>
      <c r="AA3" t="s">
        <v>118</v>
      </c>
      <c r="AB3" t="s">
        <v>119</v>
      </c>
      <c r="AC3" t="s">
        <v>120</v>
      </c>
      <c r="AD3" t="s">
        <v>121</v>
      </c>
      <c r="AE3" t="s">
        <v>122</v>
      </c>
      <c r="AF3" t="s">
        <v>74</v>
      </c>
      <c r="AG3">
        <v>43</v>
      </c>
      <c r="AH3">
        <v>14</v>
      </c>
      <c r="AI3">
        <v>18</v>
      </c>
      <c r="AJ3">
        <v>1</v>
      </c>
      <c r="AK3">
        <v>13</v>
      </c>
      <c r="AL3" t="s">
        <v>92</v>
      </c>
      <c r="AM3" t="s">
        <v>93</v>
      </c>
      <c r="AN3" t="s">
        <v>94</v>
      </c>
      <c r="AO3" t="s">
        <v>95</v>
      </c>
      <c r="AP3" t="s">
        <v>96</v>
      </c>
      <c r="AQ3" t="s">
        <v>74</v>
      </c>
      <c r="AR3" t="s">
        <v>97</v>
      </c>
      <c r="AS3" t="s">
        <v>98</v>
      </c>
      <c r="AT3" t="s">
        <v>99</v>
      </c>
      <c r="AU3">
        <v>2019</v>
      </c>
      <c r="AV3">
        <v>64</v>
      </c>
      <c r="AW3">
        <v>24</v>
      </c>
      <c r="AX3" t="s">
        <v>74</v>
      </c>
      <c r="AY3" t="s">
        <v>74</v>
      </c>
      <c r="AZ3" t="s">
        <v>74</v>
      </c>
      <c r="BA3" t="s">
        <v>74</v>
      </c>
      <c r="BB3" t="s">
        <v>74</v>
      </c>
      <c r="BC3" t="s">
        <v>74</v>
      </c>
      <c r="BD3">
        <v>245002</v>
      </c>
      <c r="BE3" t="s">
        <v>123</v>
      </c>
      <c r="BF3" t="str">
        <f>HYPERLINK("http://dx.doi.org/10.1088/1361-6560/ab5610","http://dx.doi.org/10.1088/1361-6560/ab5610")</f>
        <v>http://dx.doi.org/10.1088/1361-6560/ab5610</v>
      </c>
      <c r="BG3" t="s">
        <v>74</v>
      </c>
      <c r="BH3" t="s">
        <v>74</v>
      </c>
      <c r="BI3">
        <v>16</v>
      </c>
      <c r="BJ3" t="s">
        <v>101</v>
      </c>
      <c r="BK3" t="s">
        <v>102</v>
      </c>
      <c r="BL3" t="s">
        <v>103</v>
      </c>
      <c r="BM3" t="s">
        <v>104</v>
      </c>
      <c r="BN3">
        <v>31711051</v>
      </c>
      <c r="BO3" t="s">
        <v>105</v>
      </c>
      <c r="BP3" t="s">
        <v>74</v>
      </c>
      <c r="BQ3" t="s">
        <v>74</v>
      </c>
      <c r="BR3" t="s">
        <v>106</v>
      </c>
      <c r="BS3" t="s">
        <v>124</v>
      </c>
      <c r="BT3" t="str">
        <f>HYPERLINK("https%3A%2F%2Fwww.webofscience.com%2Fwos%2Fwoscc%2Ffull-record%2FWOS:000513009900002","View Full Record in Web of Science")</f>
        <v>View Full Record in Web of Science</v>
      </c>
    </row>
    <row r="4" spans="1:72" x14ac:dyDescent="0.25">
      <c r="A4" t="s">
        <v>72</v>
      </c>
      <c r="B4" t="s">
        <v>125</v>
      </c>
      <c r="C4" t="s">
        <v>74</v>
      </c>
      <c r="D4" t="s">
        <v>74</v>
      </c>
      <c r="E4" t="s">
        <v>74</v>
      </c>
      <c r="F4" t="s">
        <v>126</v>
      </c>
      <c r="G4" t="s">
        <v>74</v>
      </c>
      <c r="H4" t="s">
        <v>74</v>
      </c>
      <c r="I4" t="s">
        <v>127</v>
      </c>
      <c r="J4" t="s">
        <v>77</v>
      </c>
      <c r="K4" t="s">
        <v>74</v>
      </c>
      <c r="L4" t="s">
        <v>74</v>
      </c>
      <c r="M4" t="s">
        <v>78</v>
      </c>
      <c r="N4" t="s">
        <v>79</v>
      </c>
      <c r="O4" t="s">
        <v>74</v>
      </c>
      <c r="P4" t="s">
        <v>74</v>
      </c>
      <c r="Q4" t="s">
        <v>74</v>
      </c>
      <c r="R4" t="s">
        <v>74</v>
      </c>
      <c r="S4" t="s">
        <v>74</v>
      </c>
      <c r="T4" t="s">
        <v>128</v>
      </c>
      <c r="U4" t="s">
        <v>129</v>
      </c>
      <c r="V4" t="s">
        <v>130</v>
      </c>
      <c r="W4" t="s">
        <v>131</v>
      </c>
      <c r="X4" t="s">
        <v>132</v>
      </c>
      <c r="Y4" t="s">
        <v>133</v>
      </c>
      <c r="Z4" t="s">
        <v>134</v>
      </c>
      <c r="AA4" t="s">
        <v>135</v>
      </c>
      <c r="AB4" t="s">
        <v>136</v>
      </c>
      <c r="AC4" t="s">
        <v>74</v>
      </c>
      <c r="AD4" t="s">
        <v>74</v>
      </c>
      <c r="AE4" t="s">
        <v>74</v>
      </c>
      <c r="AF4" t="s">
        <v>74</v>
      </c>
      <c r="AG4">
        <v>45</v>
      </c>
      <c r="AH4">
        <v>39</v>
      </c>
      <c r="AI4">
        <v>40</v>
      </c>
      <c r="AJ4">
        <v>0</v>
      </c>
      <c r="AK4">
        <v>15</v>
      </c>
      <c r="AL4" t="s">
        <v>92</v>
      </c>
      <c r="AM4" t="s">
        <v>93</v>
      </c>
      <c r="AN4" t="s">
        <v>94</v>
      </c>
      <c r="AO4" t="s">
        <v>95</v>
      </c>
      <c r="AP4" t="s">
        <v>96</v>
      </c>
      <c r="AQ4" t="s">
        <v>74</v>
      </c>
      <c r="AR4" t="s">
        <v>97</v>
      </c>
      <c r="AS4" t="s">
        <v>98</v>
      </c>
      <c r="AT4" t="s">
        <v>137</v>
      </c>
      <c r="AU4">
        <v>2019</v>
      </c>
      <c r="AV4">
        <v>64</v>
      </c>
      <c r="AW4">
        <v>22</v>
      </c>
      <c r="AX4" t="s">
        <v>74</v>
      </c>
      <c r="AY4" t="s">
        <v>74</v>
      </c>
      <c r="AZ4" t="s">
        <v>74</v>
      </c>
      <c r="BA4" t="s">
        <v>74</v>
      </c>
      <c r="BB4" t="s">
        <v>74</v>
      </c>
      <c r="BC4" t="s">
        <v>74</v>
      </c>
      <c r="BD4">
        <v>225009</v>
      </c>
      <c r="BE4" t="s">
        <v>138</v>
      </c>
      <c r="BF4" t="str">
        <f>HYPERLINK("http://dx.doi.org/10.1088/1361-6560/ab52ce","http://dx.doi.org/10.1088/1361-6560/ab52ce")</f>
        <v>http://dx.doi.org/10.1088/1361-6560/ab52ce</v>
      </c>
      <c r="BG4" t="s">
        <v>74</v>
      </c>
      <c r="BH4" t="s">
        <v>74</v>
      </c>
      <c r="BI4">
        <v>13</v>
      </c>
      <c r="BJ4" t="s">
        <v>101</v>
      </c>
      <c r="BK4" t="s">
        <v>102</v>
      </c>
      <c r="BL4" t="s">
        <v>103</v>
      </c>
      <c r="BM4" t="s">
        <v>139</v>
      </c>
      <c r="BN4">
        <v>31665709</v>
      </c>
      <c r="BO4" t="s">
        <v>140</v>
      </c>
      <c r="BP4" t="s">
        <v>74</v>
      </c>
      <c r="BQ4" t="s">
        <v>74</v>
      </c>
      <c r="BR4" t="s">
        <v>106</v>
      </c>
      <c r="BS4" t="s">
        <v>141</v>
      </c>
      <c r="BT4" t="str">
        <f>HYPERLINK("https%3A%2F%2Fwww.webofscience.com%2Fwos%2Fwoscc%2Ffull-record%2FWOS:000499354400001","View Full Record in Web of Science")</f>
        <v>View Full Record in Web of Science</v>
      </c>
    </row>
    <row r="5" spans="1:72" x14ac:dyDescent="0.25">
      <c r="A5" t="s">
        <v>72</v>
      </c>
      <c r="B5" t="s">
        <v>142</v>
      </c>
      <c r="C5" t="s">
        <v>74</v>
      </c>
      <c r="D5" t="s">
        <v>74</v>
      </c>
      <c r="E5" t="s">
        <v>74</v>
      </c>
      <c r="F5" t="s">
        <v>143</v>
      </c>
      <c r="G5" t="s">
        <v>74</v>
      </c>
      <c r="H5" t="s">
        <v>74</v>
      </c>
      <c r="I5" t="s">
        <v>144</v>
      </c>
      <c r="J5" t="s">
        <v>77</v>
      </c>
      <c r="K5" t="s">
        <v>74</v>
      </c>
      <c r="L5" t="s">
        <v>74</v>
      </c>
      <c r="M5" t="s">
        <v>78</v>
      </c>
      <c r="N5" t="s">
        <v>79</v>
      </c>
      <c r="O5" t="s">
        <v>74</v>
      </c>
      <c r="P5" t="s">
        <v>74</v>
      </c>
      <c r="Q5" t="s">
        <v>74</v>
      </c>
      <c r="R5" t="s">
        <v>74</v>
      </c>
      <c r="S5" t="s">
        <v>74</v>
      </c>
      <c r="T5" t="s">
        <v>145</v>
      </c>
      <c r="U5" t="s">
        <v>146</v>
      </c>
      <c r="V5" t="s">
        <v>147</v>
      </c>
      <c r="W5" t="s">
        <v>148</v>
      </c>
      <c r="X5" t="s">
        <v>149</v>
      </c>
      <c r="Y5" t="s">
        <v>150</v>
      </c>
      <c r="Z5" t="s">
        <v>151</v>
      </c>
      <c r="AA5" t="s">
        <v>152</v>
      </c>
      <c r="AB5" t="s">
        <v>153</v>
      </c>
      <c r="AC5" t="s">
        <v>154</v>
      </c>
      <c r="AD5" t="s">
        <v>155</v>
      </c>
      <c r="AE5" t="s">
        <v>156</v>
      </c>
      <c r="AF5" t="s">
        <v>74</v>
      </c>
      <c r="AG5">
        <v>44</v>
      </c>
      <c r="AH5">
        <v>45</v>
      </c>
      <c r="AI5">
        <v>47</v>
      </c>
      <c r="AJ5">
        <v>0</v>
      </c>
      <c r="AK5">
        <v>63</v>
      </c>
      <c r="AL5" t="s">
        <v>157</v>
      </c>
      <c r="AM5" t="s">
        <v>93</v>
      </c>
      <c r="AN5" t="s">
        <v>94</v>
      </c>
      <c r="AO5" t="s">
        <v>95</v>
      </c>
      <c r="AP5" t="s">
        <v>96</v>
      </c>
      <c r="AQ5" t="s">
        <v>74</v>
      </c>
      <c r="AR5" t="s">
        <v>97</v>
      </c>
      <c r="AS5" t="s">
        <v>98</v>
      </c>
      <c r="AT5" t="s">
        <v>137</v>
      </c>
      <c r="AU5">
        <v>2019</v>
      </c>
      <c r="AV5">
        <v>64</v>
      </c>
      <c r="AW5">
        <v>21</v>
      </c>
      <c r="AX5" t="s">
        <v>74</v>
      </c>
      <c r="AY5" t="s">
        <v>74</v>
      </c>
      <c r="AZ5" t="s">
        <v>74</v>
      </c>
      <c r="BA5" t="s">
        <v>74</v>
      </c>
      <c r="BB5" t="s">
        <v>74</v>
      </c>
      <c r="BC5" t="s">
        <v>74</v>
      </c>
      <c r="BD5">
        <v>215009</v>
      </c>
      <c r="BE5" t="s">
        <v>158</v>
      </c>
      <c r="BF5" t="str">
        <f>HYPERLINK("http://dx.doi.org/10.1088/1361-6560/ab489f","http://dx.doi.org/10.1088/1361-6560/ab489f")</f>
        <v>http://dx.doi.org/10.1088/1361-6560/ab489f</v>
      </c>
      <c r="BG5" t="s">
        <v>74</v>
      </c>
      <c r="BH5" t="s">
        <v>74</v>
      </c>
      <c r="BI5">
        <v>12</v>
      </c>
      <c r="BJ5" t="s">
        <v>101</v>
      </c>
      <c r="BK5" t="s">
        <v>102</v>
      </c>
      <c r="BL5" t="s">
        <v>103</v>
      </c>
      <c r="BM5" t="s">
        <v>159</v>
      </c>
      <c r="BN5">
        <v>31561245</v>
      </c>
      <c r="BO5" t="s">
        <v>74</v>
      </c>
      <c r="BP5" t="s">
        <v>74</v>
      </c>
      <c r="BQ5" t="s">
        <v>74</v>
      </c>
      <c r="BR5" t="s">
        <v>106</v>
      </c>
      <c r="BS5" t="s">
        <v>160</v>
      </c>
      <c r="BT5" t="str">
        <f>HYPERLINK("https%3A%2F%2Fwww.webofscience.com%2Fwos%2Fwoscc%2Ffull-record%2FWOS:000494860000001","View Full Record in Web of Science")</f>
        <v>View Full Record in Web of Science</v>
      </c>
    </row>
    <row r="6" spans="1:72" x14ac:dyDescent="0.25">
      <c r="A6" t="s">
        <v>72</v>
      </c>
      <c r="B6" t="s">
        <v>161</v>
      </c>
      <c r="C6" t="s">
        <v>74</v>
      </c>
      <c r="D6" t="s">
        <v>74</v>
      </c>
      <c r="E6" t="s">
        <v>74</v>
      </c>
      <c r="F6" t="s">
        <v>162</v>
      </c>
      <c r="G6" t="s">
        <v>74</v>
      </c>
      <c r="H6" t="s">
        <v>74</v>
      </c>
      <c r="I6" t="s">
        <v>163</v>
      </c>
      <c r="J6" t="s">
        <v>77</v>
      </c>
      <c r="K6" t="s">
        <v>74</v>
      </c>
      <c r="L6" t="s">
        <v>74</v>
      </c>
      <c r="M6" t="s">
        <v>78</v>
      </c>
      <c r="N6" t="s">
        <v>79</v>
      </c>
      <c r="O6" t="s">
        <v>74</v>
      </c>
      <c r="P6" t="s">
        <v>74</v>
      </c>
      <c r="Q6" t="s">
        <v>74</v>
      </c>
      <c r="R6" t="s">
        <v>74</v>
      </c>
      <c r="S6" t="s">
        <v>74</v>
      </c>
      <c r="T6" t="s">
        <v>164</v>
      </c>
      <c r="U6" t="s">
        <v>165</v>
      </c>
      <c r="V6" t="s">
        <v>166</v>
      </c>
      <c r="W6" t="s">
        <v>167</v>
      </c>
      <c r="X6" t="s">
        <v>168</v>
      </c>
      <c r="Y6" t="s">
        <v>169</v>
      </c>
      <c r="Z6" t="s">
        <v>170</v>
      </c>
      <c r="AA6" t="s">
        <v>171</v>
      </c>
      <c r="AB6" t="s">
        <v>172</v>
      </c>
      <c r="AC6" t="s">
        <v>173</v>
      </c>
      <c r="AD6" t="s">
        <v>174</v>
      </c>
      <c r="AE6" t="s">
        <v>175</v>
      </c>
      <c r="AF6" t="s">
        <v>74</v>
      </c>
      <c r="AG6">
        <v>52</v>
      </c>
      <c r="AH6">
        <v>41</v>
      </c>
      <c r="AI6">
        <v>45</v>
      </c>
      <c r="AJ6">
        <v>0</v>
      </c>
      <c r="AK6">
        <v>26</v>
      </c>
      <c r="AL6" t="s">
        <v>157</v>
      </c>
      <c r="AM6" t="s">
        <v>93</v>
      </c>
      <c r="AN6" t="s">
        <v>94</v>
      </c>
      <c r="AO6" t="s">
        <v>95</v>
      </c>
      <c r="AP6" t="s">
        <v>96</v>
      </c>
      <c r="AQ6" t="s">
        <v>74</v>
      </c>
      <c r="AR6" t="s">
        <v>97</v>
      </c>
      <c r="AS6" t="s">
        <v>98</v>
      </c>
      <c r="AT6" t="s">
        <v>176</v>
      </c>
      <c r="AU6">
        <v>2019</v>
      </c>
      <c r="AV6">
        <v>64</v>
      </c>
      <c r="AW6">
        <v>17</v>
      </c>
      <c r="AX6" t="s">
        <v>74</v>
      </c>
      <c r="AY6" t="s">
        <v>74</v>
      </c>
      <c r="AZ6" t="s">
        <v>74</v>
      </c>
      <c r="BA6" t="s">
        <v>74</v>
      </c>
      <c r="BB6" t="s">
        <v>74</v>
      </c>
      <c r="BC6" t="s">
        <v>74</v>
      </c>
      <c r="BD6">
        <v>175020</v>
      </c>
      <c r="BE6" t="s">
        <v>177</v>
      </c>
      <c r="BF6" t="str">
        <f>HYPERLINK("http://dx.doi.org/10.1088/1361-6560/ab2c95","http://dx.doi.org/10.1088/1361-6560/ab2c95")</f>
        <v>http://dx.doi.org/10.1088/1361-6560/ab2c95</v>
      </c>
      <c r="BG6" t="s">
        <v>74</v>
      </c>
      <c r="BH6" t="s">
        <v>74</v>
      </c>
      <c r="BI6">
        <v>13</v>
      </c>
      <c r="BJ6" t="s">
        <v>101</v>
      </c>
      <c r="BK6" t="s">
        <v>102</v>
      </c>
      <c r="BL6" t="s">
        <v>103</v>
      </c>
      <c r="BM6" t="s">
        <v>178</v>
      </c>
      <c r="BN6">
        <v>31239411</v>
      </c>
      <c r="BO6" t="s">
        <v>179</v>
      </c>
      <c r="BP6" t="s">
        <v>74</v>
      </c>
      <c r="BQ6" t="s">
        <v>74</v>
      </c>
      <c r="BR6" t="s">
        <v>106</v>
      </c>
      <c r="BS6" t="s">
        <v>180</v>
      </c>
      <c r="BT6" t="str">
        <f>HYPERLINK("https%3A%2F%2Fwww.webofscience.com%2Fwos%2Fwoscc%2Ffull-record%2FWOS:000484728400005","View Full Record in Web of Science")</f>
        <v>View Full Record in Web of Science</v>
      </c>
    </row>
    <row r="7" spans="1:72" x14ac:dyDescent="0.25">
      <c r="A7" t="s">
        <v>72</v>
      </c>
      <c r="B7" t="s">
        <v>181</v>
      </c>
      <c r="C7" t="s">
        <v>74</v>
      </c>
      <c r="D7" t="s">
        <v>74</v>
      </c>
      <c r="E7" t="s">
        <v>74</v>
      </c>
      <c r="F7" t="s">
        <v>182</v>
      </c>
      <c r="G7" t="s">
        <v>74</v>
      </c>
      <c r="H7" t="s">
        <v>74</v>
      </c>
      <c r="I7" t="s">
        <v>183</v>
      </c>
      <c r="J7" t="s">
        <v>77</v>
      </c>
      <c r="K7" t="s">
        <v>74</v>
      </c>
      <c r="L7" t="s">
        <v>74</v>
      </c>
      <c r="M7" t="s">
        <v>78</v>
      </c>
      <c r="N7" t="s">
        <v>79</v>
      </c>
      <c r="O7" t="s">
        <v>74</v>
      </c>
      <c r="P7" t="s">
        <v>74</v>
      </c>
      <c r="Q7" t="s">
        <v>74</v>
      </c>
      <c r="R7" t="s">
        <v>74</v>
      </c>
      <c r="S7" t="s">
        <v>74</v>
      </c>
      <c r="T7" t="s">
        <v>184</v>
      </c>
      <c r="U7" t="s">
        <v>185</v>
      </c>
      <c r="V7" t="s">
        <v>186</v>
      </c>
      <c r="W7" t="s">
        <v>187</v>
      </c>
      <c r="X7" t="s">
        <v>188</v>
      </c>
      <c r="Y7" t="s">
        <v>189</v>
      </c>
      <c r="Z7" t="s">
        <v>190</v>
      </c>
      <c r="AA7" t="s">
        <v>191</v>
      </c>
      <c r="AB7" t="s">
        <v>192</v>
      </c>
      <c r="AC7" t="s">
        <v>193</v>
      </c>
      <c r="AD7" t="s">
        <v>194</v>
      </c>
      <c r="AE7" t="s">
        <v>195</v>
      </c>
      <c r="AF7" t="s">
        <v>74</v>
      </c>
      <c r="AG7">
        <v>48</v>
      </c>
      <c r="AH7">
        <v>21</v>
      </c>
      <c r="AI7">
        <v>21</v>
      </c>
      <c r="AJ7">
        <v>0</v>
      </c>
      <c r="AK7">
        <v>5</v>
      </c>
      <c r="AL7" t="s">
        <v>92</v>
      </c>
      <c r="AM7" t="s">
        <v>93</v>
      </c>
      <c r="AN7" t="s">
        <v>94</v>
      </c>
      <c r="AO7" t="s">
        <v>95</v>
      </c>
      <c r="AP7" t="s">
        <v>96</v>
      </c>
      <c r="AQ7" t="s">
        <v>74</v>
      </c>
      <c r="AR7" t="s">
        <v>97</v>
      </c>
      <c r="AS7" t="s">
        <v>98</v>
      </c>
      <c r="AT7" t="s">
        <v>196</v>
      </c>
      <c r="AU7">
        <v>2019</v>
      </c>
      <c r="AV7">
        <v>64</v>
      </c>
      <c r="AW7">
        <v>15</v>
      </c>
      <c r="AX7" t="s">
        <v>74</v>
      </c>
      <c r="AY7" t="s">
        <v>74</v>
      </c>
      <c r="AZ7" t="s">
        <v>74</v>
      </c>
      <c r="BA7" t="s">
        <v>74</v>
      </c>
      <c r="BB7" t="s">
        <v>74</v>
      </c>
      <c r="BC7" t="s">
        <v>74</v>
      </c>
      <c r="BD7">
        <v>155006</v>
      </c>
      <c r="BE7" t="s">
        <v>197</v>
      </c>
      <c r="BF7" t="str">
        <f>HYPERLINK("http://dx.doi.org/10.1088/1361-6560/ab2e16","http://dx.doi.org/10.1088/1361-6560/ab2e16")</f>
        <v>http://dx.doi.org/10.1088/1361-6560/ab2e16</v>
      </c>
      <c r="BG7" t="s">
        <v>74</v>
      </c>
      <c r="BH7" t="s">
        <v>74</v>
      </c>
      <c r="BI7">
        <v>12</v>
      </c>
      <c r="BJ7" t="s">
        <v>101</v>
      </c>
      <c r="BK7" t="s">
        <v>102</v>
      </c>
      <c r="BL7" t="s">
        <v>103</v>
      </c>
      <c r="BM7" t="s">
        <v>198</v>
      </c>
      <c r="BN7">
        <v>31261141</v>
      </c>
      <c r="BO7" t="s">
        <v>74</v>
      </c>
      <c r="BP7" t="s">
        <v>74</v>
      </c>
      <c r="BQ7" t="s">
        <v>74</v>
      </c>
      <c r="BR7" t="s">
        <v>106</v>
      </c>
      <c r="BS7" t="s">
        <v>199</v>
      </c>
      <c r="BT7" t="str">
        <f>HYPERLINK("https%3A%2F%2Fwww.webofscience.com%2Fwos%2Fwoscc%2Ffull-record%2FWOS:000480292700001","View Full Record in Web of Science")</f>
        <v>View Full Record in Web of Science</v>
      </c>
    </row>
    <row r="8" spans="1:72" x14ac:dyDescent="0.25">
      <c r="A8" t="s">
        <v>72</v>
      </c>
      <c r="B8" t="s">
        <v>200</v>
      </c>
      <c r="C8" t="s">
        <v>74</v>
      </c>
      <c r="D8" t="s">
        <v>74</v>
      </c>
      <c r="E8" t="s">
        <v>74</v>
      </c>
      <c r="F8" t="s">
        <v>201</v>
      </c>
      <c r="G8" t="s">
        <v>74</v>
      </c>
      <c r="H8" t="s">
        <v>74</v>
      </c>
      <c r="I8" t="s">
        <v>202</v>
      </c>
      <c r="J8" t="s">
        <v>77</v>
      </c>
      <c r="K8" t="s">
        <v>74</v>
      </c>
      <c r="L8" t="s">
        <v>74</v>
      </c>
      <c r="M8" t="s">
        <v>78</v>
      </c>
      <c r="N8" t="s">
        <v>79</v>
      </c>
      <c r="O8" t="s">
        <v>74</v>
      </c>
      <c r="P8" t="s">
        <v>74</v>
      </c>
      <c r="Q8" t="s">
        <v>74</v>
      </c>
      <c r="R8" t="s">
        <v>74</v>
      </c>
      <c r="S8" t="s">
        <v>74</v>
      </c>
      <c r="T8" t="s">
        <v>203</v>
      </c>
      <c r="U8" t="s">
        <v>204</v>
      </c>
      <c r="V8" t="s">
        <v>205</v>
      </c>
      <c r="W8" t="s">
        <v>206</v>
      </c>
      <c r="X8" t="s">
        <v>207</v>
      </c>
      <c r="Y8" t="s">
        <v>208</v>
      </c>
      <c r="Z8" t="s">
        <v>209</v>
      </c>
      <c r="AA8" t="s">
        <v>210</v>
      </c>
      <c r="AB8" t="s">
        <v>74</v>
      </c>
      <c r="AC8" t="s">
        <v>211</v>
      </c>
      <c r="AD8" t="s">
        <v>212</v>
      </c>
      <c r="AE8" t="s">
        <v>213</v>
      </c>
      <c r="AF8" t="s">
        <v>74</v>
      </c>
      <c r="AG8">
        <v>40</v>
      </c>
      <c r="AH8">
        <v>6</v>
      </c>
      <c r="AI8">
        <v>8</v>
      </c>
      <c r="AJ8">
        <v>1</v>
      </c>
      <c r="AK8">
        <v>33</v>
      </c>
      <c r="AL8" t="s">
        <v>92</v>
      </c>
      <c r="AM8" t="s">
        <v>93</v>
      </c>
      <c r="AN8" t="s">
        <v>94</v>
      </c>
      <c r="AO8" t="s">
        <v>95</v>
      </c>
      <c r="AP8" t="s">
        <v>96</v>
      </c>
      <c r="AQ8" t="s">
        <v>74</v>
      </c>
      <c r="AR8" t="s">
        <v>97</v>
      </c>
      <c r="AS8" t="s">
        <v>98</v>
      </c>
      <c r="AT8" t="s">
        <v>214</v>
      </c>
      <c r="AU8">
        <v>2019</v>
      </c>
      <c r="AV8">
        <v>64</v>
      </c>
      <c r="AW8">
        <v>13</v>
      </c>
      <c r="AX8" t="s">
        <v>74</v>
      </c>
      <c r="AY8" t="s">
        <v>74</v>
      </c>
      <c r="AZ8" t="s">
        <v>74</v>
      </c>
      <c r="BA8" t="s">
        <v>74</v>
      </c>
      <c r="BB8" t="s">
        <v>74</v>
      </c>
      <c r="BC8" t="s">
        <v>74</v>
      </c>
      <c r="BD8">
        <v>135003</v>
      </c>
      <c r="BE8" t="s">
        <v>215</v>
      </c>
      <c r="BF8" t="str">
        <f>HYPERLINK("http://dx.doi.org/10.1088/1361-6560/ab2163","http://dx.doi.org/10.1088/1361-6560/ab2163")</f>
        <v>http://dx.doi.org/10.1088/1361-6560/ab2163</v>
      </c>
      <c r="BG8" t="s">
        <v>74</v>
      </c>
      <c r="BH8" t="s">
        <v>74</v>
      </c>
      <c r="BI8">
        <v>17</v>
      </c>
      <c r="BJ8" t="s">
        <v>101</v>
      </c>
      <c r="BK8" t="s">
        <v>102</v>
      </c>
      <c r="BL8" t="s">
        <v>103</v>
      </c>
      <c r="BM8" t="s">
        <v>216</v>
      </c>
      <c r="BN8">
        <v>31082815</v>
      </c>
      <c r="BO8" t="s">
        <v>74</v>
      </c>
      <c r="BP8" t="s">
        <v>74</v>
      </c>
      <c r="BQ8" t="s">
        <v>74</v>
      </c>
      <c r="BR8" t="s">
        <v>106</v>
      </c>
      <c r="BS8" t="s">
        <v>217</v>
      </c>
      <c r="BT8" t="str">
        <f>HYPERLINK("https%3A%2F%2Fwww.webofscience.com%2Fwos%2Fwoscc%2Ffull-record%2FWOS:000473698800003","View Full Record in Web of Science")</f>
        <v>View Full Record in Web of Science</v>
      </c>
    </row>
    <row r="9" spans="1:72" x14ac:dyDescent="0.25">
      <c r="A9" t="s">
        <v>72</v>
      </c>
      <c r="B9" t="s">
        <v>218</v>
      </c>
      <c r="C9" t="s">
        <v>74</v>
      </c>
      <c r="D9" t="s">
        <v>74</v>
      </c>
      <c r="E9" t="s">
        <v>74</v>
      </c>
      <c r="F9" t="s">
        <v>219</v>
      </c>
      <c r="G9" t="s">
        <v>74</v>
      </c>
      <c r="H9" t="s">
        <v>74</v>
      </c>
      <c r="I9" t="s">
        <v>220</v>
      </c>
      <c r="J9" t="s">
        <v>77</v>
      </c>
      <c r="K9" t="s">
        <v>74</v>
      </c>
      <c r="L9" t="s">
        <v>74</v>
      </c>
      <c r="M9" t="s">
        <v>78</v>
      </c>
      <c r="N9" t="s">
        <v>79</v>
      </c>
      <c r="O9" t="s">
        <v>74</v>
      </c>
      <c r="P9" t="s">
        <v>74</v>
      </c>
      <c r="Q9" t="s">
        <v>74</v>
      </c>
      <c r="R9" t="s">
        <v>74</v>
      </c>
      <c r="S9" t="s">
        <v>74</v>
      </c>
      <c r="T9" t="s">
        <v>221</v>
      </c>
      <c r="U9" t="s">
        <v>222</v>
      </c>
      <c r="V9" t="s">
        <v>223</v>
      </c>
      <c r="W9" t="s">
        <v>224</v>
      </c>
      <c r="X9" t="s">
        <v>225</v>
      </c>
      <c r="Y9" t="s">
        <v>226</v>
      </c>
      <c r="Z9" t="s">
        <v>227</v>
      </c>
      <c r="AA9" t="s">
        <v>228</v>
      </c>
      <c r="AB9" t="s">
        <v>229</v>
      </c>
      <c r="AC9" t="s">
        <v>230</v>
      </c>
      <c r="AD9" t="s">
        <v>230</v>
      </c>
      <c r="AE9" t="s">
        <v>231</v>
      </c>
      <c r="AF9" t="s">
        <v>74</v>
      </c>
      <c r="AG9">
        <v>39</v>
      </c>
      <c r="AH9">
        <v>11</v>
      </c>
      <c r="AI9">
        <v>13</v>
      </c>
      <c r="AJ9">
        <v>0</v>
      </c>
      <c r="AK9">
        <v>3</v>
      </c>
      <c r="AL9" t="s">
        <v>92</v>
      </c>
      <c r="AM9" t="s">
        <v>93</v>
      </c>
      <c r="AN9" t="s">
        <v>94</v>
      </c>
      <c r="AO9" t="s">
        <v>95</v>
      </c>
      <c r="AP9" t="s">
        <v>96</v>
      </c>
      <c r="AQ9" t="s">
        <v>74</v>
      </c>
      <c r="AR9" t="s">
        <v>97</v>
      </c>
      <c r="AS9" t="s">
        <v>98</v>
      </c>
      <c r="AT9" t="s">
        <v>214</v>
      </c>
      <c r="AU9">
        <v>2019</v>
      </c>
      <c r="AV9">
        <v>64</v>
      </c>
      <c r="AW9">
        <v>14</v>
      </c>
      <c r="AX9" t="s">
        <v>74</v>
      </c>
      <c r="AY9" t="s">
        <v>74</v>
      </c>
      <c r="AZ9" t="s">
        <v>74</v>
      </c>
      <c r="BA9" t="s">
        <v>74</v>
      </c>
      <c r="BB9" t="s">
        <v>74</v>
      </c>
      <c r="BC9" t="s">
        <v>74</v>
      </c>
      <c r="BD9">
        <v>145013</v>
      </c>
      <c r="BE9" t="s">
        <v>232</v>
      </c>
      <c r="BF9" t="str">
        <f>HYPERLINK("http://dx.doi.org/10.1088/1361-6560/ab2623","http://dx.doi.org/10.1088/1361-6560/ab2623")</f>
        <v>http://dx.doi.org/10.1088/1361-6560/ab2623</v>
      </c>
      <c r="BG9" t="s">
        <v>74</v>
      </c>
      <c r="BH9" t="s">
        <v>74</v>
      </c>
      <c r="BI9">
        <v>10</v>
      </c>
      <c r="BJ9" t="s">
        <v>101</v>
      </c>
      <c r="BK9" t="s">
        <v>102</v>
      </c>
      <c r="BL9" t="s">
        <v>103</v>
      </c>
      <c r="BM9" t="s">
        <v>233</v>
      </c>
      <c r="BN9">
        <v>31151120</v>
      </c>
      <c r="BO9" t="s">
        <v>74</v>
      </c>
      <c r="BP9" t="s">
        <v>74</v>
      </c>
      <c r="BQ9" t="s">
        <v>74</v>
      </c>
      <c r="BR9" t="s">
        <v>106</v>
      </c>
      <c r="BS9" t="s">
        <v>234</v>
      </c>
      <c r="BT9" t="str">
        <f>HYPERLINK("https%3A%2F%2Fwww.webofscience.com%2Fwos%2Fwoscc%2Ffull-record%2FWOS:000475775200006","View Full Record in Web of Science")</f>
        <v>View Full Record in Web of Science</v>
      </c>
    </row>
    <row r="10" spans="1:72" x14ac:dyDescent="0.25">
      <c r="A10" t="s">
        <v>72</v>
      </c>
      <c r="B10" t="s">
        <v>235</v>
      </c>
      <c r="C10" t="s">
        <v>74</v>
      </c>
      <c r="D10" t="s">
        <v>74</v>
      </c>
      <c r="E10" t="s">
        <v>74</v>
      </c>
      <c r="F10" t="s">
        <v>236</v>
      </c>
      <c r="G10" t="s">
        <v>74</v>
      </c>
      <c r="H10" t="s">
        <v>74</v>
      </c>
      <c r="I10" t="s">
        <v>237</v>
      </c>
      <c r="J10" t="s">
        <v>77</v>
      </c>
      <c r="K10" t="s">
        <v>74</v>
      </c>
      <c r="L10" t="s">
        <v>74</v>
      </c>
      <c r="M10" t="s">
        <v>78</v>
      </c>
      <c r="N10" t="s">
        <v>79</v>
      </c>
      <c r="O10" t="s">
        <v>74</v>
      </c>
      <c r="P10" t="s">
        <v>74</v>
      </c>
      <c r="Q10" t="s">
        <v>74</v>
      </c>
      <c r="R10" t="s">
        <v>74</v>
      </c>
      <c r="S10" t="s">
        <v>74</v>
      </c>
      <c r="T10" t="s">
        <v>238</v>
      </c>
      <c r="U10" t="s">
        <v>239</v>
      </c>
      <c r="V10" t="s">
        <v>240</v>
      </c>
      <c r="W10" t="s">
        <v>241</v>
      </c>
      <c r="X10" t="s">
        <v>242</v>
      </c>
      <c r="Y10" t="s">
        <v>243</v>
      </c>
      <c r="Z10" t="s">
        <v>244</v>
      </c>
      <c r="AA10" t="s">
        <v>245</v>
      </c>
      <c r="AB10" t="s">
        <v>246</v>
      </c>
      <c r="AC10" t="s">
        <v>247</v>
      </c>
      <c r="AD10" t="s">
        <v>248</v>
      </c>
      <c r="AE10" t="s">
        <v>249</v>
      </c>
      <c r="AF10" t="s">
        <v>74</v>
      </c>
      <c r="AG10">
        <v>59</v>
      </c>
      <c r="AH10">
        <v>9</v>
      </c>
      <c r="AI10">
        <v>10</v>
      </c>
      <c r="AJ10">
        <v>0</v>
      </c>
      <c r="AK10">
        <v>10</v>
      </c>
      <c r="AL10" t="s">
        <v>92</v>
      </c>
      <c r="AM10" t="s">
        <v>93</v>
      </c>
      <c r="AN10" t="s">
        <v>94</v>
      </c>
      <c r="AO10" t="s">
        <v>95</v>
      </c>
      <c r="AP10" t="s">
        <v>96</v>
      </c>
      <c r="AQ10" t="s">
        <v>74</v>
      </c>
      <c r="AR10" t="s">
        <v>97</v>
      </c>
      <c r="AS10" t="s">
        <v>98</v>
      </c>
      <c r="AT10" t="s">
        <v>250</v>
      </c>
      <c r="AU10">
        <v>2019</v>
      </c>
      <c r="AV10">
        <v>64</v>
      </c>
      <c r="AW10">
        <v>12</v>
      </c>
      <c r="AX10" t="s">
        <v>74</v>
      </c>
      <c r="AY10" t="s">
        <v>74</v>
      </c>
      <c r="AZ10" t="s">
        <v>74</v>
      </c>
      <c r="BA10" t="s">
        <v>74</v>
      </c>
      <c r="BB10" t="s">
        <v>74</v>
      </c>
      <c r="BC10" t="s">
        <v>74</v>
      </c>
      <c r="BD10">
        <v>125007</v>
      </c>
      <c r="BE10" t="s">
        <v>251</v>
      </c>
      <c r="BF10" t="str">
        <f>HYPERLINK("http://dx.doi.org/10.1088/1361-6560/ab195f","http://dx.doi.org/10.1088/1361-6560/ab195f")</f>
        <v>http://dx.doi.org/10.1088/1361-6560/ab195f</v>
      </c>
      <c r="BG10" t="s">
        <v>74</v>
      </c>
      <c r="BH10" t="s">
        <v>74</v>
      </c>
      <c r="BI10">
        <v>17</v>
      </c>
      <c r="BJ10" t="s">
        <v>101</v>
      </c>
      <c r="BK10" t="s">
        <v>102</v>
      </c>
      <c r="BL10" t="s">
        <v>103</v>
      </c>
      <c r="BM10" t="s">
        <v>252</v>
      </c>
      <c r="BN10">
        <v>30986778</v>
      </c>
      <c r="BO10" t="s">
        <v>74</v>
      </c>
      <c r="BP10" t="s">
        <v>74</v>
      </c>
      <c r="BQ10" t="s">
        <v>74</v>
      </c>
      <c r="BR10" t="s">
        <v>106</v>
      </c>
      <c r="BS10" t="s">
        <v>253</v>
      </c>
      <c r="BT10" t="str">
        <f>HYPERLINK("https%3A%2F%2Fwww.webofscience.com%2Fwos%2Fwoscc%2Ffull-record%2FWOS:000471317900002","View Full Record in Web of Science")</f>
        <v>View Full Record in Web of Science</v>
      </c>
    </row>
    <row r="11" spans="1:72" x14ac:dyDescent="0.25">
      <c r="A11" t="s">
        <v>72</v>
      </c>
      <c r="B11" t="s">
        <v>254</v>
      </c>
      <c r="C11" t="s">
        <v>74</v>
      </c>
      <c r="D11" t="s">
        <v>74</v>
      </c>
      <c r="E11" t="s">
        <v>74</v>
      </c>
      <c r="F11" t="s">
        <v>255</v>
      </c>
      <c r="G11" t="s">
        <v>74</v>
      </c>
      <c r="H11" t="s">
        <v>74</v>
      </c>
      <c r="I11" t="s">
        <v>256</v>
      </c>
      <c r="J11" t="s">
        <v>77</v>
      </c>
      <c r="K11" t="s">
        <v>74</v>
      </c>
      <c r="L11" t="s">
        <v>74</v>
      </c>
      <c r="M11" t="s">
        <v>78</v>
      </c>
      <c r="N11" t="s">
        <v>79</v>
      </c>
      <c r="O11" t="s">
        <v>74</v>
      </c>
      <c r="P11" t="s">
        <v>74</v>
      </c>
      <c r="Q11" t="s">
        <v>74</v>
      </c>
      <c r="R11" t="s">
        <v>74</v>
      </c>
      <c r="S11" t="s">
        <v>74</v>
      </c>
      <c r="T11" t="s">
        <v>257</v>
      </c>
      <c r="U11" t="s">
        <v>258</v>
      </c>
      <c r="V11" t="s">
        <v>259</v>
      </c>
      <c r="W11" t="s">
        <v>260</v>
      </c>
      <c r="X11" t="s">
        <v>261</v>
      </c>
      <c r="Y11" t="s">
        <v>262</v>
      </c>
      <c r="Z11" t="s">
        <v>263</v>
      </c>
      <c r="AA11" t="s">
        <v>74</v>
      </c>
      <c r="AB11" t="s">
        <v>264</v>
      </c>
      <c r="AC11" t="s">
        <v>265</v>
      </c>
      <c r="AD11" t="s">
        <v>266</v>
      </c>
      <c r="AE11" t="s">
        <v>267</v>
      </c>
      <c r="AF11" t="s">
        <v>74</v>
      </c>
      <c r="AG11">
        <v>48</v>
      </c>
      <c r="AH11">
        <v>30</v>
      </c>
      <c r="AI11">
        <v>33</v>
      </c>
      <c r="AJ11">
        <v>1</v>
      </c>
      <c r="AK11">
        <v>27</v>
      </c>
      <c r="AL11" t="s">
        <v>157</v>
      </c>
      <c r="AM11" t="s">
        <v>93</v>
      </c>
      <c r="AN11" t="s">
        <v>94</v>
      </c>
      <c r="AO11" t="s">
        <v>95</v>
      </c>
      <c r="AP11" t="s">
        <v>96</v>
      </c>
      <c r="AQ11" t="s">
        <v>74</v>
      </c>
      <c r="AR11" t="s">
        <v>97</v>
      </c>
      <c r="AS11" t="s">
        <v>98</v>
      </c>
      <c r="AT11" t="s">
        <v>250</v>
      </c>
      <c r="AU11">
        <v>2019</v>
      </c>
      <c r="AV11">
        <v>64</v>
      </c>
      <c r="AW11">
        <v>12</v>
      </c>
      <c r="AX11" t="s">
        <v>74</v>
      </c>
      <c r="AY11" t="s">
        <v>74</v>
      </c>
      <c r="AZ11" t="s">
        <v>74</v>
      </c>
      <c r="BA11" t="s">
        <v>74</v>
      </c>
      <c r="BB11" t="s">
        <v>74</v>
      </c>
      <c r="BC11" t="s">
        <v>74</v>
      </c>
      <c r="BD11">
        <v>125026</v>
      </c>
      <c r="BE11" t="s">
        <v>268</v>
      </c>
      <c r="BF11" t="str">
        <f>HYPERLINK("http://dx.doi.org/10.1088/1361-6560/ab1a4f","http://dx.doi.org/10.1088/1361-6560/ab1a4f")</f>
        <v>http://dx.doi.org/10.1088/1361-6560/ab1a4f</v>
      </c>
      <c r="BG11" t="s">
        <v>74</v>
      </c>
      <c r="BH11" t="s">
        <v>74</v>
      </c>
      <c r="BI11">
        <v>21</v>
      </c>
      <c r="BJ11" t="s">
        <v>101</v>
      </c>
      <c r="BK11" t="s">
        <v>102</v>
      </c>
      <c r="BL11" t="s">
        <v>103</v>
      </c>
      <c r="BM11" t="s">
        <v>269</v>
      </c>
      <c r="BN11">
        <v>30995635</v>
      </c>
      <c r="BO11" t="s">
        <v>270</v>
      </c>
      <c r="BP11" t="s">
        <v>74</v>
      </c>
      <c r="BQ11" t="s">
        <v>74</v>
      </c>
      <c r="BR11" t="s">
        <v>106</v>
      </c>
      <c r="BS11" t="s">
        <v>271</v>
      </c>
      <c r="BT11" t="str">
        <f>HYPERLINK("https%3A%2F%2Fwww.webofscience.com%2Fwos%2Fwoscc%2Ffull-record%2FWOS:000474756200001","View Full Record in Web of Science")</f>
        <v>View Full Record in Web of Science</v>
      </c>
    </row>
    <row r="12" spans="1:72" x14ac:dyDescent="0.25">
      <c r="A12" t="s">
        <v>72</v>
      </c>
      <c r="B12" t="s">
        <v>272</v>
      </c>
      <c r="C12" t="s">
        <v>74</v>
      </c>
      <c r="D12" t="s">
        <v>74</v>
      </c>
      <c r="E12" t="s">
        <v>74</v>
      </c>
      <c r="F12" t="s">
        <v>273</v>
      </c>
      <c r="G12" t="s">
        <v>74</v>
      </c>
      <c r="H12" t="s">
        <v>74</v>
      </c>
      <c r="I12" t="s">
        <v>274</v>
      </c>
      <c r="J12" t="s">
        <v>77</v>
      </c>
      <c r="K12" t="s">
        <v>74</v>
      </c>
      <c r="L12" t="s">
        <v>74</v>
      </c>
      <c r="M12" t="s">
        <v>78</v>
      </c>
      <c r="N12" t="s">
        <v>79</v>
      </c>
      <c r="O12" t="s">
        <v>74</v>
      </c>
      <c r="P12" t="s">
        <v>74</v>
      </c>
      <c r="Q12" t="s">
        <v>74</v>
      </c>
      <c r="R12" t="s">
        <v>74</v>
      </c>
      <c r="S12" t="s">
        <v>74</v>
      </c>
      <c r="T12" t="s">
        <v>275</v>
      </c>
      <c r="U12" t="s">
        <v>276</v>
      </c>
      <c r="V12" t="s">
        <v>277</v>
      </c>
      <c r="W12" t="s">
        <v>278</v>
      </c>
      <c r="X12" t="s">
        <v>279</v>
      </c>
      <c r="Y12" t="s">
        <v>280</v>
      </c>
      <c r="Z12" t="s">
        <v>281</v>
      </c>
      <c r="AA12" t="s">
        <v>282</v>
      </c>
      <c r="AB12" t="s">
        <v>74</v>
      </c>
      <c r="AC12" t="s">
        <v>283</v>
      </c>
      <c r="AD12" t="s">
        <v>284</v>
      </c>
      <c r="AE12" t="s">
        <v>285</v>
      </c>
      <c r="AF12" t="s">
        <v>74</v>
      </c>
      <c r="AG12">
        <v>32</v>
      </c>
      <c r="AH12">
        <v>3</v>
      </c>
      <c r="AI12">
        <v>3</v>
      </c>
      <c r="AJ12">
        <v>0</v>
      </c>
      <c r="AK12">
        <v>15</v>
      </c>
      <c r="AL12" t="s">
        <v>92</v>
      </c>
      <c r="AM12" t="s">
        <v>93</v>
      </c>
      <c r="AN12" t="s">
        <v>94</v>
      </c>
      <c r="AO12" t="s">
        <v>95</v>
      </c>
      <c r="AP12" t="s">
        <v>96</v>
      </c>
      <c r="AQ12" t="s">
        <v>74</v>
      </c>
      <c r="AR12" t="s">
        <v>97</v>
      </c>
      <c r="AS12" t="s">
        <v>98</v>
      </c>
      <c r="AT12" t="s">
        <v>250</v>
      </c>
      <c r="AU12">
        <v>2019</v>
      </c>
      <c r="AV12">
        <v>64</v>
      </c>
      <c r="AW12">
        <v>11</v>
      </c>
      <c r="AX12" t="s">
        <v>74</v>
      </c>
      <c r="AY12" t="s">
        <v>74</v>
      </c>
      <c r="AZ12" t="s">
        <v>74</v>
      </c>
      <c r="BA12" t="s">
        <v>74</v>
      </c>
      <c r="BB12" t="s">
        <v>74</v>
      </c>
      <c r="BC12" t="s">
        <v>74</v>
      </c>
      <c r="BD12">
        <v>115015</v>
      </c>
      <c r="BE12" t="s">
        <v>286</v>
      </c>
      <c r="BF12" t="str">
        <f>HYPERLINK("http://dx.doi.org/10.1088/1361-6560/ab1854","http://dx.doi.org/10.1088/1361-6560/ab1854")</f>
        <v>http://dx.doi.org/10.1088/1361-6560/ab1854</v>
      </c>
      <c r="BG12" t="s">
        <v>74</v>
      </c>
      <c r="BH12" t="s">
        <v>74</v>
      </c>
      <c r="BI12">
        <v>13</v>
      </c>
      <c r="BJ12" t="s">
        <v>101</v>
      </c>
      <c r="BK12" t="s">
        <v>102</v>
      </c>
      <c r="BL12" t="s">
        <v>103</v>
      </c>
      <c r="BM12" t="s">
        <v>287</v>
      </c>
      <c r="BN12">
        <v>30974415</v>
      </c>
      <c r="BO12" t="s">
        <v>74</v>
      </c>
      <c r="BP12" t="s">
        <v>74</v>
      </c>
      <c r="BQ12" t="s">
        <v>74</v>
      </c>
      <c r="BR12" t="s">
        <v>106</v>
      </c>
      <c r="BS12" t="s">
        <v>288</v>
      </c>
      <c r="BT12" t="str">
        <f>HYPERLINK("https%3A%2F%2Fwww.webofscience.com%2Fwos%2Fwoscc%2Ffull-record%2FWOS:000469802000007","View Full Record in Web of Science")</f>
        <v>View Full Record in Web of Science</v>
      </c>
    </row>
    <row r="13" spans="1:72" x14ac:dyDescent="0.25">
      <c r="A13" t="s">
        <v>72</v>
      </c>
      <c r="B13" t="s">
        <v>289</v>
      </c>
      <c r="C13" t="s">
        <v>74</v>
      </c>
      <c r="D13" t="s">
        <v>74</v>
      </c>
      <c r="E13" t="s">
        <v>74</v>
      </c>
      <c r="F13" t="s">
        <v>290</v>
      </c>
      <c r="G13" t="s">
        <v>74</v>
      </c>
      <c r="H13" t="s">
        <v>74</v>
      </c>
      <c r="I13" t="s">
        <v>291</v>
      </c>
      <c r="J13" t="s">
        <v>77</v>
      </c>
      <c r="K13" t="s">
        <v>74</v>
      </c>
      <c r="L13" t="s">
        <v>74</v>
      </c>
      <c r="M13" t="s">
        <v>78</v>
      </c>
      <c r="N13" t="s">
        <v>79</v>
      </c>
      <c r="O13" t="s">
        <v>74</v>
      </c>
      <c r="P13" t="s">
        <v>74</v>
      </c>
      <c r="Q13" t="s">
        <v>74</v>
      </c>
      <c r="R13" t="s">
        <v>74</v>
      </c>
      <c r="S13" t="s">
        <v>74</v>
      </c>
      <c r="T13" t="s">
        <v>292</v>
      </c>
      <c r="U13" t="s">
        <v>293</v>
      </c>
      <c r="V13" t="s">
        <v>294</v>
      </c>
      <c r="W13" t="s">
        <v>295</v>
      </c>
      <c r="X13" t="s">
        <v>296</v>
      </c>
      <c r="Y13" t="s">
        <v>297</v>
      </c>
      <c r="Z13" t="s">
        <v>298</v>
      </c>
      <c r="AA13" t="s">
        <v>299</v>
      </c>
      <c r="AB13" t="s">
        <v>300</v>
      </c>
      <c r="AC13" t="s">
        <v>301</v>
      </c>
      <c r="AD13" t="s">
        <v>302</v>
      </c>
      <c r="AE13" t="s">
        <v>303</v>
      </c>
      <c r="AF13" t="s">
        <v>74</v>
      </c>
      <c r="AG13">
        <v>30</v>
      </c>
      <c r="AH13">
        <v>21</v>
      </c>
      <c r="AI13">
        <v>24</v>
      </c>
      <c r="AJ13">
        <v>0</v>
      </c>
      <c r="AK13">
        <v>6</v>
      </c>
      <c r="AL13" t="s">
        <v>92</v>
      </c>
      <c r="AM13" t="s">
        <v>93</v>
      </c>
      <c r="AN13" t="s">
        <v>94</v>
      </c>
      <c r="AO13" t="s">
        <v>95</v>
      </c>
      <c r="AP13" t="s">
        <v>96</v>
      </c>
      <c r="AQ13" t="s">
        <v>74</v>
      </c>
      <c r="AR13" t="s">
        <v>97</v>
      </c>
      <c r="AS13" t="s">
        <v>98</v>
      </c>
      <c r="AT13" t="s">
        <v>250</v>
      </c>
      <c r="AU13">
        <v>2019</v>
      </c>
      <c r="AV13">
        <v>64</v>
      </c>
      <c r="AW13">
        <v>11</v>
      </c>
      <c r="AX13" t="s">
        <v>74</v>
      </c>
      <c r="AY13" t="s">
        <v>74</v>
      </c>
      <c r="AZ13" t="s">
        <v>74</v>
      </c>
      <c r="BA13" t="s">
        <v>74</v>
      </c>
      <c r="BB13" t="s">
        <v>74</v>
      </c>
      <c r="BC13" t="s">
        <v>74</v>
      </c>
      <c r="BD13">
        <v>115019</v>
      </c>
      <c r="BE13" t="s">
        <v>304</v>
      </c>
      <c r="BF13" t="str">
        <f>HYPERLINK("http://dx.doi.org/10.1088/1361-6560/ab1c34","http://dx.doi.org/10.1088/1361-6560/ab1c34")</f>
        <v>http://dx.doi.org/10.1088/1361-6560/ab1c34</v>
      </c>
      <c r="BG13" t="s">
        <v>74</v>
      </c>
      <c r="BH13" t="s">
        <v>74</v>
      </c>
      <c r="BI13">
        <v>10</v>
      </c>
      <c r="BJ13" t="s">
        <v>101</v>
      </c>
      <c r="BK13" t="s">
        <v>102</v>
      </c>
      <c r="BL13" t="s">
        <v>103</v>
      </c>
      <c r="BM13" t="s">
        <v>305</v>
      </c>
      <c r="BN13">
        <v>31018197</v>
      </c>
      <c r="BO13" t="s">
        <v>105</v>
      </c>
      <c r="BP13" t="s">
        <v>74</v>
      </c>
      <c r="BQ13" t="s">
        <v>74</v>
      </c>
      <c r="BR13" t="s">
        <v>106</v>
      </c>
      <c r="BS13" t="s">
        <v>306</v>
      </c>
      <c r="BT13" t="str">
        <f>HYPERLINK("https%3A%2F%2Fwww.webofscience.com%2Fwos%2Fwoscc%2Ffull-record%2FWOS:000470205600003","View Full Record in Web of Science")</f>
        <v>View Full Record in Web of Science</v>
      </c>
    </row>
    <row r="14" spans="1:72" x14ac:dyDescent="0.25">
      <c r="A14" t="s">
        <v>72</v>
      </c>
      <c r="B14" t="s">
        <v>307</v>
      </c>
      <c r="C14" t="s">
        <v>74</v>
      </c>
      <c r="D14" t="s">
        <v>74</v>
      </c>
      <c r="E14" t="s">
        <v>74</v>
      </c>
      <c r="F14" t="s">
        <v>308</v>
      </c>
      <c r="G14" t="s">
        <v>74</v>
      </c>
      <c r="H14" t="s">
        <v>74</v>
      </c>
      <c r="I14" t="s">
        <v>309</v>
      </c>
      <c r="J14" t="s">
        <v>77</v>
      </c>
      <c r="K14" t="s">
        <v>74</v>
      </c>
      <c r="L14" t="s">
        <v>74</v>
      </c>
      <c r="M14" t="s">
        <v>78</v>
      </c>
      <c r="N14" t="s">
        <v>79</v>
      </c>
      <c r="O14" t="s">
        <v>74</v>
      </c>
      <c r="P14" t="s">
        <v>74</v>
      </c>
      <c r="Q14" t="s">
        <v>74</v>
      </c>
      <c r="R14" t="s">
        <v>74</v>
      </c>
      <c r="S14" t="s">
        <v>74</v>
      </c>
      <c r="T14" t="s">
        <v>310</v>
      </c>
      <c r="U14" t="s">
        <v>311</v>
      </c>
      <c r="V14" t="s">
        <v>312</v>
      </c>
      <c r="W14" t="s">
        <v>313</v>
      </c>
      <c r="X14" t="s">
        <v>314</v>
      </c>
      <c r="Y14" t="s">
        <v>315</v>
      </c>
      <c r="Z14" t="s">
        <v>316</v>
      </c>
      <c r="AA14" t="s">
        <v>317</v>
      </c>
      <c r="AB14" t="s">
        <v>318</v>
      </c>
      <c r="AC14" t="s">
        <v>319</v>
      </c>
      <c r="AD14" t="s">
        <v>320</v>
      </c>
      <c r="AE14" t="s">
        <v>321</v>
      </c>
      <c r="AF14" t="s">
        <v>74</v>
      </c>
      <c r="AG14">
        <v>34</v>
      </c>
      <c r="AH14">
        <v>10</v>
      </c>
      <c r="AI14">
        <v>10</v>
      </c>
      <c r="AJ14">
        <v>0</v>
      </c>
      <c r="AK14">
        <v>10</v>
      </c>
      <c r="AL14" t="s">
        <v>92</v>
      </c>
      <c r="AM14" t="s">
        <v>93</v>
      </c>
      <c r="AN14" t="s">
        <v>94</v>
      </c>
      <c r="AO14" t="s">
        <v>95</v>
      </c>
      <c r="AP14" t="s">
        <v>96</v>
      </c>
      <c r="AQ14" t="s">
        <v>74</v>
      </c>
      <c r="AR14" t="s">
        <v>97</v>
      </c>
      <c r="AS14" t="s">
        <v>98</v>
      </c>
      <c r="AT14" t="s">
        <v>250</v>
      </c>
      <c r="AU14">
        <v>2019</v>
      </c>
      <c r="AV14">
        <v>64</v>
      </c>
      <c r="AW14">
        <v>11</v>
      </c>
      <c r="AX14" t="s">
        <v>74</v>
      </c>
      <c r="AY14" t="s">
        <v>74</v>
      </c>
      <c r="AZ14" t="s">
        <v>74</v>
      </c>
      <c r="BA14" t="s">
        <v>74</v>
      </c>
      <c r="BB14" t="s">
        <v>74</v>
      </c>
      <c r="BC14" t="s">
        <v>74</v>
      </c>
      <c r="BD14">
        <v>115007</v>
      </c>
      <c r="BE14" t="s">
        <v>322</v>
      </c>
      <c r="BF14" t="str">
        <f>HYPERLINK("http://dx.doi.org/10.1088/1361-6560/ab1503","http://dx.doi.org/10.1088/1361-6560/ab1503")</f>
        <v>http://dx.doi.org/10.1088/1361-6560/ab1503</v>
      </c>
      <c r="BG14" t="s">
        <v>74</v>
      </c>
      <c r="BH14" t="s">
        <v>74</v>
      </c>
      <c r="BI14">
        <v>12</v>
      </c>
      <c r="BJ14" t="s">
        <v>101</v>
      </c>
      <c r="BK14" t="s">
        <v>102</v>
      </c>
      <c r="BL14" t="s">
        <v>103</v>
      </c>
      <c r="BM14" t="s">
        <v>323</v>
      </c>
      <c r="BN14">
        <v>30933936</v>
      </c>
      <c r="BO14" t="s">
        <v>74</v>
      </c>
      <c r="BP14" t="s">
        <v>74</v>
      </c>
      <c r="BQ14" t="s">
        <v>74</v>
      </c>
      <c r="BR14" t="s">
        <v>106</v>
      </c>
      <c r="BS14" t="s">
        <v>324</v>
      </c>
      <c r="BT14" t="str">
        <f>HYPERLINK("https%3A%2F%2Fwww.webofscience.com%2Fwos%2Fwoscc%2Ffull-record%2FWOS:000468942900007","View Full Record in Web of Science")</f>
        <v>View Full Record in Web of Science</v>
      </c>
    </row>
    <row r="15" spans="1:72" x14ac:dyDescent="0.25">
      <c r="A15" t="s">
        <v>72</v>
      </c>
      <c r="B15" t="s">
        <v>325</v>
      </c>
      <c r="C15" t="s">
        <v>74</v>
      </c>
      <c r="D15" t="s">
        <v>74</v>
      </c>
      <c r="E15" t="s">
        <v>74</v>
      </c>
      <c r="F15" t="s">
        <v>326</v>
      </c>
      <c r="G15" t="s">
        <v>74</v>
      </c>
      <c r="H15" t="s">
        <v>74</v>
      </c>
      <c r="I15" t="s">
        <v>327</v>
      </c>
      <c r="J15" t="s">
        <v>77</v>
      </c>
      <c r="K15" t="s">
        <v>74</v>
      </c>
      <c r="L15" t="s">
        <v>74</v>
      </c>
      <c r="M15" t="s">
        <v>78</v>
      </c>
      <c r="N15" t="s">
        <v>79</v>
      </c>
      <c r="O15" t="s">
        <v>74</v>
      </c>
      <c r="P15" t="s">
        <v>74</v>
      </c>
      <c r="Q15" t="s">
        <v>74</v>
      </c>
      <c r="R15" t="s">
        <v>74</v>
      </c>
      <c r="S15" t="s">
        <v>74</v>
      </c>
      <c r="T15" t="s">
        <v>328</v>
      </c>
      <c r="U15" t="s">
        <v>329</v>
      </c>
      <c r="V15" t="s">
        <v>330</v>
      </c>
      <c r="W15" t="s">
        <v>331</v>
      </c>
      <c r="X15" t="s">
        <v>332</v>
      </c>
      <c r="Y15" t="s">
        <v>333</v>
      </c>
      <c r="Z15" t="s">
        <v>334</v>
      </c>
      <c r="AA15" t="s">
        <v>335</v>
      </c>
      <c r="AB15" t="s">
        <v>336</v>
      </c>
      <c r="AC15" t="s">
        <v>337</v>
      </c>
      <c r="AD15" t="s">
        <v>338</v>
      </c>
      <c r="AE15" t="s">
        <v>339</v>
      </c>
      <c r="AF15" t="s">
        <v>74</v>
      </c>
      <c r="AG15">
        <v>39</v>
      </c>
      <c r="AH15">
        <v>9</v>
      </c>
      <c r="AI15">
        <v>9</v>
      </c>
      <c r="AJ15">
        <v>1</v>
      </c>
      <c r="AK15">
        <v>16</v>
      </c>
      <c r="AL15" t="s">
        <v>92</v>
      </c>
      <c r="AM15" t="s">
        <v>93</v>
      </c>
      <c r="AN15" t="s">
        <v>94</v>
      </c>
      <c r="AO15" t="s">
        <v>95</v>
      </c>
      <c r="AP15" t="s">
        <v>96</v>
      </c>
      <c r="AQ15" t="s">
        <v>74</v>
      </c>
      <c r="AR15" t="s">
        <v>97</v>
      </c>
      <c r="AS15" t="s">
        <v>98</v>
      </c>
      <c r="AT15" t="s">
        <v>250</v>
      </c>
      <c r="AU15">
        <v>2019</v>
      </c>
      <c r="AV15">
        <v>64</v>
      </c>
      <c r="AW15">
        <v>11</v>
      </c>
      <c r="AX15" t="s">
        <v>74</v>
      </c>
      <c r="AY15" t="s">
        <v>74</v>
      </c>
      <c r="AZ15" t="s">
        <v>74</v>
      </c>
      <c r="BA15" t="s">
        <v>74</v>
      </c>
      <c r="BB15" t="s">
        <v>74</v>
      </c>
      <c r="BC15" t="s">
        <v>74</v>
      </c>
      <c r="BD15">
        <v>115014</v>
      </c>
      <c r="BE15" t="s">
        <v>340</v>
      </c>
      <c r="BF15" t="str">
        <f>HYPERLINK("http://dx.doi.org/10.1088/1361-6560/ab1856","http://dx.doi.org/10.1088/1361-6560/ab1856")</f>
        <v>http://dx.doi.org/10.1088/1361-6560/ab1856</v>
      </c>
      <c r="BG15" t="s">
        <v>74</v>
      </c>
      <c r="BH15" t="s">
        <v>74</v>
      </c>
      <c r="BI15">
        <v>13</v>
      </c>
      <c r="BJ15" t="s">
        <v>101</v>
      </c>
      <c r="BK15" t="s">
        <v>102</v>
      </c>
      <c r="BL15" t="s">
        <v>103</v>
      </c>
      <c r="BM15" t="s">
        <v>287</v>
      </c>
      <c r="BN15">
        <v>30974425</v>
      </c>
      <c r="BO15" t="s">
        <v>270</v>
      </c>
      <c r="BP15" t="s">
        <v>74</v>
      </c>
      <c r="BQ15" t="s">
        <v>74</v>
      </c>
      <c r="BR15" t="s">
        <v>106</v>
      </c>
      <c r="BS15" t="s">
        <v>341</v>
      </c>
      <c r="BT15" t="str">
        <f>HYPERLINK("https%3A%2F%2Fwww.webofscience.com%2Fwos%2Fwoscc%2Ffull-record%2FWOS:000469802000006","View Full Record in Web of Science")</f>
        <v>View Full Record in Web of Science</v>
      </c>
    </row>
    <row r="16" spans="1:72" x14ac:dyDescent="0.25">
      <c r="A16" t="s">
        <v>72</v>
      </c>
      <c r="B16" t="s">
        <v>342</v>
      </c>
      <c r="C16" t="s">
        <v>74</v>
      </c>
      <c r="D16" t="s">
        <v>74</v>
      </c>
      <c r="E16" t="s">
        <v>74</v>
      </c>
      <c r="F16" t="s">
        <v>343</v>
      </c>
      <c r="G16" t="s">
        <v>74</v>
      </c>
      <c r="H16" t="s">
        <v>74</v>
      </c>
      <c r="I16" t="s">
        <v>344</v>
      </c>
      <c r="J16" t="s">
        <v>77</v>
      </c>
      <c r="K16" t="s">
        <v>74</v>
      </c>
      <c r="L16" t="s">
        <v>74</v>
      </c>
      <c r="M16" t="s">
        <v>78</v>
      </c>
      <c r="N16" t="s">
        <v>79</v>
      </c>
      <c r="O16" t="s">
        <v>74</v>
      </c>
      <c r="P16" t="s">
        <v>74</v>
      </c>
      <c r="Q16" t="s">
        <v>74</v>
      </c>
      <c r="R16" t="s">
        <v>74</v>
      </c>
      <c r="S16" t="s">
        <v>74</v>
      </c>
      <c r="T16" t="s">
        <v>345</v>
      </c>
      <c r="U16" t="s">
        <v>346</v>
      </c>
      <c r="V16" t="s">
        <v>347</v>
      </c>
      <c r="W16" t="s">
        <v>348</v>
      </c>
      <c r="X16" t="s">
        <v>74</v>
      </c>
      <c r="Y16" t="s">
        <v>349</v>
      </c>
      <c r="Z16" t="s">
        <v>350</v>
      </c>
      <c r="AA16" t="s">
        <v>351</v>
      </c>
      <c r="AB16" t="s">
        <v>352</v>
      </c>
      <c r="AC16" t="s">
        <v>353</v>
      </c>
      <c r="AD16" t="s">
        <v>354</v>
      </c>
      <c r="AE16" t="s">
        <v>355</v>
      </c>
      <c r="AF16" t="s">
        <v>74</v>
      </c>
      <c r="AG16">
        <v>42</v>
      </c>
      <c r="AH16">
        <v>38</v>
      </c>
      <c r="AI16">
        <v>39</v>
      </c>
      <c r="AJ16">
        <v>1</v>
      </c>
      <c r="AK16">
        <v>49</v>
      </c>
      <c r="AL16" t="s">
        <v>157</v>
      </c>
      <c r="AM16" t="s">
        <v>93</v>
      </c>
      <c r="AN16" t="s">
        <v>94</v>
      </c>
      <c r="AO16" t="s">
        <v>95</v>
      </c>
      <c r="AP16" t="s">
        <v>96</v>
      </c>
      <c r="AQ16" t="s">
        <v>74</v>
      </c>
      <c r="AR16" t="s">
        <v>97</v>
      </c>
      <c r="AS16" t="s">
        <v>98</v>
      </c>
      <c r="AT16" t="s">
        <v>250</v>
      </c>
      <c r="AU16">
        <v>2019</v>
      </c>
      <c r="AV16">
        <v>64</v>
      </c>
      <c r="AW16">
        <v>12</v>
      </c>
      <c r="AX16" t="s">
        <v>74</v>
      </c>
      <c r="AY16" t="s">
        <v>74</v>
      </c>
      <c r="AZ16" t="s">
        <v>74</v>
      </c>
      <c r="BA16" t="s">
        <v>74</v>
      </c>
      <c r="BB16" t="s">
        <v>74</v>
      </c>
      <c r="BC16" t="s">
        <v>74</v>
      </c>
      <c r="BD16">
        <v>125011</v>
      </c>
      <c r="BE16" t="s">
        <v>356</v>
      </c>
      <c r="BF16" t="str">
        <f>HYPERLINK("http://dx.doi.org/10.1088/1361-6560/ab2544","http://dx.doi.org/10.1088/1361-6560/ab2544")</f>
        <v>http://dx.doi.org/10.1088/1361-6560/ab2544</v>
      </c>
      <c r="BG16" t="s">
        <v>74</v>
      </c>
      <c r="BH16" t="s">
        <v>74</v>
      </c>
      <c r="BI16">
        <v>14</v>
      </c>
      <c r="BJ16" t="s">
        <v>101</v>
      </c>
      <c r="BK16" t="s">
        <v>102</v>
      </c>
      <c r="BL16" t="s">
        <v>103</v>
      </c>
      <c r="BM16" t="s">
        <v>357</v>
      </c>
      <c r="BN16">
        <v>31141794</v>
      </c>
      <c r="BO16" t="s">
        <v>74</v>
      </c>
      <c r="BP16" t="s">
        <v>74</v>
      </c>
      <c r="BQ16" t="s">
        <v>74</v>
      </c>
      <c r="BR16" t="s">
        <v>106</v>
      </c>
      <c r="BS16" t="s">
        <v>358</v>
      </c>
      <c r="BT16" t="str">
        <f>HYPERLINK("https%3A%2F%2Fwww.webofscience.com%2Fwos%2Fwoscc%2Ffull-record%2FWOS:000518929400001","View Full Record in Web of Science")</f>
        <v>View Full Record in Web of Science</v>
      </c>
    </row>
    <row r="17" spans="1:72" x14ac:dyDescent="0.25">
      <c r="A17" t="s">
        <v>72</v>
      </c>
      <c r="B17" t="s">
        <v>359</v>
      </c>
      <c r="C17" t="s">
        <v>74</v>
      </c>
      <c r="D17" t="s">
        <v>74</v>
      </c>
      <c r="E17" t="s">
        <v>74</v>
      </c>
      <c r="F17" t="s">
        <v>360</v>
      </c>
      <c r="G17" t="s">
        <v>74</v>
      </c>
      <c r="H17" t="s">
        <v>74</v>
      </c>
      <c r="I17" t="s">
        <v>361</v>
      </c>
      <c r="J17" t="s">
        <v>77</v>
      </c>
      <c r="K17" t="s">
        <v>74</v>
      </c>
      <c r="L17" t="s">
        <v>74</v>
      </c>
      <c r="M17" t="s">
        <v>78</v>
      </c>
      <c r="N17" t="s">
        <v>79</v>
      </c>
      <c r="O17" t="s">
        <v>74</v>
      </c>
      <c r="P17" t="s">
        <v>74</v>
      </c>
      <c r="Q17" t="s">
        <v>74</v>
      </c>
      <c r="R17" t="s">
        <v>74</v>
      </c>
      <c r="S17" t="s">
        <v>74</v>
      </c>
      <c r="T17" t="s">
        <v>362</v>
      </c>
      <c r="U17" t="s">
        <v>363</v>
      </c>
      <c r="V17" t="s">
        <v>364</v>
      </c>
      <c r="W17" t="s">
        <v>365</v>
      </c>
      <c r="X17" t="s">
        <v>366</v>
      </c>
      <c r="Y17" t="s">
        <v>367</v>
      </c>
      <c r="Z17" t="s">
        <v>368</v>
      </c>
      <c r="AA17" t="s">
        <v>74</v>
      </c>
      <c r="AB17" t="s">
        <v>369</v>
      </c>
      <c r="AC17" t="s">
        <v>74</v>
      </c>
      <c r="AD17" t="s">
        <v>74</v>
      </c>
      <c r="AE17" t="s">
        <v>74</v>
      </c>
      <c r="AF17" t="s">
        <v>74</v>
      </c>
      <c r="AG17">
        <v>30</v>
      </c>
      <c r="AH17">
        <v>52</v>
      </c>
      <c r="AI17">
        <v>58</v>
      </c>
      <c r="AJ17">
        <v>0</v>
      </c>
      <c r="AK17">
        <v>17</v>
      </c>
      <c r="AL17" t="s">
        <v>157</v>
      </c>
      <c r="AM17" t="s">
        <v>93</v>
      </c>
      <c r="AN17" t="s">
        <v>94</v>
      </c>
      <c r="AO17" t="s">
        <v>95</v>
      </c>
      <c r="AP17" t="s">
        <v>96</v>
      </c>
      <c r="AQ17" t="s">
        <v>74</v>
      </c>
      <c r="AR17" t="s">
        <v>97</v>
      </c>
      <c r="AS17" t="s">
        <v>98</v>
      </c>
      <c r="AT17" t="s">
        <v>370</v>
      </c>
      <c r="AU17">
        <v>2019</v>
      </c>
      <c r="AV17">
        <v>64</v>
      </c>
      <c r="AW17">
        <v>9</v>
      </c>
      <c r="AX17" t="s">
        <v>74</v>
      </c>
      <c r="AY17" t="s">
        <v>74</v>
      </c>
      <c r="AZ17" t="s">
        <v>74</v>
      </c>
      <c r="BA17" t="s">
        <v>74</v>
      </c>
      <c r="BB17" t="s">
        <v>74</v>
      </c>
      <c r="BC17" t="s">
        <v>74</v>
      </c>
      <c r="BD17">
        <v>95017</v>
      </c>
      <c r="BE17" t="s">
        <v>371</v>
      </c>
      <c r="BF17" t="str">
        <f>HYPERLINK("http://dx.doi.org/10.1088/1361-6560/ab142e","http://dx.doi.org/10.1088/1361-6560/ab142e")</f>
        <v>http://dx.doi.org/10.1088/1361-6560/ab142e</v>
      </c>
      <c r="BG17" t="s">
        <v>74</v>
      </c>
      <c r="BH17" t="s">
        <v>74</v>
      </c>
      <c r="BI17">
        <v>9</v>
      </c>
      <c r="BJ17" t="s">
        <v>101</v>
      </c>
      <c r="BK17" t="s">
        <v>102</v>
      </c>
      <c r="BL17" t="s">
        <v>103</v>
      </c>
      <c r="BM17" t="s">
        <v>372</v>
      </c>
      <c r="BN17">
        <v>30921785</v>
      </c>
      <c r="BO17" t="s">
        <v>74</v>
      </c>
      <c r="BP17" t="s">
        <v>74</v>
      </c>
      <c r="BQ17" t="s">
        <v>74</v>
      </c>
      <c r="BR17" t="s">
        <v>106</v>
      </c>
      <c r="BS17" t="s">
        <v>373</v>
      </c>
      <c r="BT17" t="str">
        <f>HYPERLINK("https%3A%2F%2Fwww.webofscience.com%2Fwos%2Fwoscc%2Ffull-record%2FWOS:000466572600004","View Full Record in Web of Science")</f>
        <v>View Full Record in Web of Science</v>
      </c>
    </row>
    <row r="18" spans="1:72" x14ac:dyDescent="0.25">
      <c r="A18" t="s">
        <v>72</v>
      </c>
      <c r="B18" t="s">
        <v>374</v>
      </c>
      <c r="C18" t="s">
        <v>74</v>
      </c>
      <c r="D18" t="s">
        <v>74</v>
      </c>
      <c r="E18" t="s">
        <v>74</v>
      </c>
      <c r="F18" t="s">
        <v>375</v>
      </c>
      <c r="G18" t="s">
        <v>74</v>
      </c>
      <c r="H18" t="s">
        <v>74</v>
      </c>
      <c r="I18" t="s">
        <v>376</v>
      </c>
      <c r="J18" t="s">
        <v>77</v>
      </c>
      <c r="K18" t="s">
        <v>74</v>
      </c>
      <c r="L18" t="s">
        <v>74</v>
      </c>
      <c r="M18" t="s">
        <v>78</v>
      </c>
      <c r="N18" t="s">
        <v>79</v>
      </c>
      <c r="O18" t="s">
        <v>74</v>
      </c>
      <c r="P18" t="s">
        <v>74</v>
      </c>
      <c r="Q18" t="s">
        <v>74</v>
      </c>
      <c r="R18" t="s">
        <v>74</v>
      </c>
      <c r="S18" t="s">
        <v>74</v>
      </c>
      <c r="T18" t="s">
        <v>377</v>
      </c>
      <c r="U18" t="s">
        <v>378</v>
      </c>
      <c r="V18" t="s">
        <v>379</v>
      </c>
      <c r="W18" t="s">
        <v>380</v>
      </c>
      <c r="X18" t="s">
        <v>381</v>
      </c>
      <c r="Y18" t="s">
        <v>382</v>
      </c>
      <c r="Z18" t="s">
        <v>383</v>
      </c>
      <c r="AA18" t="s">
        <v>74</v>
      </c>
      <c r="AB18" t="s">
        <v>74</v>
      </c>
      <c r="AC18" t="s">
        <v>384</v>
      </c>
      <c r="AD18" t="s">
        <v>384</v>
      </c>
      <c r="AE18" t="s">
        <v>385</v>
      </c>
      <c r="AF18" t="s">
        <v>74</v>
      </c>
      <c r="AG18">
        <v>39</v>
      </c>
      <c r="AH18">
        <v>3</v>
      </c>
      <c r="AI18">
        <v>3</v>
      </c>
      <c r="AJ18">
        <v>0</v>
      </c>
      <c r="AK18">
        <v>2</v>
      </c>
      <c r="AL18" t="s">
        <v>92</v>
      </c>
      <c r="AM18" t="s">
        <v>93</v>
      </c>
      <c r="AN18" t="s">
        <v>94</v>
      </c>
      <c r="AO18" t="s">
        <v>95</v>
      </c>
      <c r="AP18" t="s">
        <v>96</v>
      </c>
      <c r="AQ18" t="s">
        <v>74</v>
      </c>
      <c r="AR18" t="s">
        <v>97</v>
      </c>
      <c r="AS18" t="s">
        <v>98</v>
      </c>
      <c r="AT18" t="s">
        <v>386</v>
      </c>
      <c r="AU18">
        <v>2019</v>
      </c>
      <c r="AV18">
        <v>64</v>
      </c>
      <c r="AW18">
        <v>7</v>
      </c>
      <c r="AX18" t="s">
        <v>74</v>
      </c>
      <c r="AY18" t="s">
        <v>74</v>
      </c>
      <c r="AZ18" t="s">
        <v>74</v>
      </c>
      <c r="BA18" t="s">
        <v>74</v>
      </c>
      <c r="BB18" t="s">
        <v>74</v>
      </c>
      <c r="BC18" t="s">
        <v>74</v>
      </c>
      <c r="BD18">
        <v>75007</v>
      </c>
      <c r="BE18" t="s">
        <v>387</v>
      </c>
      <c r="BF18" t="str">
        <f>HYPERLINK("http://dx.doi.org/10.1088/1361-6560/ab075c","http://dx.doi.org/10.1088/1361-6560/ab075c")</f>
        <v>http://dx.doi.org/10.1088/1361-6560/ab075c</v>
      </c>
      <c r="BG18" t="s">
        <v>74</v>
      </c>
      <c r="BH18" t="s">
        <v>74</v>
      </c>
      <c r="BI18">
        <v>22</v>
      </c>
      <c r="BJ18" t="s">
        <v>101</v>
      </c>
      <c r="BK18" t="s">
        <v>102</v>
      </c>
      <c r="BL18" t="s">
        <v>103</v>
      </c>
      <c r="BM18" t="s">
        <v>388</v>
      </c>
      <c r="BN18">
        <v>30769333</v>
      </c>
      <c r="BO18" t="s">
        <v>74</v>
      </c>
      <c r="BP18" t="s">
        <v>74</v>
      </c>
      <c r="BQ18" t="s">
        <v>74</v>
      </c>
      <c r="BR18" t="s">
        <v>106</v>
      </c>
      <c r="BS18" t="s">
        <v>389</v>
      </c>
      <c r="BT18" t="str">
        <f>HYPERLINK("https%3A%2F%2Fwww.webofscience.com%2Fwos%2Fwoscc%2Ffull-record%2FWOS:000462743600003","View Full Record in Web of Science")</f>
        <v>View Full Record in Web of Science</v>
      </c>
    </row>
    <row r="19" spans="1:72" x14ac:dyDescent="0.25">
      <c r="A19" t="s">
        <v>72</v>
      </c>
      <c r="B19" t="s">
        <v>390</v>
      </c>
      <c r="C19" t="s">
        <v>74</v>
      </c>
      <c r="D19" t="s">
        <v>74</v>
      </c>
      <c r="E19" t="s">
        <v>74</v>
      </c>
      <c r="F19" t="s">
        <v>391</v>
      </c>
      <c r="G19" t="s">
        <v>74</v>
      </c>
      <c r="H19" t="s">
        <v>74</v>
      </c>
      <c r="I19" t="s">
        <v>392</v>
      </c>
      <c r="J19" t="s">
        <v>77</v>
      </c>
      <c r="K19" t="s">
        <v>74</v>
      </c>
      <c r="L19" t="s">
        <v>74</v>
      </c>
      <c r="M19" t="s">
        <v>78</v>
      </c>
      <c r="N19" t="s">
        <v>79</v>
      </c>
      <c r="O19" t="s">
        <v>74</v>
      </c>
      <c r="P19" t="s">
        <v>74</v>
      </c>
      <c r="Q19" t="s">
        <v>74</v>
      </c>
      <c r="R19" t="s">
        <v>74</v>
      </c>
      <c r="S19" t="s">
        <v>74</v>
      </c>
      <c r="T19" t="s">
        <v>393</v>
      </c>
      <c r="U19" t="s">
        <v>394</v>
      </c>
      <c r="V19" t="s">
        <v>395</v>
      </c>
      <c r="W19" t="s">
        <v>396</v>
      </c>
      <c r="X19" t="s">
        <v>397</v>
      </c>
      <c r="Y19" t="s">
        <v>398</v>
      </c>
      <c r="Z19" t="s">
        <v>399</v>
      </c>
      <c r="AA19" t="s">
        <v>400</v>
      </c>
      <c r="AB19" t="s">
        <v>74</v>
      </c>
      <c r="AC19" t="s">
        <v>74</v>
      </c>
      <c r="AD19" t="s">
        <v>74</v>
      </c>
      <c r="AE19" t="s">
        <v>74</v>
      </c>
      <c r="AF19" t="s">
        <v>74</v>
      </c>
      <c r="AG19">
        <v>27</v>
      </c>
      <c r="AH19">
        <v>2</v>
      </c>
      <c r="AI19">
        <v>2</v>
      </c>
      <c r="AJ19">
        <v>0</v>
      </c>
      <c r="AK19">
        <v>15</v>
      </c>
      <c r="AL19" t="s">
        <v>92</v>
      </c>
      <c r="AM19" t="s">
        <v>93</v>
      </c>
      <c r="AN19" t="s">
        <v>94</v>
      </c>
      <c r="AO19" t="s">
        <v>95</v>
      </c>
      <c r="AP19" t="s">
        <v>96</v>
      </c>
      <c r="AQ19" t="s">
        <v>74</v>
      </c>
      <c r="AR19" t="s">
        <v>97</v>
      </c>
      <c r="AS19" t="s">
        <v>98</v>
      </c>
      <c r="AT19" t="s">
        <v>386</v>
      </c>
      <c r="AU19">
        <v>2019</v>
      </c>
      <c r="AV19">
        <v>64</v>
      </c>
      <c r="AW19">
        <v>7</v>
      </c>
      <c r="AX19" t="s">
        <v>74</v>
      </c>
      <c r="AY19" t="s">
        <v>74</v>
      </c>
      <c r="AZ19" t="s">
        <v>74</v>
      </c>
      <c r="BA19" t="s">
        <v>74</v>
      </c>
      <c r="BB19" t="s">
        <v>74</v>
      </c>
      <c r="BC19" t="s">
        <v>74</v>
      </c>
      <c r="BD19">
        <v>75005</v>
      </c>
      <c r="BE19" t="s">
        <v>401</v>
      </c>
      <c r="BF19" t="str">
        <f>HYPERLINK("http://dx.doi.org/10.1088/1361-6560/ab0e9b","http://dx.doi.org/10.1088/1361-6560/ab0e9b")</f>
        <v>http://dx.doi.org/10.1088/1361-6560/ab0e9b</v>
      </c>
      <c r="BG19" t="s">
        <v>74</v>
      </c>
      <c r="BH19" t="s">
        <v>74</v>
      </c>
      <c r="BI19">
        <v>13</v>
      </c>
      <c r="BJ19" t="s">
        <v>101</v>
      </c>
      <c r="BK19" t="s">
        <v>102</v>
      </c>
      <c r="BL19" t="s">
        <v>103</v>
      </c>
      <c r="BM19" t="s">
        <v>388</v>
      </c>
      <c r="BN19">
        <v>30856617</v>
      </c>
      <c r="BO19" t="s">
        <v>140</v>
      </c>
      <c r="BP19" t="s">
        <v>74</v>
      </c>
      <c r="BQ19" t="s">
        <v>74</v>
      </c>
      <c r="BR19" t="s">
        <v>106</v>
      </c>
      <c r="BS19" t="s">
        <v>402</v>
      </c>
      <c r="BT19" t="str">
        <f>HYPERLINK("https%3A%2F%2Fwww.webofscience.com%2Fwos%2Fwoscc%2Ffull-record%2FWOS:000462743600001","View Full Record in Web of Science")</f>
        <v>View Full Record in Web of Science</v>
      </c>
    </row>
    <row r="20" spans="1:72" x14ac:dyDescent="0.25">
      <c r="A20" t="s">
        <v>72</v>
      </c>
      <c r="B20" t="s">
        <v>403</v>
      </c>
      <c r="C20" t="s">
        <v>74</v>
      </c>
      <c r="D20" t="s">
        <v>74</v>
      </c>
      <c r="E20" t="s">
        <v>74</v>
      </c>
      <c r="F20" t="s">
        <v>404</v>
      </c>
      <c r="G20" t="s">
        <v>74</v>
      </c>
      <c r="H20" t="s">
        <v>74</v>
      </c>
      <c r="I20" t="s">
        <v>405</v>
      </c>
      <c r="J20" t="s">
        <v>77</v>
      </c>
      <c r="K20" t="s">
        <v>74</v>
      </c>
      <c r="L20" t="s">
        <v>74</v>
      </c>
      <c r="M20" t="s">
        <v>78</v>
      </c>
      <c r="N20" t="s">
        <v>79</v>
      </c>
      <c r="O20" t="s">
        <v>74</v>
      </c>
      <c r="P20" t="s">
        <v>74</v>
      </c>
      <c r="Q20" t="s">
        <v>74</v>
      </c>
      <c r="R20" t="s">
        <v>74</v>
      </c>
      <c r="S20" t="s">
        <v>74</v>
      </c>
      <c r="T20" t="s">
        <v>406</v>
      </c>
      <c r="U20" t="s">
        <v>407</v>
      </c>
      <c r="V20" t="s">
        <v>408</v>
      </c>
      <c r="W20" t="s">
        <v>409</v>
      </c>
      <c r="X20" t="s">
        <v>410</v>
      </c>
      <c r="Y20" t="s">
        <v>411</v>
      </c>
      <c r="Z20" t="s">
        <v>412</v>
      </c>
      <c r="AA20" t="s">
        <v>413</v>
      </c>
      <c r="AB20" t="s">
        <v>414</v>
      </c>
      <c r="AC20" t="s">
        <v>415</v>
      </c>
      <c r="AD20" t="s">
        <v>416</v>
      </c>
      <c r="AE20" t="s">
        <v>417</v>
      </c>
      <c r="AF20" t="s">
        <v>74</v>
      </c>
      <c r="AG20">
        <v>21</v>
      </c>
      <c r="AH20">
        <v>6</v>
      </c>
      <c r="AI20">
        <v>6</v>
      </c>
      <c r="AJ20">
        <v>0</v>
      </c>
      <c r="AK20">
        <v>2</v>
      </c>
      <c r="AL20" t="s">
        <v>92</v>
      </c>
      <c r="AM20" t="s">
        <v>93</v>
      </c>
      <c r="AN20" t="s">
        <v>94</v>
      </c>
      <c r="AO20" t="s">
        <v>95</v>
      </c>
      <c r="AP20" t="s">
        <v>96</v>
      </c>
      <c r="AQ20" t="s">
        <v>74</v>
      </c>
      <c r="AR20" t="s">
        <v>97</v>
      </c>
      <c r="AS20" t="s">
        <v>98</v>
      </c>
      <c r="AT20" t="s">
        <v>386</v>
      </c>
      <c r="AU20">
        <v>2019</v>
      </c>
      <c r="AV20">
        <v>64</v>
      </c>
      <c r="AW20">
        <v>8</v>
      </c>
      <c r="AX20" t="s">
        <v>74</v>
      </c>
      <c r="AY20" t="s">
        <v>74</v>
      </c>
      <c r="AZ20" t="s">
        <v>74</v>
      </c>
      <c r="BA20" t="s">
        <v>74</v>
      </c>
      <c r="BB20" t="s">
        <v>74</v>
      </c>
      <c r="BC20" t="s">
        <v>74</v>
      </c>
      <c r="BD20">
        <v>85016</v>
      </c>
      <c r="BE20" t="s">
        <v>418</v>
      </c>
      <c r="BF20" t="str">
        <f>HYPERLINK("http://dx.doi.org/10.1088/1361-6560/ab10a0","http://dx.doi.org/10.1088/1361-6560/ab10a0")</f>
        <v>http://dx.doi.org/10.1088/1361-6560/ab10a0</v>
      </c>
      <c r="BG20" t="s">
        <v>74</v>
      </c>
      <c r="BH20" t="s">
        <v>74</v>
      </c>
      <c r="BI20">
        <v>9</v>
      </c>
      <c r="BJ20" t="s">
        <v>101</v>
      </c>
      <c r="BK20" t="s">
        <v>102</v>
      </c>
      <c r="BL20" t="s">
        <v>103</v>
      </c>
      <c r="BM20" t="s">
        <v>419</v>
      </c>
      <c r="BN20">
        <v>30884479</v>
      </c>
      <c r="BO20" t="s">
        <v>420</v>
      </c>
      <c r="BP20" t="s">
        <v>74</v>
      </c>
      <c r="BQ20" t="s">
        <v>74</v>
      </c>
      <c r="BR20" t="s">
        <v>106</v>
      </c>
      <c r="BS20" t="s">
        <v>421</v>
      </c>
      <c r="BT20" t="str">
        <f>HYPERLINK("https%3A%2F%2Fwww.webofscience.com%2Fwos%2Fwoscc%2Ffull-record%2FWOS:000464454200002","View Full Record in Web of Science")</f>
        <v>View Full Record in Web of Science</v>
      </c>
    </row>
    <row r="21" spans="1:72" x14ac:dyDescent="0.25">
      <c r="A21" t="s">
        <v>72</v>
      </c>
      <c r="B21" t="s">
        <v>422</v>
      </c>
      <c r="C21" t="s">
        <v>74</v>
      </c>
      <c r="D21" t="s">
        <v>74</v>
      </c>
      <c r="E21" t="s">
        <v>74</v>
      </c>
      <c r="F21" t="s">
        <v>423</v>
      </c>
      <c r="G21" t="s">
        <v>74</v>
      </c>
      <c r="H21" t="s">
        <v>74</v>
      </c>
      <c r="I21" t="s">
        <v>424</v>
      </c>
      <c r="J21" t="s">
        <v>77</v>
      </c>
      <c r="K21" t="s">
        <v>74</v>
      </c>
      <c r="L21" t="s">
        <v>74</v>
      </c>
      <c r="M21" t="s">
        <v>78</v>
      </c>
      <c r="N21" t="s">
        <v>79</v>
      </c>
      <c r="O21" t="s">
        <v>74</v>
      </c>
      <c r="P21" t="s">
        <v>74</v>
      </c>
      <c r="Q21" t="s">
        <v>74</v>
      </c>
      <c r="R21" t="s">
        <v>74</v>
      </c>
      <c r="S21" t="s">
        <v>74</v>
      </c>
      <c r="T21" t="s">
        <v>425</v>
      </c>
      <c r="U21" t="s">
        <v>426</v>
      </c>
      <c r="V21" t="s">
        <v>427</v>
      </c>
      <c r="W21" t="s">
        <v>428</v>
      </c>
      <c r="X21" t="s">
        <v>429</v>
      </c>
      <c r="Y21" t="s">
        <v>430</v>
      </c>
      <c r="Z21" t="s">
        <v>431</v>
      </c>
      <c r="AA21" t="s">
        <v>74</v>
      </c>
      <c r="AB21" t="s">
        <v>432</v>
      </c>
      <c r="AC21" t="s">
        <v>433</v>
      </c>
      <c r="AD21" t="s">
        <v>434</v>
      </c>
      <c r="AE21" t="s">
        <v>435</v>
      </c>
      <c r="AF21" t="s">
        <v>74</v>
      </c>
      <c r="AG21">
        <v>36</v>
      </c>
      <c r="AH21">
        <v>14</v>
      </c>
      <c r="AI21">
        <v>14</v>
      </c>
      <c r="AJ21">
        <v>0</v>
      </c>
      <c r="AK21">
        <v>1</v>
      </c>
      <c r="AL21" t="s">
        <v>92</v>
      </c>
      <c r="AM21" t="s">
        <v>93</v>
      </c>
      <c r="AN21" t="s">
        <v>94</v>
      </c>
      <c r="AO21" t="s">
        <v>95</v>
      </c>
      <c r="AP21" t="s">
        <v>96</v>
      </c>
      <c r="AQ21" t="s">
        <v>74</v>
      </c>
      <c r="AR21" t="s">
        <v>97</v>
      </c>
      <c r="AS21" t="s">
        <v>98</v>
      </c>
      <c r="AT21" t="s">
        <v>436</v>
      </c>
      <c r="AU21">
        <v>2019</v>
      </c>
      <c r="AV21">
        <v>64</v>
      </c>
      <c r="AW21">
        <v>5</v>
      </c>
      <c r="AX21" t="s">
        <v>74</v>
      </c>
      <c r="AY21" t="s">
        <v>74</v>
      </c>
      <c r="AZ21" t="s">
        <v>74</v>
      </c>
      <c r="BA21" t="s">
        <v>74</v>
      </c>
      <c r="BB21" t="s">
        <v>74</v>
      </c>
      <c r="BC21" t="s">
        <v>74</v>
      </c>
      <c r="BD21">
        <v>55011</v>
      </c>
      <c r="BE21" t="s">
        <v>437</v>
      </c>
      <c r="BF21" t="str">
        <f>HYPERLINK("http://dx.doi.org/10.1088/1361-6560/aafd6b","http://dx.doi.org/10.1088/1361-6560/aafd6b")</f>
        <v>http://dx.doi.org/10.1088/1361-6560/aafd6b</v>
      </c>
      <c r="BG21" t="s">
        <v>74</v>
      </c>
      <c r="BH21" t="s">
        <v>74</v>
      </c>
      <c r="BI21">
        <v>10</v>
      </c>
      <c r="BJ21" t="s">
        <v>101</v>
      </c>
      <c r="BK21" t="s">
        <v>102</v>
      </c>
      <c r="BL21" t="s">
        <v>103</v>
      </c>
      <c r="BM21" t="s">
        <v>438</v>
      </c>
      <c r="BN21">
        <v>30630156</v>
      </c>
      <c r="BO21" t="s">
        <v>140</v>
      </c>
      <c r="BP21" t="s">
        <v>74</v>
      </c>
      <c r="BQ21" t="s">
        <v>74</v>
      </c>
      <c r="BR21" t="s">
        <v>106</v>
      </c>
      <c r="BS21" t="s">
        <v>439</v>
      </c>
      <c r="BT21" t="str">
        <f>HYPERLINK("https%3A%2F%2Fwww.webofscience.com%2Fwos%2Fwoscc%2Ffull-record%2FWOS:000459987300001","View Full Record in Web of Science")</f>
        <v>View Full Record in Web of Science</v>
      </c>
    </row>
    <row r="22" spans="1:72" x14ac:dyDescent="0.25">
      <c r="A22" t="s">
        <v>72</v>
      </c>
      <c r="B22" t="s">
        <v>440</v>
      </c>
      <c r="C22" t="s">
        <v>74</v>
      </c>
      <c r="D22" t="s">
        <v>74</v>
      </c>
      <c r="E22" t="s">
        <v>74</v>
      </c>
      <c r="F22" t="s">
        <v>441</v>
      </c>
      <c r="G22" t="s">
        <v>74</v>
      </c>
      <c r="H22" t="s">
        <v>74</v>
      </c>
      <c r="I22" t="s">
        <v>442</v>
      </c>
      <c r="J22" t="s">
        <v>77</v>
      </c>
      <c r="K22" t="s">
        <v>74</v>
      </c>
      <c r="L22" t="s">
        <v>74</v>
      </c>
      <c r="M22" t="s">
        <v>78</v>
      </c>
      <c r="N22" t="s">
        <v>79</v>
      </c>
      <c r="O22" t="s">
        <v>74</v>
      </c>
      <c r="P22" t="s">
        <v>74</v>
      </c>
      <c r="Q22" t="s">
        <v>74</v>
      </c>
      <c r="R22" t="s">
        <v>74</v>
      </c>
      <c r="S22" t="s">
        <v>74</v>
      </c>
      <c r="T22" t="s">
        <v>443</v>
      </c>
      <c r="U22" t="s">
        <v>444</v>
      </c>
      <c r="V22" t="s">
        <v>445</v>
      </c>
      <c r="W22" t="s">
        <v>446</v>
      </c>
      <c r="X22" t="s">
        <v>447</v>
      </c>
      <c r="Y22" t="s">
        <v>448</v>
      </c>
      <c r="Z22" t="s">
        <v>449</v>
      </c>
      <c r="AA22" t="s">
        <v>450</v>
      </c>
      <c r="AB22" t="s">
        <v>451</v>
      </c>
      <c r="AC22" t="s">
        <v>74</v>
      </c>
      <c r="AD22" t="s">
        <v>74</v>
      </c>
      <c r="AE22" t="s">
        <v>74</v>
      </c>
      <c r="AF22" t="s">
        <v>74</v>
      </c>
      <c r="AG22">
        <v>20</v>
      </c>
      <c r="AH22">
        <v>1</v>
      </c>
      <c r="AI22">
        <v>1</v>
      </c>
      <c r="AJ22">
        <v>0</v>
      </c>
      <c r="AK22">
        <v>6</v>
      </c>
      <c r="AL22" t="s">
        <v>92</v>
      </c>
      <c r="AM22" t="s">
        <v>93</v>
      </c>
      <c r="AN22" t="s">
        <v>94</v>
      </c>
      <c r="AO22" t="s">
        <v>95</v>
      </c>
      <c r="AP22" t="s">
        <v>96</v>
      </c>
      <c r="AQ22" t="s">
        <v>74</v>
      </c>
      <c r="AR22" t="s">
        <v>97</v>
      </c>
      <c r="AS22" t="s">
        <v>98</v>
      </c>
      <c r="AT22" t="s">
        <v>436</v>
      </c>
      <c r="AU22">
        <v>2019</v>
      </c>
      <c r="AV22">
        <v>64</v>
      </c>
      <c r="AW22">
        <v>6</v>
      </c>
      <c r="AX22" t="s">
        <v>74</v>
      </c>
      <c r="AY22" t="s">
        <v>74</v>
      </c>
      <c r="AZ22" t="s">
        <v>74</v>
      </c>
      <c r="BA22" t="s">
        <v>74</v>
      </c>
      <c r="BB22" t="s">
        <v>74</v>
      </c>
      <c r="BC22" t="s">
        <v>74</v>
      </c>
      <c r="BD22" t="s">
        <v>452</v>
      </c>
      <c r="BE22" t="s">
        <v>453</v>
      </c>
      <c r="BF22" t="str">
        <f>HYPERLINK("http://dx.doi.org/10.1088/1361-6560/ab02cc","http://dx.doi.org/10.1088/1361-6560/ab02cc")</f>
        <v>http://dx.doi.org/10.1088/1361-6560/ab02cc</v>
      </c>
      <c r="BG22" t="s">
        <v>74</v>
      </c>
      <c r="BH22" t="s">
        <v>74</v>
      </c>
      <c r="BI22">
        <v>8</v>
      </c>
      <c r="BJ22" t="s">
        <v>101</v>
      </c>
      <c r="BK22" t="s">
        <v>102</v>
      </c>
      <c r="BL22" t="s">
        <v>103</v>
      </c>
      <c r="BM22" t="s">
        <v>454</v>
      </c>
      <c r="BN22">
        <v>30695772</v>
      </c>
      <c r="BO22" t="s">
        <v>74</v>
      </c>
      <c r="BP22" t="s">
        <v>74</v>
      </c>
      <c r="BQ22" t="s">
        <v>74</v>
      </c>
      <c r="BR22" t="s">
        <v>106</v>
      </c>
      <c r="BS22" t="s">
        <v>455</v>
      </c>
      <c r="BT22" t="str">
        <f>HYPERLINK("https%3A%2F%2Fwww.webofscience.com%2Fwos%2Fwoscc%2Ffull-record%2FWOS:000460823400001","View Full Record in Web of Science")</f>
        <v>View Full Record in Web of Science</v>
      </c>
    </row>
    <row r="23" spans="1:72" x14ac:dyDescent="0.25">
      <c r="A23" t="s">
        <v>72</v>
      </c>
      <c r="B23" t="s">
        <v>456</v>
      </c>
      <c r="C23" t="s">
        <v>74</v>
      </c>
      <c r="D23" t="s">
        <v>74</v>
      </c>
      <c r="E23" t="s">
        <v>74</v>
      </c>
      <c r="F23" t="s">
        <v>457</v>
      </c>
      <c r="G23" t="s">
        <v>74</v>
      </c>
      <c r="H23" t="s">
        <v>74</v>
      </c>
      <c r="I23" t="s">
        <v>458</v>
      </c>
      <c r="J23" t="s">
        <v>77</v>
      </c>
      <c r="K23" t="s">
        <v>74</v>
      </c>
      <c r="L23" t="s">
        <v>74</v>
      </c>
      <c r="M23" t="s">
        <v>78</v>
      </c>
      <c r="N23" t="s">
        <v>79</v>
      </c>
      <c r="O23" t="s">
        <v>74</v>
      </c>
      <c r="P23" t="s">
        <v>74</v>
      </c>
      <c r="Q23" t="s">
        <v>74</v>
      </c>
      <c r="R23" t="s">
        <v>74</v>
      </c>
      <c r="S23" t="s">
        <v>74</v>
      </c>
      <c r="T23" t="s">
        <v>459</v>
      </c>
      <c r="U23" t="s">
        <v>460</v>
      </c>
      <c r="V23" t="s">
        <v>461</v>
      </c>
      <c r="W23" t="s">
        <v>462</v>
      </c>
      <c r="X23" t="s">
        <v>463</v>
      </c>
      <c r="Y23" t="s">
        <v>464</v>
      </c>
      <c r="Z23" t="s">
        <v>465</v>
      </c>
      <c r="AA23" t="s">
        <v>466</v>
      </c>
      <c r="AB23" t="s">
        <v>467</v>
      </c>
      <c r="AC23" t="s">
        <v>468</v>
      </c>
      <c r="AD23" t="s">
        <v>469</v>
      </c>
      <c r="AE23" t="s">
        <v>470</v>
      </c>
      <c r="AF23" t="s">
        <v>74</v>
      </c>
      <c r="AG23">
        <v>43</v>
      </c>
      <c r="AH23">
        <v>58</v>
      </c>
      <c r="AI23">
        <v>59</v>
      </c>
      <c r="AJ23">
        <v>0</v>
      </c>
      <c r="AK23">
        <v>15</v>
      </c>
      <c r="AL23" t="s">
        <v>92</v>
      </c>
      <c r="AM23" t="s">
        <v>93</v>
      </c>
      <c r="AN23" t="s">
        <v>94</v>
      </c>
      <c r="AO23" t="s">
        <v>95</v>
      </c>
      <c r="AP23" t="s">
        <v>96</v>
      </c>
      <c r="AQ23" t="s">
        <v>74</v>
      </c>
      <c r="AR23" t="s">
        <v>97</v>
      </c>
      <c r="AS23" t="s">
        <v>98</v>
      </c>
      <c r="AT23" t="s">
        <v>471</v>
      </c>
      <c r="AU23">
        <v>2019</v>
      </c>
      <c r="AV23">
        <v>64</v>
      </c>
      <c r="AW23">
        <v>2</v>
      </c>
      <c r="AX23" t="s">
        <v>74</v>
      </c>
      <c r="AY23" t="s">
        <v>74</v>
      </c>
      <c r="AZ23" t="s">
        <v>74</v>
      </c>
      <c r="BA23" t="s">
        <v>74</v>
      </c>
      <c r="BB23" t="s">
        <v>74</v>
      </c>
      <c r="BC23" t="s">
        <v>74</v>
      </c>
      <c r="BD23">
        <v>25001</v>
      </c>
      <c r="BE23" t="s">
        <v>472</v>
      </c>
      <c r="BF23" t="str">
        <f>HYPERLINK("http://dx.doi.org/10.1088/1361-6560/aaf5e0","http://dx.doi.org/10.1088/1361-6560/aaf5e0")</f>
        <v>http://dx.doi.org/10.1088/1361-6560/aaf5e0</v>
      </c>
      <c r="BG23" t="s">
        <v>74</v>
      </c>
      <c r="BH23" t="s">
        <v>74</v>
      </c>
      <c r="BI23">
        <v>12</v>
      </c>
      <c r="BJ23" t="s">
        <v>101</v>
      </c>
      <c r="BK23" t="s">
        <v>102</v>
      </c>
      <c r="BL23" t="s">
        <v>103</v>
      </c>
      <c r="BM23" t="s">
        <v>473</v>
      </c>
      <c r="BN23">
        <v>30524027</v>
      </c>
      <c r="BO23" t="s">
        <v>105</v>
      </c>
      <c r="BP23" t="s">
        <v>74</v>
      </c>
      <c r="BQ23" t="s">
        <v>74</v>
      </c>
      <c r="BR23" t="s">
        <v>106</v>
      </c>
      <c r="BS23" t="s">
        <v>474</v>
      </c>
      <c r="BT23" t="str">
        <f>HYPERLINK("https%3A%2F%2Fwww.webofscience.com%2Fwos%2Fwoscc%2Ffull-record%2FWOS:000455360700001","View Full Record in Web of Science")</f>
        <v>View Full Record in Web of Science</v>
      </c>
    </row>
    <row r="24" spans="1:72" x14ac:dyDescent="0.25">
      <c r="A24" t="s">
        <v>72</v>
      </c>
      <c r="B24" t="s">
        <v>475</v>
      </c>
      <c r="C24" t="s">
        <v>74</v>
      </c>
      <c r="D24" t="s">
        <v>74</v>
      </c>
      <c r="E24" t="s">
        <v>74</v>
      </c>
      <c r="F24" t="s">
        <v>476</v>
      </c>
      <c r="G24" t="s">
        <v>74</v>
      </c>
      <c r="H24" t="s">
        <v>74</v>
      </c>
      <c r="I24" t="s">
        <v>477</v>
      </c>
      <c r="J24" t="s">
        <v>77</v>
      </c>
      <c r="K24" t="s">
        <v>74</v>
      </c>
      <c r="L24" t="s">
        <v>74</v>
      </c>
      <c r="M24" t="s">
        <v>78</v>
      </c>
      <c r="N24" t="s">
        <v>79</v>
      </c>
      <c r="O24" t="s">
        <v>74</v>
      </c>
      <c r="P24" t="s">
        <v>74</v>
      </c>
      <c r="Q24" t="s">
        <v>74</v>
      </c>
      <c r="R24" t="s">
        <v>74</v>
      </c>
      <c r="S24" t="s">
        <v>74</v>
      </c>
      <c r="T24" t="s">
        <v>478</v>
      </c>
      <c r="U24" t="s">
        <v>479</v>
      </c>
      <c r="V24" t="s">
        <v>480</v>
      </c>
      <c r="W24" t="s">
        <v>481</v>
      </c>
      <c r="X24" t="s">
        <v>482</v>
      </c>
      <c r="Y24" t="s">
        <v>483</v>
      </c>
      <c r="Z24" t="s">
        <v>484</v>
      </c>
      <c r="AA24" t="s">
        <v>485</v>
      </c>
      <c r="AB24" t="s">
        <v>486</v>
      </c>
      <c r="AC24" t="s">
        <v>487</v>
      </c>
      <c r="AD24" t="s">
        <v>488</v>
      </c>
      <c r="AE24" t="s">
        <v>489</v>
      </c>
      <c r="AF24" t="s">
        <v>74</v>
      </c>
      <c r="AG24">
        <v>36</v>
      </c>
      <c r="AH24">
        <v>30</v>
      </c>
      <c r="AI24">
        <v>30</v>
      </c>
      <c r="AJ24">
        <v>1</v>
      </c>
      <c r="AK24">
        <v>14</v>
      </c>
      <c r="AL24" t="s">
        <v>92</v>
      </c>
      <c r="AM24" t="s">
        <v>93</v>
      </c>
      <c r="AN24" t="s">
        <v>94</v>
      </c>
      <c r="AO24" t="s">
        <v>95</v>
      </c>
      <c r="AP24" t="s">
        <v>96</v>
      </c>
      <c r="AQ24" t="s">
        <v>74</v>
      </c>
      <c r="AR24" t="s">
        <v>97</v>
      </c>
      <c r="AS24" t="s">
        <v>98</v>
      </c>
      <c r="AT24" t="s">
        <v>99</v>
      </c>
      <c r="AU24">
        <v>2019</v>
      </c>
      <c r="AV24">
        <v>64</v>
      </c>
      <c r="AW24">
        <v>23</v>
      </c>
      <c r="AX24" t="s">
        <v>74</v>
      </c>
      <c r="AY24" t="s">
        <v>74</v>
      </c>
      <c r="AZ24" t="s">
        <v>74</v>
      </c>
      <c r="BA24" t="s">
        <v>74</v>
      </c>
      <c r="BB24" t="s">
        <v>74</v>
      </c>
      <c r="BC24" t="s">
        <v>74</v>
      </c>
      <c r="BD24">
        <v>235005</v>
      </c>
      <c r="BE24" t="s">
        <v>490</v>
      </c>
      <c r="BF24" t="str">
        <f>HYPERLINK("http://dx.doi.org/10.1088/1361-6560/ab4912","http://dx.doi.org/10.1088/1361-6560/ab4912")</f>
        <v>http://dx.doi.org/10.1088/1361-6560/ab4912</v>
      </c>
      <c r="BG24" t="s">
        <v>74</v>
      </c>
      <c r="BH24" t="s">
        <v>74</v>
      </c>
      <c r="BI24">
        <v>11</v>
      </c>
      <c r="BJ24" t="s">
        <v>101</v>
      </c>
      <c r="BK24" t="s">
        <v>102</v>
      </c>
      <c r="BL24" t="s">
        <v>103</v>
      </c>
      <c r="BM24" t="s">
        <v>491</v>
      </c>
      <c r="BN24">
        <v>31569079</v>
      </c>
      <c r="BO24" t="s">
        <v>492</v>
      </c>
      <c r="BP24" t="s">
        <v>74</v>
      </c>
      <c r="BQ24" t="s">
        <v>74</v>
      </c>
      <c r="BR24" t="s">
        <v>106</v>
      </c>
      <c r="BS24" t="s">
        <v>493</v>
      </c>
      <c r="BT24" t="str">
        <f>HYPERLINK("https%3A%2F%2Fwww.webofscience.com%2Fwos%2Fwoscc%2Ffull-record%2FWOS:000499358500001","View Full Record in Web of Science")</f>
        <v>View Full Record in Web of Science</v>
      </c>
    </row>
    <row r="25" spans="1:72" x14ac:dyDescent="0.25">
      <c r="A25" t="s">
        <v>72</v>
      </c>
      <c r="B25" t="s">
        <v>494</v>
      </c>
      <c r="C25" t="s">
        <v>74</v>
      </c>
      <c r="D25" t="s">
        <v>74</v>
      </c>
      <c r="E25" t="s">
        <v>74</v>
      </c>
      <c r="F25" t="s">
        <v>495</v>
      </c>
      <c r="G25" t="s">
        <v>74</v>
      </c>
      <c r="H25" t="s">
        <v>74</v>
      </c>
      <c r="I25" t="s">
        <v>496</v>
      </c>
      <c r="J25" t="s">
        <v>77</v>
      </c>
      <c r="K25" t="s">
        <v>74</v>
      </c>
      <c r="L25" t="s">
        <v>74</v>
      </c>
      <c r="M25" t="s">
        <v>78</v>
      </c>
      <c r="N25" t="s">
        <v>79</v>
      </c>
      <c r="O25" t="s">
        <v>74</v>
      </c>
      <c r="P25" t="s">
        <v>74</v>
      </c>
      <c r="Q25" t="s">
        <v>74</v>
      </c>
      <c r="R25" t="s">
        <v>74</v>
      </c>
      <c r="S25" t="s">
        <v>74</v>
      </c>
      <c r="T25" t="s">
        <v>497</v>
      </c>
      <c r="U25" t="s">
        <v>498</v>
      </c>
      <c r="V25" t="s">
        <v>499</v>
      </c>
      <c r="W25" t="s">
        <v>500</v>
      </c>
      <c r="X25" t="s">
        <v>501</v>
      </c>
      <c r="Y25" t="s">
        <v>502</v>
      </c>
      <c r="Z25" t="s">
        <v>503</v>
      </c>
      <c r="AA25" t="s">
        <v>504</v>
      </c>
      <c r="AB25" t="s">
        <v>505</v>
      </c>
      <c r="AC25" t="s">
        <v>506</v>
      </c>
      <c r="AD25" t="s">
        <v>507</v>
      </c>
      <c r="AE25" t="s">
        <v>508</v>
      </c>
      <c r="AF25" t="s">
        <v>74</v>
      </c>
      <c r="AG25">
        <v>65</v>
      </c>
      <c r="AH25">
        <v>2</v>
      </c>
      <c r="AI25">
        <v>3</v>
      </c>
      <c r="AJ25">
        <v>0</v>
      </c>
      <c r="AK25">
        <v>18</v>
      </c>
      <c r="AL25" t="s">
        <v>92</v>
      </c>
      <c r="AM25" t="s">
        <v>93</v>
      </c>
      <c r="AN25" t="s">
        <v>94</v>
      </c>
      <c r="AO25" t="s">
        <v>95</v>
      </c>
      <c r="AP25" t="s">
        <v>96</v>
      </c>
      <c r="AQ25" t="s">
        <v>74</v>
      </c>
      <c r="AR25" t="s">
        <v>97</v>
      </c>
      <c r="AS25" t="s">
        <v>98</v>
      </c>
      <c r="AT25" t="s">
        <v>509</v>
      </c>
      <c r="AU25">
        <v>2019</v>
      </c>
      <c r="AV25">
        <v>64</v>
      </c>
      <c r="AW25">
        <v>19</v>
      </c>
      <c r="AX25" t="s">
        <v>74</v>
      </c>
      <c r="AY25" t="s">
        <v>74</v>
      </c>
      <c r="AZ25" t="s">
        <v>74</v>
      </c>
      <c r="BA25" t="s">
        <v>74</v>
      </c>
      <c r="BB25" t="s">
        <v>74</v>
      </c>
      <c r="BC25" t="s">
        <v>74</v>
      </c>
      <c r="BD25">
        <v>195004</v>
      </c>
      <c r="BE25" t="s">
        <v>510</v>
      </c>
      <c r="BF25" t="str">
        <f>HYPERLINK("http://dx.doi.org/10.1088/1361-6560/ab3704","http://dx.doi.org/10.1088/1361-6560/ab3704")</f>
        <v>http://dx.doi.org/10.1088/1361-6560/ab3704</v>
      </c>
      <c r="BG25" t="s">
        <v>74</v>
      </c>
      <c r="BH25" t="s">
        <v>74</v>
      </c>
      <c r="BI25">
        <v>15</v>
      </c>
      <c r="BJ25" t="s">
        <v>101</v>
      </c>
      <c r="BK25" t="s">
        <v>102</v>
      </c>
      <c r="BL25" t="s">
        <v>103</v>
      </c>
      <c r="BM25" t="s">
        <v>511</v>
      </c>
      <c r="BN25">
        <v>31362279</v>
      </c>
      <c r="BO25" t="s">
        <v>74</v>
      </c>
      <c r="BP25" t="s">
        <v>74</v>
      </c>
      <c r="BQ25" t="s">
        <v>74</v>
      </c>
      <c r="BR25" t="s">
        <v>106</v>
      </c>
      <c r="BS25" t="s">
        <v>512</v>
      </c>
      <c r="BT25" t="str">
        <f>HYPERLINK("https%3A%2F%2Fwww.webofscience.com%2Fwos%2Fwoscc%2Ffull-record%2FWOS:000487555100004","View Full Record in Web of Science")</f>
        <v>View Full Record in Web of Science</v>
      </c>
    </row>
    <row r="26" spans="1:72" x14ac:dyDescent="0.25">
      <c r="A26" t="s">
        <v>72</v>
      </c>
      <c r="B26" t="s">
        <v>513</v>
      </c>
      <c r="C26" t="s">
        <v>74</v>
      </c>
      <c r="D26" t="s">
        <v>74</v>
      </c>
      <c r="E26" t="s">
        <v>74</v>
      </c>
      <c r="F26" t="s">
        <v>514</v>
      </c>
      <c r="G26" t="s">
        <v>74</v>
      </c>
      <c r="H26" t="s">
        <v>74</v>
      </c>
      <c r="I26" t="s">
        <v>515</v>
      </c>
      <c r="J26" t="s">
        <v>77</v>
      </c>
      <c r="K26" t="s">
        <v>74</v>
      </c>
      <c r="L26" t="s">
        <v>74</v>
      </c>
      <c r="M26" t="s">
        <v>78</v>
      </c>
      <c r="N26" t="s">
        <v>79</v>
      </c>
      <c r="O26" t="s">
        <v>74</v>
      </c>
      <c r="P26" t="s">
        <v>74</v>
      </c>
      <c r="Q26" t="s">
        <v>74</v>
      </c>
      <c r="R26" t="s">
        <v>74</v>
      </c>
      <c r="S26" t="s">
        <v>74</v>
      </c>
      <c r="T26" t="s">
        <v>516</v>
      </c>
      <c r="U26" t="s">
        <v>517</v>
      </c>
      <c r="V26" t="s">
        <v>518</v>
      </c>
      <c r="W26" t="s">
        <v>519</v>
      </c>
      <c r="X26" t="s">
        <v>520</v>
      </c>
      <c r="Y26" t="s">
        <v>521</v>
      </c>
      <c r="Z26" t="s">
        <v>522</v>
      </c>
      <c r="AA26" t="s">
        <v>523</v>
      </c>
      <c r="AB26" t="s">
        <v>524</v>
      </c>
      <c r="AC26" t="s">
        <v>525</v>
      </c>
      <c r="AD26" t="s">
        <v>526</v>
      </c>
      <c r="AE26" t="s">
        <v>527</v>
      </c>
      <c r="AF26" t="s">
        <v>74</v>
      </c>
      <c r="AG26">
        <v>54</v>
      </c>
      <c r="AH26">
        <v>48</v>
      </c>
      <c r="AI26">
        <v>52</v>
      </c>
      <c r="AJ26">
        <v>8</v>
      </c>
      <c r="AK26">
        <v>100</v>
      </c>
      <c r="AL26" t="s">
        <v>157</v>
      </c>
      <c r="AM26" t="s">
        <v>93</v>
      </c>
      <c r="AN26" t="s">
        <v>94</v>
      </c>
      <c r="AO26" t="s">
        <v>95</v>
      </c>
      <c r="AP26" t="s">
        <v>96</v>
      </c>
      <c r="AQ26" t="s">
        <v>74</v>
      </c>
      <c r="AR26" t="s">
        <v>97</v>
      </c>
      <c r="AS26" t="s">
        <v>98</v>
      </c>
      <c r="AT26" t="s">
        <v>214</v>
      </c>
      <c r="AU26">
        <v>2019</v>
      </c>
      <c r="AV26">
        <v>64</v>
      </c>
      <c r="AW26">
        <v>14</v>
      </c>
      <c r="AX26" t="s">
        <v>74</v>
      </c>
      <c r="AY26" t="s">
        <v>74</v>
      </c>
      <c r="AZ26" t="s">
        <v>74</v>
      </c>
      <c r="BA26" t="s">
        <v>74</v>
      </c>
      <c r="BB26" t="s">
        <v>74</v>
      </c>
      <c r="BC26" t="s">
        <v>74</v>
      </c>
      <c r="BD26">
        <v>145003</v>
      </c>
      <c r="BE26" t="s">
        <v>528</v>
      </c>
      <c r="BF26" t="str">
        <f>HYPERLINK("http://dx.doi.org/10.1088/1361-6560/ab23a6","http://dx.doi.org/10.1088/1361-6560/ab23a6")</f>
        <v>http://dx.doi.org/10.1088/1361-6560/ab23a6</v>
      </c>
      <c r="BG26" t="s">
        <v>74</v>
      </c>
      <c r="BH26" t="s">
        <v>74</v>
      </c>
      <c r="BI26">
        <v>15</v>
      </c>
      <c r="BJ26" t="s">
        <v>101</v>
      </c>
      <c r="BK26" t="s">
        <v>102</v>
      </c>
      <c r="BL26" t="s">
        <v>103</v>
      </c>
      <c r="BM26" t="s">
        <v>529</v>
      </c>
      <c r="BN26">
        <v>31117060</v>
      </c>
      <c r="BO26" t="s">
        <v>74</v>
      </c>
      <c r="BP26" t="s">
        <v>74</v>
      </c>
      <c r="BQ26" t="s">
        <v>74</v>
      </c>
      <c r="BR26" t="s">
        <v>106</v>
      </c>
      <c r="BS26" t="s">
        <v>530</v>
      </c>
      <c r="BT26" t="str">
        <f>HYPERLINK("https%3A%2F%2Fwww.webofscience.com%2Fwos%2Fwoscc%2Ffull-record%2FWOS:000475378800003","View Full Record in Web of Science")</f>
        <v>View Full Record in Web of Science</v>
      </c>
    </row>
    <row r="27" spans="1:72" x14ac:dyDescent="0.25">
      <c r="A27" t="s">
        <v>72</v>
      </c>
      <c r="B27" t="s">
        <v>531</v>
      </c>
      <c r="C27" t="s">
        <v>74</v>
      </c>
      <c r="D27" t="s">
        <v>74</v>
      </c>
      <c r="E27" t="s">
        <v>74</v>
      </c>
      <c r="F27" t="s">
        <v>532</v>
      </c>
      <c r="G27" t="s">
        <v>74</v>
      </c>
      <c r="H27" t="s">
        <v>74</v>
      </c>
      <c r="I27" t="s">
        <v>533</v>
      </c>
      <c r="J27" t="s">
        <v>77</v>
      </c>
      <c r="K27" t="s">
        <v>74</v>
      </c>
      <c r="L27" t="s">
        <v>74</v>
      </c>
      <c r="M27" t="s">
        <v>78</v>
      </c>
      <c r="N27" t="s">
        <v>79</v>
      </c>
      <c r="O27" t="s">
        <v>74</v>
      </c>
      <c r="P27" t="s">
        <v>74</v>
      </c>
      <c r="Q27" t="s">
        <v>74</v>
      </c>
      <c r="R27" t="s">
        <v>74</v>
      </c>
      <c r="S27" t="s">
        <v>74</v>
      </c>
      <c r="T27" t="s">
        <v>534</v>
      </c>
      <c r="U27" t="s">
        <v>535</v>
      </c>
      <c r="V27" t="s">
        <v>536</v>
      </c>
      <c r="W27" t="s">
        <v>537</v>
      </c>
      <c r="X27" t="s">
        <v>538</v>
      </c>
      <c r="Y27" t="s">
        <v>539</v>
      </c>
      <c r="Z27" t="s">
        <v>540</v>
      </c>
      <c r="AA27" t="s">
        <v>74</v>
      </c>
      <c r="AB27" t="s">
        <v>541</v>
      </c>
      <c r="AC27" t="s">
        <v>542</v>
      </c>
      <c r="AD27" t="s">
        <v>543</v>
      </c>
      <c r="AE27" t="s">
        <v>544</v>
      </c>
      <c r="AF27" t="s">
        <v>74</v>
      </c>
      <c r="AG27">
        <v>47</v>
      </c>
      <c r="AH27">
        <v>27</v>
      </c>
      <c r="AI27">
        <v>28</v>
      </c>
      <c r="AJ27">
        <v>1</v>
      </c>
      <c r="AK27">
        <v>20</v>
      </c>
      <c r="AL27" t="s">
        <v>92</v>
      </c>
      <c r="AM27" t="s">
        <v>93</v>
      </c>
      <c r="AN27" t="s">
        <v>94</v>
      </c>
      <c r="AO27" t="s">
        <v>95</v>
      </c>
      <c r="AP27" t="s">
        <v>96</v>
      </c>
      <c r="AQ27" t="s">
        <v>74</v>
      </c>
      <c r="AR27" t="s">
        <v>97</v>
      </c>
      <c r="AS27" t="s">
        <v>98</v>
      </c>
      <c r="AT27" t="s">
        <v>214</v>
      </c>
      <c r="AU27">
        <v>2019</v>
      </c>
      <c r="AV27">
        <v>64</v>
      </c>
      <c r="AW27">
        <v>14</v>
      </c>
      <c r="AX27" t="s">
        <v>74</v>
      </c>
      <c r="AY27" t="s">
        <v>74</v>
      </c>
      <c r="AZ27" t="s">
        <v>74</v>
      </c>
      <c r="BA27" t="s">
        <v>74</v>
      </c>
      <c r="BB27" t="s">
        <v>74</v>
      </c>
      <c r="BC27" t="s">
        <v>74</v>
      </c>
      <c r="BD27">
        <v>145007</v>
      </c>
      <c r="BE27" t="s">
        <v>545</v>
      </c>
      <c r="BF27" t="str">
        <f>HYPERLINK("http://dx.doi.org/10.1088/1361-6560/ab18d3","http://dx.doi.org/10.1088/1361-6560/ab18d3")</f>
        <v>http://dx.doi.org/10.1088/1361-6560/ab18d3</v>
      </c>
      <c r="BG27" t="s">
        <v>74</v>
      </c>
      <c r="BH27" t="s">
        <v>74</v>
      </c>
      <c r="BI27">
        <v>14</v>
      </c>
      <c r="BJ27" t="s">
        <v>101</v>
      </c>
      <c r="BK27" t="s">
        <v>102</v>
      </c>
      <c r="BL27" t="s">
        <v>103</v>
      </c>
      <c r="BM27" t="s">
        <v>529</v>
      </c>
      <c r="BN27">
        <v>30978707</v>
      </c>
      <c r="BO27" t="s">
        <v>74</v>
      </c>
      <c r="BP27" t="s">
        <v>74</v>
      </c>
      <c r="BQ27" t="s">
        <v>74</v>
      </c>
      <c r="BR27" t="s">
        <v>106</v>
      </c>
      <c r="BS27" t="s">
        <v>546</v>
      </c>
      <c r="BT27" t="str">
        <f>HYPERLINK("https%3A%2F%2Fwww.webofscience.com%2Fwos%2Fwoscc%2Ffull-record%2FWOS:000475378800007","View Full Record in Web of Science")</f>
        <v>View Full Record in Web of Science</v>
      </c>
    </row>
    <row r="28" spans="1:72" x14ac:dyDescent="0.25">
      <c r="A28" t="s">
        <v>72</v>
      </c>
      <c r="B28" t="s">
        <v>547</v>
      </c>
      <c r="C28" t="s">
        <v>74</v>
      </c>
      <c r="D28" t="s">
        <v>74</v>
      </c>
      <c r="E28" t="s">
        <v>74</v>
      </c>
      <c r="F28" t="s">
        <v>548</v>
      </c>
      <c r="G28" t="s">
        <v>74</v>
      </c>
      <c r="H28" t="s">
        <v>74</v>
      </c>
      <c r="I28" t="s">
        <v>549</v>
      </c>
      <c r="J28" t="s">
        <v>77</v>
      </c>
      <c r="K28" t="s">
        <v>74</v>
      </c>
      <c r="L28" t="s">
        <v>74</v>
      </c>
      <c r="M28" t="s">
        <v>78</v>
      </c>
      <c r="N28" t="s">
        <v>79</v>
      </c>
      <c r="O28" t="s">
        <v>74</v>
      </c>
      <c r="P28" t="s">
        <v>74</v>
      </c>
      <c r="Q28" t="s">
        <v>74</v>
      </c>
      <c r="R28" t="s">
        <v>74</v>
      </c>
      <c r="S28" t="s">
        <v>74</v>
      </c>
      <c r="T28" t="s">
        <v>550</v>
      </c>
      <c r="U28" t="s">
        <v>551</v>
      </c>
      <c r="V28" t="s">
        <v>552</v>
      </c>
      <c r="W28" t="s">
        <v>553</v>
      </c>
      <c r="X28" t="s">
        <v>554</v>
      </c>
      <c r="Y28" t="s">
        <v>555</v>
      </c>
      <c r="Z28" t="s">
        <v>556</v>
      </c>
      <c r="AA28" t="s">
        <v>557</v>
      </c>
      <c r="AB28" t="s">
        <v>74</v>
      </c>
      <c r="AC28" t="s">
        <v>558</v>
      </c>
      <c r="AD28" t="s">
        <v>559</v>
      </c>
      <c r="AE28" t="s">
        <v>560</v>
      </c>
      <c r="AF28" t="s">
        <v>74</v>
      </c>
      <c r="AG28">
        <v>30</v>
      </c>
      <c r="AH28">
        <v>4</v>
      </c>
      <c r="AI28">
        <v>4</v>
      </c>
      <c r="AJ28">
        <v>1</v>
      </c>
      <c r="AK28">
        <v>21</v>
      </c>
      <c r="AL28" t="s">
        <v>92</v>
      </c>
      <c r="AM28" t="s">
        <v>93</v>
      </c>
      <c r="AN28" t="s">
        <v>94</v>
      </c>
      <c r="AO28" t="s">
        <v>95</v>
      </c>
      <c r="AP28" t="s">
        <v>96</v>
      </c>
      <c r="AQ28" t="s">
        <v>74</v>
      </c>
      <c r="AR28" t="s">
        <v>97</v>
      </c>
      <c r="AS28" t="s">
        <v>98</v>
      </c>
      <c r="AT28" t="s">
        <v>250</v>
      </c>
      <c r="AU28">
        <v>2019</v>
      </c>
      <c r="AV28">
        <v>64</v>
      </c>
      <c r="AW28">
        <v>12</v>
      </c>
      <c r="AX28" t="s">
        <v>74</v>
      </c>
      <c r="AY28" t="s">
        <v>74</v>
      </c>
      <c r="AZ28" t="s">
        <v>74</v>
      </c>
      <c r="BA28" t="s">
        <v>74</v>
      </c>
      <c r="BB28" t="s">
        <v>74</v>
      </c>
      <c r="BC28" t="s">
        <v>74</v>
      </c>
      <c r="BD28">
        <v>125010</v>
      </c>
      <c r="BE28" t="s">
        <v>561</v>
      </c>
      <c r="BF28" t="str">
        <f>HYPERLINK("http://dx.doi.org/10.1088/1361-6560/ab0d5a","http://dx.doi.org/10.1088/1361-6560/ab0d5a")</f>
        <v>http://dx.doi.org/10.1088/1361-6560/ab0d5a</v>
      </c>
      <c r="BG28" t="s">
        <v>74</v>
      </c>
      <c r="BH28" t="s">
        <v>74</v>
      </c>
      <c r="BI28">
        <v>16</v>
      </c>
      <c r="BJ28" t="s">
        <v>101</v>
      </c>
      <c r="BK28" t="s">
        <v>102</v>
      </c>
      <c r="BL28" t="s">
        <v>103</v>
      </c>
      <c r="BM28" t="s">
        <v>252</v>
      </c>
      <c r="BN28">
        <v>30840945</v>
      </c>
      <c r="BO28" t="s">
        <v>74</v>
      </c>
      <c r="BP28" t="s">
        <v>74</v>
      </c>
      <c r="BQ28" t="s">
        <v>74</v>
      </c>
      <c r="BR28" t="s">
        <v>106</v>
      </c>
      <c r="BS28" t="s">
        <v>562</v>
      </c>
      <c r="BT28" t="str">
        <f>HYPERLINK("https%3A%2F%2Fwww.webofscience.com%2Fwos%2Fwoscc%2Ffull-record%2FWOS:000471317900005","View Full Record in Web of Science")</f>
        <v>View Full Record in Web of Science</v>
      </c>
    </row>
    <row r="29" spans="1:72" x14ac:dyDescent="0.25">
      <c r="A29" t="s">
        <v>72</v>
      </c>
      <c r="B29" t="s">
        <v>563</v>
      </c>
      <c r="C29" t="s">
        <v>74</v>
      </c>
      <c r="D29" t="s">
        <v>74</v>
      </c>
      <c r="E29" t="s">
        <v>74</v>
      </c>
      <c r="F29" t="s">
        <v>564</v>
      </c>
      <c r="G29" t="s">
        <v>74</v>
      </c>
      <c r="H29" t="s">
        <v>74</v>
      </c>
      <c r="I29" t="s">
        <v>565</v>
      </c>
      <c r="J29" t="s">
        <v>77</v>
      </c>
      <c r="K29" t="s">
        <v>74</v>
      </c>
      <c r="L29" t="s">
        <v>74</v>
      </c>
      <c r="M29" t="s">
        <v>78</v>
      </c>
      <c r="N29" t="s">
        <v>79</v>
      </c>
      <c r="O29" t="s">
        <v>74</v>
      </c>
      <c r="P29" t="s">
        <v>74</v>
      </c>
      <c r="Q29" t="s">
        <v>74</v>
      </c>
      <c r="R29" t="s">
        <v>74</v>
      </c>
      <c r="S29" t="s">
        <v>74</v>
      </c>
      <c r="T29" t="s">
        <v>566</v>
      </c>
      <c r="U29" t="s">
        <v>567</v>
      </c>
      <c r="V29" t="s">
        <v>568</v>
      </c>
      <c r="W29" t="s">
        <v>569</v>
      </c>
      <c r="X29" t="s">
        <v>570</v>
      </c>
      <c r="Y29" t="s">
        <v>571</v>
      </c>
      <c r="Z29" t="s">
        <v>572</v>
      </c>
      <c r="AA29" t="s">
        <v>573</v>
      </c>
      <c r="AB29" t="s">
        <v>574</v>
      </c>
      <c r="AC29" t="s">
        <v>575</v>
      </c>
      <c r="AD29" t="s">
        <v>576</v>
      </c>
      <c r="AE29" t="s">
        <v>577</v>
      </c>
      <c r="AF29" t="s">
        <v>74</v>
      </c>
      <c r="AG29">
        <v>67</v>
      </c>
      <c r="AH29">
        <v>23</v>
      </c>
      <c r="AI29">
        <v>24</v>
      </c>
      <c r="AJ29">
        <v>0</v>
      </c>
      <c r="AK29">
        <v>9</v>
      </c>
      <c r="AL29" t="s">
        <v>92</v>
      </c>
      <c r="AM29" t="s">
        <v>93</v>
      </c>
      <c r="AN29" t="s">
        <v>94</v>
      </c>
      <c r="AO29" t="s">
        <v>95</v>
      </c>
      <c r="AP29" t="s">
        <v>96</v>
      </c>
      <c r="AQ29" t="s">
        <v>74</v>
      </c>
      <c r="AR29" t="s">
        <v>97</v>
      </c>
      <c r="AS29" t="s">
        <v>98</v>
      </c>
      <c r="AT29" t="s">
        <v>250</v>
      </c>
      <c r="AU29">
        <v>2019</v>
      </c>
      <c r="AV29">
        <v>64</v>
      </c>
      <c r="AW29">
        <v>11</v>
      </c>
      <c r="AX29" t="s">
        <v>74</v>
      </c>
      <c r="AY29" t="s">
        <v>74</v>
      </c>
      <c r="AZ29" t="s">
        <v>74</v>
      </c>
      <c r="BA29" t="s">
        <v>74</v>
      </c>
      <c r="BB29" t="s">
        <v>74</v>
      </c>
      <c r="BC29" t="s">
        <v>74</v>
      </c>
      <c r="BD29">
        <v>115023</v>
      </c>
      <c r="BE29" t="s">
        <v>578</v>
      </c>
      <c r="BF29" t="str">
        <f>HYPERLINK("http://dx.doi.org/10.1088/1361-6560/ab1378","http://dx.doi.org/10.1088/1361-6560/ab1378")</f>
        <v>http://dx.doi.org/10.1088/1361-6560/ab1378</v>
      </c>
      <c r="BG29" t="s">
        <v>74</v>
      </c>
      <c r="BH29" t="s">
        <v>74</v>
      </c>
      <c r="BI29">
        <v>18</v>
      </c>
      <c r="BJ29" t="s">
        <v>101</v>
      </c>
      <c r="BK29" t="s">
        <v>102</v>
      </c>
      <c r="BL29" t="s">
        <v>103</v>
      </c>
      <c r="BM29" t="s">
        <v>305</v>
      </c>
      <c r="BN29">
        <v>30913542</v>
      </c>
      <c r="BO29" t="s">
        <v>74</v>
      </c>
      <c r="BP29" t="s">
        <v>74</v>
      </c>
      <c r="BQ29" t="s">
        <v>74</v>
      </c>
      <c r="BR29" t="s">
        <v>106</v>
      </c>
      <c r="BS29" t="s">
        <v>579</v>
      </c>
      <c r="BT29" t="str">
        <f>HYPERLINK("https%3A%2F%2Fwww.webofscience.com%2Fwos%2Fwoscc%2Ffull-record%2FWOS:000470205600007","View Full Record in Web of Science")</f>
        <v>View Full Record in Web of Science</v>
      </c>
    </row>
    <row r="30" spans="1:72" x14ac:dyDescent="0.25">
      <c r="A30" t="s">
        <v>72</v>
      </c>
      <c r="B30" t="s">
        <v>580</v>
      </c>
      <c r="C30" t="s">
        <v>74</v>
      </c>
      <c r="D30" t="s">
        <v>74</v>
      </c>
      <c r="E30" t="s">
        <v>74</v>
      </c>
      <c r="F30" t="s">
        <v>581</v>
      </c>
      <c r="G30" t="s">
        <v>74</v>
      </c>
      <c r="H30" t="s">
        <v>74</v>
      </c>
      <c r="I30" t="s">
        <v>582</v>
      </c>
      <c r="J30" t="s">
        <v>77</v>
      </c>
      <c r="K30" t="s">
        <v>74</v>
      </c>
      <c r="L30" t="s">
        <v>74</v>
      </c>
      <c r="M30" t="s">
        <v>78</v>
      </c>
      <c r="N30" t="s">
        <v>79</v>
      </c>
      <c r="O30" t="s">
        <v>74</v>
      </c>
      <c r="P30" t="s">
        <v>74</v>
      </c>
      <c r="Q30" t="s">
        <v>74</v>
      </c>
      <c r="R30" t="s">
        <v>74</v>
      </c>
      <c r="S30" t="s">
        <v>74</v>
      </c>
      <c r="T30" t="s">
        <v>583</v>
      </c>
      <c r="U30" t="s">
        <v>584</v>
      </c>
      <c r="V30" t="s">
        <v>585</v>
      </c>
      <c r="W30" t="s">
        <v>586</v>
      </c>
      <c r="X30" t="s">
        <v>587</v>
      </c>
      <c r="Y30" t="s">
        <v>588</v>
      </c>
      <c r="Z30" t="s">
        <v>589</v>
      </c>
      <c r="AA30" t="s">
        <v>590</v>
      </c>
      <c r="AB30" t="s">
        <v>74</v>
      </c>
      <c r="AC30" t="s">
        <v>74</v>
      </c>
      <c r="AD30" t="s">
        <v>74</v>
      </c>
      <c r="AE30" t="s">
        <v>74</v>
      </c>
      <c r="AF30" t="s">
        <v>74</v>
      </c>
      <c r="AG30">
        <v>53</v>
      </c>
      <c r="AH30">
        <v>23</v>
      </c>
      <c r="AI30">
        <v>27</v>
      </c>
      <c r="AJ30">
        <v>3</v>
      </c>
      <c r="AK30">
        <v>20</v>
      </c>
      <c r="AL30" t="s">
        <v>92</v>
      </c>
      <c r="AM30" t="s">
        <v>93</v>
      </c>
      <c r="AN30" t="s">
        <v>94</v>
      </c>
      <c r="AO30" t="s">
        <v>95</v>
      </c>
      <c r="AP30" t="s">
        <v>96</v>
      </c>
      <c r="AQ30" t="s">
        <v>74</v>
      </c>
      <c r="AR30" t="s">
        <v>97</v>
      </c>
      <c r="AS30" t="s">
        <v>98</v>
      </c>
      <c r="AT30" t="s">
        <v>370</v>
      </c>
      <c r="AU30">
        <v>2019</v>
      </c>
      <c r="AV30">
        <v>64</v>
      </c>
      <c r="AW30">
        <v>9</v>
      </c>
      <c r="AX30" t="s">
        <v>74</v>
      </c>
      <c r="AY30" t="s">
        <v>74</v>
      </c>
      <c r="AZ30" t="s">
        <v>74</v>
      </c>
      <c r="BA30" t="s">
        <v>74</v>
      </c>
      <c r="BB30" t="s">
        <v>74</v>
      </c>
      <c r="BC30" t="s">
        <v>74</v>
      </c>
      <c r="BD30">
        <v>95008</v>
      </c>
      <c r="BE30" t="s">
        <v>591</v>
      </c>
      <c r="BF30" t="str">
        <f>HYPERLINK("http://dx.doi.org/10.1088/1361-6560/ab12f7","http://dx.doi.org/10.1088/1361-6560/ab12f7")</f>
        <v>http://dx.doi.org/10.1088/1361-6560/ab12f7</v>
      </c>
      <c r="BG30" t="s">
        <v>74</v>
      </c>
      <c r="BH30" t="s">
        <v>74</v>
      </c>
      <c r="BI30">
        <v>14</v>
      </c>
      <c r="BJ30" t="s">
        <v>101</v>
      </c>
      <c r="BK30" t="s">
        <v>102</v>
      </c>
      <c r="BL30" t="s">
        <v>103</v>
      </c>
      <c r="BM30" t="s">
        <v>592</v>
      </c>
      <c r="BN30">
        <v>30909173</v>
      </c>
      <c r="BO30" t="s">
        <v>74</v>
      </c>
      <c r="BP30" t="s">
        <v>74</v>
      </c>
      <c r="BQ30" t="s">
        <v>74</v>
      </c>
      <c r="BR30" t="s">
        <v>106</v>
      </c>
      <c r="BS30" t="s">
        <v>593</v>
      </c>
      <c r="BT30" t="str">
        <f>HYPERLINK("https%3A%2F%2Fwww.webofscience.com%2Fwos%2Fwoscc%2Ffull-record%2FWOS:000466266200003","View Full Record in Web of Science")</f>
        <v>View Full Record in Web of Science</v>
      </c>
    </row>
    <row r="31" spans="1:72" x14ac:dyDescent="0.25">
      <c r="A31" t="s">
        <v>72</v>
      </c>
      <c r="B31" t="s">
        <v>594</v>
      </c>
      <c r="C31" t="s">
        <v>74</v>
      </c>
      <c r="D31" t="s">
        <v>74</v>
      </c>
      <c r="E31" t="s">
        <v>74</v>
      </c>
      <c r="F31" t="s">
        <v>595</v>
      </c>
      <c r="G31" t="s">
        <v>74</v>
      </c>
      <c r="H31" t="s">
        <v>74</v>
      </c>
      <c r="I31" t="s">
        <v>596</v>
      </c>
      <c r="J31" t="s">
        <v>77</v>
      </c>
      <c r="K31" t="s">
        <v>74</v>
      </c>
      <c r="L31" t="s">
        <v>74</v>
      </c>
      <c r="M31" t="s">
        <v>78</v>
      </c>
      <c r="N31" t="s">
        <v>79</v>
      </c>
      <c r="O31" t="s">
        <v>74</v>
      </c>
      <c r="P31" t="s">
        <v>74</v>
      </c>
      <c r="Q31" t="s">
        <v>74</v>
      </c>
      <c r="R31" t="s">
        <v>74</v>
      </c>
      <c r="S31" t="s">
        <v>74</v>
      </c>
      <c r="T31" t="s">
        <v>597</v>
      </c>
      <c r="U31" t="s">
        <v>598</v>
      </c>
      <c r="V31" t="s">
        <v>599</v>
      </c>
      <c r="W31" t="s">
        <v>600</v>
      </c>
      <c r="X31" t="s">
        <v>601</v>
      </c>
      <c r="Y31" t="s">
        <v>602</v>
      </c>
      <c r="Z31" t="s">
        <v>603</v>
      </c>
      <c r="AA31" t="s">
        <v>604</v>
      </c>
      <c r="AB31" t="s">
        <v>605</v>
      </c>
      <c r="AC31" t="s">
        <v>606</v>
      </c>
      <c r="AD31" t="s">
        <v>607</v>
      </c>
      <c r="AE31" t="s">
        <v>608</v>
      </c>
      <c r="AF31" t="s">
        <v>74</v>
      </c>
      <c r="AG31">
        <v>39</v>
      </c>
      <c r="AH31">
        <v>33</v>
      </c>
      <c r="AI31">
        <v>35</v>
      </c>
      <c r="AJ31">
        <v>2</v>
      </c>
      <c r="AK31">
        <v>14</v>
      </c>
      <c r="AL31" t="s">
        <v>92</v>
      </c>
      <c r="AM31" t="s">
        <v>93</v>
      </c>
      <c r="AN31" t="s">
        <v>94</v>
      </c>
      <c r="AO31" t="s">
        <v>95</v>
      </c>
      <c r="AP31" t="s">
        <v>96</v>
      </c>
      <c r="AQ31" t="s">
        <v>74</v>
      </c>
      <c r="AR31" t="s">
        <v>97</v>
      </c>
      <c r="AS31" t="s">
        <v>98</v>
      </c>
      <c r="AT31" t="s">
        <v>370</v>
      </c>
      <c r="AU31">
        <v>2019</v>
      </c>
      <c r="AV31">
        <v>64</v>
      </c>
      <c r="AW31">
        <v>9</v>
      </c>
      <c r="AX31" t="s">
        <v>74</v>
      </c>
      <c r="AY31" t="s">
        <v>74</v>
      </c>
      <c r="AZ31" t="s">
        <v>74</v>
      </c>
      <c r="BA31" t="s">
        <v>74</v>
      </c>
      <c r="BB31" t="s">
        <v>74</v>
      </c>
      <c r="BC31" t="s">
        <v>74</v>
      </c>
      <c r="BD31">
        <v>95022</v>
      </c>
      <c r="BE31" t="s">
        <v>609</v>
      </c>
      <c r="BF31" t="str">
        <f>HYPERLINK("http://dx.doi.org/10.1088/1361-6560/ab1456","http://dx.doi.org/10.1088/1361-6560/ab1456")</f>
        <v>http://dx.doi.org/10.1088/1361-6560/ab1456</v>
      </c>
      <c r="BG31" t="s">
        <v>74</v>
      </c>
      <c r="BH31" t="s">
        <v>74</v>
      </c>
      <c r="BI31">
        <v>17</v>
      </c>
      <c r="BJ31" t="s">
        <v>101</v>
      </c>
      <c r="BK31" t="s">
        <v>102</v>
      </c>
      <c r="BL31" t="s">
        <v>103</v>
      </c>
      <c r="BM31" t="s">
        <v>610</v>
      </c>
      <c r="BN31">
        <v>30921783</v>
      </c>
      <c r="BO31" t="s">
        <v>105</v>
      </c>
      <c r="BP31" t="s">
        <v>74</v>
      </c>
      <c r="BQ31" t="s">
        <v>74</v>
      </c>
      <c r="BR31" t="s">
        <v>106</v>
      </c>
      <c r="BS31" t="s">
        <v>611</v>
      </c>
      <c r="BT31" t="str">
        <f>HYPERLINK("https%3A%2F%2Fwww.webofscience.com%2Fwos%2Fwoscc%2Ffull-record%2FWOS:000466862700001","View Full Record in Web of Science")</f>
        <v>View Full Record in Web of Science</v>
      </c>
    </row>
    <row r="32" spans="1:72" x14ac:dyDescent="0.25">
      <c r="A32" t="s">
        <v>72</v>
      </c>
      <c r="B32" t="s">
        <v>612</v>
      </c>
      <c r="C32" t="s">
        <v>74</v>
      </c>
      <c r="D32" t="s">
        <v>74</v>
      </c>
      <c r="E32" t="s">
        <v>74</v>
      </c>
      <c r="F32" t="s">
        <v>613</v>
      </c>
      <c r="G32" t="s">
        <v>74</v>
      </c>
      <c r="H32" t="s">
        <v>74</v>
      </c>
      <c r="I32" t="s">
        <v>614</v>
      </c>
      <c r="J32" t="s">
        <v>77</v>
      </c>
      <c r="K32" t="s">
        <v>74</v>
      </c>
      <c r="L32" t="s">
        <v>74</v>
      </c>
      <c r="M32" t="s">
        <v>78</v>
      </c>
      <c r="N32" t="s">
        <v>79</v>
      </c>
      <c r="O32" t="s">
        <v>74</v>
      </c>
      <c r="P32" t="s">
        <v>74</v>
      </c>
      <c r="Q32" t="s">
        <v>74</v>
      </c>
      <c r="R32" t="s">
        <v>74</v>
      </c>
      <c r="S32" t="s">
        <v>74</v>
      </c>
      <c r="T32" t="s">
        <v>615</v>
      </c>
      <c r="U32" t="s">
        <v>616</v>
      </c>
      <c r="V32" t="s">
        <v>617</v>
      </c>
      <c r="W32" t="s">
        <v>618</v>
      </c>
      <c r="X32" t="s">
        <v>619</v>
      </c>
      <c r="Y32" t="s">
        <v>620</v>
      </c>
      <c r="Z32" t="s">
        <v>621</v>
      </c>
      <c r="AA32" t="s">
        <v>622</v>
      </c>
      <c r="AB32" t="s">
        <v>623</v>
      </c>
      <c r="AC32" t="s">
        <v>624</v>
      </c>
      <c r="AD32" t="s">
        <v>625</v>
      </c>
      <c r="AE32" t="s">
        <v>626</v>
      </c>
      <c r="AF32" t="s">
        <v>74</v>
      </c>
      <c r="AG32">
        <v>45</v>
      </c>
      <c r="AH32">
        <v>9</v>
      </c>
      <c r="AI32">
        <v>12</v>
      </c>
      <c r="AJ32">
        <v>0</v>
      </c>
      <c r="AK32">
        <v>4</v>
      </c>
      <c r="AL32" t="s">
        <v>92</v>
      </c>
      <c r="AM32" t="s">
        <v>93</v>
      </c>
      <c r="AN32" t="s">
        <v>94</v>
      </c>
      <c r="AO32" t="s">
        <v>95</v>
      </c>
      <c r="AP32" t="s">
        <v>96</v>
      </c>
      <c r="AQ32" t="s">
        <v>74</v>
      </c>
      <c r="AR32" t="s">
        <v>97</v>
      </c>
      <c r="AS32" t="s">
        <v>98</v>
      </c>
      <c r="AT32" t="s">
        <v>386</v>
      </c>
      <c r="AU32">
        <v>2019</v>
      </c>
      <c r="AV32">
        <v>64</v>
      </c>
      <c r="AW32">
        <v>8</v>
      </c>
      <c r="AX32" t="s">
        <v>74</v>
      </c>
      <c r="AY32" t="s">
        <v>74</v>
      </c>
      <c r="AZ32" t="s">
        <v>74</v>
      </c>
      <c r="BA32" t="s">
        <v>74</v>
      </c>
      <c r="BB32" t="s">
        <v>74</v>
      </c>
      <c r="BC32" t="s">
        <v>74</v>
      </c>
      <c r="BD32" t="s">
        <v>627</v>
      </c>
      <c r="BE32" t="s">
        <v>628</v>
      </c>
      <c r="BF32" t="str">
        <f>HYPERLINK("http://dx.doi.org/10.1088/1361-6560/ab0a8e","http://dx.doi.org/10.1088/1361-6560/ab0a8e")</f>
        <v>http://dx.doi.org/10.1088/1361-6560/ab0a8e</v>
      </c>
      <c r="BG32" t="s">
        <v>74</v>
      </c>
      <c r="BH32" t="s">
        <v>74</v>
      </c>
      <c r="BI32">
        <v>14</v>
      </c>
      <c r="BJ32" t="s">
        <v>101</v>
      </c>
      <c r="BK32" t="s">
        <v>102</v>
      </c>
      <c r="BL32" t="s">
        <v>103</v>
      </c>
      <c r="BM32" t="s">
        <v>629</v>
      </c>
      <c r="BN32">
        <v>30808011</v>
      </c>
      <c r="BO32" t="s">
        <v>630</v>
      </c>
      <c r="BP32" t="s">
        <v>74</v>
      </c>
      <c r="BQ32" t="s">
        <v>74</v>
      </c>
      <c r="BR32" t="s">
        <v>106</v>
      </c>
      <c r="BS32" t="s">
        <v>631</v>
      </c>
      <c r="BT32" t="str">
        <f>HYPERLINK("https%3A%2F%2Fwww.webofscience.com%2Fwos%2Fwoscc%2Ffull-record%2FWOS:000518922300001","View Full Record in Web of Science")</f>
        <v>View Full Record in Web of Science</v>
      </c>
    </row>
    <row r="33" spans="1:72" x14ac:dyDescent="0.25">
      <c r="A33" t="s">
        <v>72</v>
      </c>
      <c r="B33" t="s">
        <v>632</v>
      </c>
      <c r="C33" t="s">
        <v>74</v>
      </c>
      <c r="D33" t="s">
        <v>74</v>
      </c>
      <c r="E33" t="s">
        <v>74</v>
      </c>
      <c r="F33" t="s">
        <v>633</v>
      </c>
      <c r="G33" t="s">
        <v>74</v>
      </c>
      <c r="H33" t="s">
        <v>74</v>
      </c>
      <c r="I33" t="s">
        <v>634</v>
      </c>
      <c r="J33" t="s">
        <v>77</v>
      </c>
      <c r="K33" t="s">
        <v>74</v>
      </c>
      <c r="L33" t="s">
        <v>74</v>
      </c>
      <c r="M33" t="s">
        <v>78</v>
      </c>
      <c r="N33" t="s">
        <v>79</v>
      </c>
      <c r="O33" t="s">
        <v>74</v>
      </c>
      <c r="P33" t="s">
        <v>74</v>
      </c>
      <c r="Q33" t="s">
        <v>74</v>
      </c>
      <c r="R33" t="s">
        <v>74</v>
      </c>
      <c r="S33" t="s">
        <v>74</v>
      </c>
      <c r="T33" t="s">
        <v>635</v>
      </c>
      <c r="U33" t="s">
        <v>636</v>
      </c>
      <c r="V33" t="s">
        <v>637</v>
      </c>
      <c r="W33" t="s">
        <v>638</v>
      </c>
      <c r="X33" t="s">
        <v>639</v>
      </c>
      <c r="Y33" t="s">
        <v>640</v>
      </c>
      <c r="Z33" t="s">
        <v>641</v>
      </c>
      <c r="AA33" t="s">
        <v>642</v>
      </c>
      <c r="AB33" t="s">
        <v>74</v>
      </c>
      <c r="AC33" t="s">
        <v>643</v>
      </c>
      <c r="AD33" t="s">
        <v>644</v>
      </c>
      <c r="AE33" t="s">
        <v>645</v>
      </c>
      <c r="AF33" t="s">
        <v>74</v>
      </c>
      <c r="AG33">
        <v>47</v>
      </c>
      <c r="AH33">
        <v>9</v>
      </c>
      <c r="AI33">
        <v>9</v>
      </c>
      <c r="AJ33">
        <v>0</v>
      </c>
      <c r="AK33">
        <v>9</v>
      </c>
      <c r="AL33" t="s">
        <v>92</v>
      </c>
      <c r="AM33" t="s">
        <v>93</v>
      </c>
      <c r="AN33" t="s">
        <v>94</v>
      </c>
      <c r="AO33" t="s">
        <v>95</v>
      </c>
      <c r="AP33" t="s">
        <v>96</v>
      </c>
      <c r="AQ33" t="s">
        <v>74</v>
      </c>
      <c r="AR33" t="s">
        <v>97</v>
      </c>
      <c r="AS33" t="s">
        <v>98</v>
      </c>
      <c r="AT33" t="s">
        <v>646</v>
      </c>
      <c r="AU33">
        <v>2019</v>
      </c>
      <c r="AV33">
        <v>64</v>
      </c>
      <c r="AW33">
        <v>3</v>
      </c>
      <c r="AX33" t="s">
        <v>74</v>
      </c>
      <c r="AY33" t="s">
        <v>74</v>
      </c>
      <c r="AZ33" t="s">
        <v>74</v>
      </c>
      <c r="BA33" t="s">
        <v>74</v>
      </c>
      <c r="BB33" t="s">
        <v>74</v>
      </c>
      <c r="BC33" t="s">
        <v>74</v>
      </c>
      <c r="BD33">
        <v>35007</v>
      </c>
      <c r="BE33" t="s">
        <v>647</v>
      </c>
      <c r="BF33" t="str">
        <f>HYPERLINK("http://dx.doi.org/10.1088/1361-6560/aaf96d","http://dx.doi.org/10.1088/1361-6560/aaf96d")</f>
        <v>http://dx.doi.org/10.1088/1361-6560/aaf96d</v>
      </c>
      <c r="BG33" t="s">
        <v>74</v>
      </c>
      <c r="BH33" t="s">
        <v>74</v>
      </c>
      <c r="BI33">
        <v>11</v>
      </c>
      <c r="BJ33" t="s">
        <v>101</v>
      </c>
      <c r="BK33" t="s">
        <v>102</v>
      </c>
      <c r="BL33" t="s">
        <v>103</v>
      </c>
      <c r="BM33" t="s">
        <v>648</v>
      </c>
      <c r="BN33">
        <v>30561380</v>
      </c>
      <c r="BO33" t="s">
        <v>105</v>
      </c>
      <c r="BP33" t="s">
        <v>74</v>
      </c>
      <c r="BQ33" t="s">
        <v>74</v>
      </c>
      <c r="BR33" t="s">
        <v>106</v>
      </c>
      <c r="BS33" t="s">
        <v>649</v>
      </c>
      <c r="BT33" t="str">
        <f>HYPERLINK("https%3A%2F%2Fwww.webofscience.com%2Fwos%2Fwoscc%2Ffull-record%2FWOS:000456840500006","View Full Record in Web of Science")</f>
        <v>View Full Record in Web of Science</v>
      </c>
    </row>
    <row r="34" spans="1:72" x14ac:dyDescent="0.25">
      <c r="A34" t="s">
        <v>72</v>
      </c>
      <c r="B34" t="s">
        <v>650</v>
      </c>
      <c r="C34" t="s">
        <v>74</v>
      </c>
      <c r="D34" t="s">
        <v>74</v>
      </c>
      <c r="E34" t="s">
        <v>74</v>
      </c>
      <c r="F34" t="s">
        <v>651</v>
      </c>
      <c r="G34" t="s">
        <v>74</v>
      </c>
      <c r="H34" t="s">
        <v>74</v>
      </c>
      <c r="I34" t="s">
        <v>652</v>
      </c>
      <c r="J34" t="s">
        <v>77</v>
      </c>
      <c r="K34" t="s">
        <v>74</v>
      </c>
      <c r="L34" t="s">
        <v>74</v>
      </c>
      <c r="M34" t="s">
        <v>78</v>
      </c>
      <c r="N34" t="s">
        <v>79</v>
      </c>
      <c r="O34" t="s">
        <v>74</v>
      </c>
      <c r="P34" t="s">
        <v>74</v>
      </c>
      <c r="Q34" t="s">
        <v>74</v>
      </c>
      <c r="R34" t="s">
        <v>74</v>
      </c>
      <c r="S34" t="s">
        <v>74</v>
      </c>
      <c r="T34" t="s">
        <v>653</v>
      </c>
      <c r="U34" t="s">
        <v>654</v>
      </c>
      <c r="V34" t="s">
        <v>655</v>
      </c>
      <c r="W34" t="s">
        <v>656</v>
      </c>
      <c r="X34" t="s">
        <v>657</v>
      </c>
      <c r="Y34" t="s">
        <v>658</v>
      </c>
      <c r="Z34" t="s">
        <v>659</v>
      </c>
      <c r="AA34" t="s">
        <v>660</v>
      </c>
      <c r="AB34" t="s">
        <v>661</v>
      </c>
      <c r="AC34" t="s">
        <v>662</v>
      </c>
      <c r="AD34" t="s">
        <v>663</v>
      </c>
      <c r="AE34" t="s">
        <v>664</v>
      </c>
      <c r="AF34" t="s">
        <v>74</v>
      </c>
      <c r="AG34">
        <v>33</v>
      </c>
      <c r="AH34">
        <v>12</v>
      </c>
      <c r="AI34">
        <v>13</v>
      </c>
      <c r="AJ34">
        <v>0</v>
      </c>
      <c r="AK34">
        <v>4</v>
      </c>
      <c r="AL34" t="s">
        <v>92</v>
      </c>
      <c r="AM34" t="s">
        <v>93</v>
      </c>
      <c r="AN34" t="s">
        <v>94</v>
      </c>
      <c r="AO34" t="s">
        <v>95</v>
      </c>
      <c r="AP34" t="s">
        <v>96</v>
      </c>
      <c r="AQ34" t="s">
        <v>74</v>
      </c>
      <c r="AR34" t="s">
        <v>97</v>
      </c>
      <c r="AS34" t="s">
        <v>98</v>
      </c>
      <c r="AT34" t="s">
        <v>471</v>
      </c>
      <c r="AU34">
        <v>2019</v>
      </c>
      <c r="AV34">
        <v>64</v>
      </c>
      <c r="AW34">
        <v>1</v>
      </c>
      <c r="AX34" t="s">
        <v>74</v>
      </c>
      <c r="AY34" t="s">
        <v>74</v>
      </c>
      <c r="AZ34" t="s">
        <v>74</v>
      </c>
      <c r="BA34" t="s">
        <v>74</v>
      </c>
      <c r="BB34" t="s">
        <v>74</v>
      </c>
      <c r="BC34" t="s">
        <v>74</v>
      </c>
      <c r="BD34">
        <v>15005</v>
      </c>
      <c r="BE34" t="s">
        <v>665</v>
      </c>
      <c r="BF34" t="str">
        <f>HYPERLINK("http://dx.doi.org/10.1088/1361-6560/aaf308","http://dx.doi.org/10.1088/1361-6560/aaf308")</f>
        <v>http://dx.doi.org/10.1088/1361-6560/aaf308</v>
      </c>
      <c r="BG34" t="s">
        <v>74</v>
      </c>
      <c r="BH34" t="s">
        <v>74</v>
      </c>
      <c r="BI34">
        <v>14</v>
      </c>
      <c r="BJ34" t="s">
        <v>101</v>
      </c>
      <c r="BK34" t="s">
        <v>102</v>
      </c>
      <c r="BL34" t="s">
        <v>103</v>
      </c>
      <c r="BM34" t="s">
        <v>666</v>
      </c>
      <c r="BN34">
        <v>30523884</v>
      </c>
      <c r="BO34" t="s">
        <v>105</v>
      </c>
      <c r="BP34" t="s">
        <v>74</v>
      </c>
      <c r="BQ34" t="s">
        <v>74</v>
      </c>
      <c r="BR34" t="s">
        <v>106</v>
      </c>
      <c r="BS34" t="s">
        <v>667</v>
      </c>
      <c r="BT34" t="str">
        <f>HYPERLINK("https%3A%2F%2Fwww.webofscience.com%2Fwos%2Fwoscc%2Ffull-record%2FWOS:000454078500003","View Full Record in Web of Science")</f>
        <v>View Full Record in Web of Science</v>
      </c>
    </row>
    <row r="35" spans="1:72" x14ac:dyDescent="0.25">
      <c r="A35" t="s">
        <v>72</v>
      </c>
      <c r="B35" t="s">
        <v>668</v>
      </c>
      <c r="C35" t="s">
        <v>74</v>
      </c>
      <c r="D35" t="s">
        <v>74</v>
      </c>
      <c r="E35" t="s">
        <v>74</v>
      </c>
      <c r="F35" t="s">
        <v>669</v>
      </c>
      <c r="G35" t="s">
        <v>74</v>
      </c>
      <c r="H35" t="s">
        <v>74</v>
      </c>
      <c r="I35" t="s">
        <v>670</v>
      </c>
      <c r="J35" t="s">
        <v>77</v>
      </c>
      <c r="K35" t="s">
        <v>74</v>
      </c>
      <c r="L35" t="s">
        <v>74</v>
      </c>
      <c r="M35" t="s">
        <v>78</v>
      </c>
      <c r="N35" t="s">
        <v>79</v>
      </c>
      <c r="O35" t="s">
        <v>74</v>
      </c>
      <c r="P35" t="s">
        <v>74</v>
      </c>
      <c r="Q35" t="s">
        <v>74</v>
      </c>
      <c r="R35" t="s">
        <v>74</v>
      </c>
      <c r="S35" t="s">
        <v>74</v>
      </c>
      <c r="T35" t="s">
        <v>671</v>
      </c>
      <c r="U35" t="s">
        <v>672</v>
      </c>
      <c r="V35" t="s">
        <v>673</v>
      </c>
      <c r="W35" t="s">
        <v>674</v>
      </c>
      <c r="X35" t="s">
        <v>675</v>
      </c>
      <c r="Y35" t="s">
        <v>676</v>
      </c>
      <c r="Z35" t="s">
        <v>677</v>
      </c>
      <c r="AA35" t="s">
        <v>74</v>
      </c>
      <c r="AB35" t="s">
        <v>678</v>
      </c>
      <c r="AC35" t="s">
        <v>74</v>
      </c>
      <c r="AD35" t="s">
        <v>74</v>
      </c>
      <c r="AE35" t="s">
        <v>74</v>
      </c>
      <c r="AF35" t="s">
        <v>74</v>
      </c>
      <c r="AG35">
        <v>77</v>
      </c>
      <c r="AH35">
        <v>20</v>
      </c>
      <c r="AI35">
        <v>21</v>
      </c>
      <c r="AJ35">
        <v>1</v>
      </c>
      <c r="AK35">
        <v>11</v>
      </c>
      <c r="AL35" t="s">
        <v>92</v>
      </c>
      <c r="AM35" t="s">
        <v>93</v>
      </c>
      <c r="AN35" t="s">
        <v>94</v>
      </c>
      <c r="AO35" t="s">
        <v>95</v>
      </c>
      <c r="AP35" t="s">
        <v>96</v>
      </c>
      <c r="AQ35" t="s">
        <v>74</v>
      </c>
      <c r="AR35" t="s">
        <v>97</v>
      </c>
      <c r="AS35" t="s">
        <v>98</v>
      </c>
      <c r="AT35" t="s">
        <v>471</v>
      </c>
      <c r="AU35">
        <v>2019</v>
      </c>
      <c r="AV35">
        <v>64</v>
      </c>
      <c r="AW35">
        <v>2</v>
      </c>
      <c r="AX35" t="s">
        <v>74</v>
      </c>
      <c r="AY35" t="s">
        <v>74</v>
      </c>
      <c r="AZ35" t="s">
        <v>74</v>
      </c>
      <c r="BA35" t="s">
        <v>74</v>
      </c>
      <c r="BB35" t="s">
        <v>74</v>
      </c>
      <c r="BC35" t="s">
        <v>74</v>
      </c>
      <c r="BD35">
        <v>25017</v>
      </c>
      <c r="BE35" t="s">
        <v>679</v>
      </c>
      <c r="BF35" t="str">
        <f>HYPERLINK("http://dx.doi.org/10.1088/1361-6560/aaf96c","http://dx.doi.org/10.1088/1361-6560/aaf96c")</f>
        <v>http://dx.doi.org/10.1088/1361-6560/aaf96c</v>
      </c>
      <c r="BG35" t="s">
        <v>74</v>
      </c>
      <c r="BH35" t="s">
        <v>74</v>
      </c>
      <c r="BI35">
        <v>17</v>
      </c>
      <c r="BJ35" t="s">
        <v>101</v>
      </c>
      <c r="BK35" t="s">
        <v>102</v>
      </c>
      <c r="BL35" t="s">
        <v>103</v>
      </c>
      <c r="BM35" t="s">
        <v>680</v>
      </c>
      <c r="BN35">
        <v>30561383</v>
      </c>
      <c r="BO35" t="s">
        <v>179</v>
      </c>
      <c r="BP35" t="s">
        <v>74</v>
      </c>
      <c r="BQ35" t="s">
        <v>74</v>
      </c>
      <c r="BR35" t="s">
        <v>106</v>
      </c>
      <c r="BS35" t="s">
        <v>681</v>
      </c>
      <c r="BT35" t="str">
        <f>HYPERLINK("https%3A%2F%2Fwww.webofscience.com%2Fwos%2Fwoscc%2Ffull-record%2FWOS:000456065500002","View Full Record in Web of Science")</f>
        <v>View Full Record in Web of Science</v>
      </c>
    </row>
    <row r="36" spans="1:72" x14ac:dyDescent="0.25">
      <c r="A36" t="s">
        <v>72</v>
      </c>
      <c r="B36" t="s">
        <v>682</v>
      </c>
      <c r="C36" t="s">
        <v>74</v>
      </c>
      <c r="D36" t="s">
        <v>74</v>
      </c>
      <c r="E36" t="s">
        <v>74</v>
      </c>
      <c r="F36" t="s">
        <v>683</v>
      </c>
      <c r="G36" t="s">
        <v>74</v>
      </c>
      <c r="H36" t="s">
        <v>74</v>
      </c>
      <c r="I36" t="s">
        <v>684</v>
      </c>
      <c r="J36" t="s">
        <v>77</v>
      </c>
      <c r="K36" t="s">
        <v>74</v>
      </c>
      <c r="L36" t="s">
        <v>74</v>
      </c>
      <c r="M36" t="s">
        <v>78</v>
      </c>
      <c r="N36" t="s">
        <v>79</v>
      </c>
      <c r="O36" t="s">
        <v>74</v>
      </c>
      <c r="P36" t="s">
        <v>74</v>
      </c>
      <c r="Q36" t="s">
        <v>74</v>
      </c>
      <c r="R36" t="s">
        <v>74</v>
      </c>
      <c r="S36" t="s">
        <v>74</v>
      </c>
      <c r="T36" t="s">
        <v>685</v>
      </c>
      <c r="U36" t="s">
        <v>686</v>
      </c>
      <c r="V36" t="s">
        <v>687</v>
      </c>
      <c r="W36" t="s">
        <v>688</v>
      </c>
      <c r="X36" t="s">
        <v>689</v>
      </c>
      <c r="Y36" t="s">
        <v>690</v>
      </c>
      <c r="Z36" t="s">
        <v>691</v>
      </c>
      <c r="AA36" t="s">
        <v>74</v>
      </c>
      <c r="AB36" t="s">
        <v>74</v>
      </c>
      <c r="AC36" t="s">
        <v>74</v>
      </c>
      <c r="AD36" t="s">
        <v>74</v>
      </c>
      <c r="AE36" t="s">
        <v>74</v>
      </c>
      <c r="AF36" t="s">
        <v>74</v>
      </c>
      <c r="AG36">
        <v>42</v>
      </c>
      <c r="AH36">
        <v>102</v>
      </c>
      <c r="AI36">
        <v>109</v>
      </c>
      <c r="AJ36">
        <v>3</v>
      </c>
      <c r="AK36">
        <v>86</v>
      </c>
      <c r="AL36" t="s">
        <v>157</v>
      </c>
      <c r="AM36" t="s">
        <v>93</v>
      </c>
      <c r="AN36" t="s">
        <v>94</v>
      </c>
      <c r="AO36" t="s">
        <v>95</v>
      </c>
      <c r="AP36" t="s">
        <v>96</v>
      </c>
      <c r="AQ36" t="s">
        <v>74</v>
      </c>
      <c r="AR36" t="s">
        <v>97</v>
      </c>
      <c r="AS36" t="s">
        <v>98</v>
      </c>
      <c r="AT36" t="s">
        <v>99</v>
      </c>
      <c r="AU36">
        <v>2019</v>
      </c>
      <c r="AV36">
        <v>64</v>
      </c>
      <c r="AW36">
        <v>23</v>
      </c>
      <c r="AX36" t="s">
        <v>74</v>
      </c>
      <c r="AY36" t="s">
        <v>74</v>
      </c>
      <c r="AZ36" t="s">
        <v>74</v>
      </c>
      <c r="BA36" t="s">
        <v>74</v>
      </c>
      <c r="BB36" t="s">
        <v>74</v>
      </c>
      <c r="BC36" t="s">
        <v>74</v>
      </c>
      <c r="BD36">
        <v>235013</v>
      </c>
      <c r="BE36" t="s">
        <v>692</v>
      </c>
      <c r="BF36" t="str">
        <f>HYPERLINK("http://dx.doi.org/10.1088/1361-6560/ab5093","http://dx.doi.org/10.1088/1361-6560/ab5093")</f>
        <v>http://dx.doi.org/10.1088/1361-6560/ab5093</v>
      </c>
      <c r="BG36" t="s">
        <v>74</v>
      </c>
      <c r="BH36" t="s">
        <v>74</v>
      </c>
      <c r="BI36">
        <v>11</v>
      </c>
      <c r="BJ36" t="s">
        <v>101</v>
      </c>
      <c r="BK36" t="s">
        <v>102</v>
      </c>
      <c r="BL36" t="s">
        <v>103</v>
      </c>
      <c r="BM36" t="s">
        <v>693</v>
      </c>
      <c r="BN36">
        <v>31645021</v>
      </c>
      <c r="BO36" t="s">
        <v>74</v>
      </c>
      <c r="BP36" t="s">
        <v>74</v>
      </c>
      <c r="BQ36" t="s">
        <v>74</v>
      </c>
      <c r="BR36" t="s">
        <v>106</v>
      </c>
      <c r="BS36" t="s">
        <v>694</v>
      </c>
      <c r="BT36" t="str">
        <f>HYPERLINK("https%3A%2F%2Fwww.webofscience.com%2Fwos%2Fwoscc%2Ffull-record%2FWOS:000518765200003","View Full Record in Web of Science")</f>
        <v>View Full Record in Web of Science</v>
      </c>
    </row>
    <row r="37" spans="1:72" x14ac:dyDescent="0.25">
      <c r="A37" t="s">
        <v>72</v>
      </c>
      <c r="B37" t="s">
        <v>695</v>
      </c>
      <c r="C37" t="s">
        <v>74</v>
      </c>
      <c r="D37" t="s">
        <v>74</v>
      </c>
      <c r="E37" t="s">
        <v>74</v>
      </c>
      <c r="F37" t="s">
        <v>696</v>
      </c>
      <c r="G37" t="s">
        <v>74</v>
      </c>
      <c r="H37" t="s">
        <v>74</v>
      </c>
      <c r="I37" t="s">
        <v>697</v>
      </c>
      <c r="J37" t="s">
        <v>77</v>
      </c>
      <c r="K37" t="s">
        <v>74</v>
      </c>
      <c r="L37" t="s">
        <v>74</v>
      </c>
      <c r="M37" t="s">
        <v>78</v>
      </c>
      <c r="N37" t="s">
        <v>79</v>
      </c>
      <c r="O37" t="s">
        <v>74</v>
      </c>
      <c r="P37" t="s">
        <v>74</v>
      </c>
      <c r="Q37" t="s">
        <v>74</v>
      </c>
      <c r="R37" t="s">
        <v>74</v>
      </c>
      <c r="S37" t="s">
        <v>74</v>
      </c>
      <c r="T37" t="s">
        <v>698</v>
      </c>
      <c r="U37" t="s">
        <v>699</v>
      </c>
      <c r="V37" t="s">
        <v>700</v>
      </c>
      <c r="W37" t="s">
        <v>701</v>
      </c>
      <c r="X37" t="s">
        <v>702</v>
      </c>
      <c r="Y37" t="s">
        <v>703</v>
      </c>
      <c r="Z37" t="s">
        <v>704</v>
      </c>
      <c r="AA37" t="s">
        <v>705</v>
      </c>
      <c r="AB37" t="s">
        <v>706</v>
      </c>
      <c r="AC37" t="s">
        <v>74</v>
      </c>
      <c r="AD37" t="s">
        <v>74</v>
      </c>
      <c r="AE37" t="s">
        <v>74</v>
      </c>
      <c r="AF37" t="s">
        <v>74</v>
      </c>
      <c r="AG37">
        <v>23</v>
      </c>
      <c r="AH37">
        <v>32</v>
      </c>
      <c r="AI37">
        <v>34</v>
      </c>
      <c r="AJ37">
        <v>0</v>
      </c>
      <c r="AK37">
        <v>8</v>
      </c>
      <c r="AL37" t="s">
        <v>92</v>
      </c>
      <c r="AM37" t="s">
        <v>93</v>
      </c>
      <c r="AN37" t="s">
        <v>94</v>
      </c>
      <c r="AO37" t="s">
        <v>95</v>
      </c>
      <c r="AP37" t="s">
        <v>96</v>
      </c>
      <c r="AQ37" t="s">
        <v>74</v>
      </c>
      <c r="AR37" t="s">
        <v>97</v>
      </c>
      <c r="AS37" t="s">
        <v>98</v>
      </c>
      <c r="AT37" t="s">
        <v>137</v>
      </c>
      <c r="AU37">
        <v>2019</v>
      </c>
      <c r="AV37">
        <v>64</v>
      </c>
      <c r="AW37">
        <v>21</v>
      </c>
      <c r="AX37" t="s">
        <v>74</v>
      </c>
      <c r="AY37" t="s">
        <v>74</v>
      </c>
      <c r="AZ37" t="s">
        <v>74</v>
      </c>
      <c r="BA37" t="s">
        <v>74</v>
      </c>
      <c r="BB37" t="s">
        <v>74</v>
      </c>
      <c r="BC37" t="s">
        <v>74</v>
      </c>
      <c r="BD37">
        <v>215003</v>
      </c>
      <c r="BE37" t="s">
        <v>707</v>
      </c>
      <c r="BF37" t="str">
        <f>HYPERLINK("http://dx.doi.org/10.1088/1361-6560/ab3fcb","http://dx.doi.org/10.1088/1361-6560/ab3fcb")</f>
        <v>http://dx.doi.org/10.1088/1361-6560/ab3fcb</v>
      </c>
      <c r="BG37" t="s">
        <v>74</v>
      </c>
      <c r="BH37" t="s">
        <v>74</v>
      </c>
      <c r="BI37">
        <v>12</v>
      </c>
      <c r="BJ37" t="s">
        <v>101</v>
      </c>
      <c r="BK37" t="s">
        <v>102</v>
      </c>
      <c r="BL37" t="s">
        <v>103</v>
      </c>
      <c r="BM37" t="s">
        <v>708</v>
      </c>
      <c r="BN37">
        <v>31470425</v>
      </c>
      <c r="BO37" t="s">
        <v>74</v>
      </c>
      <c r="BP37" t="s">
        <v>74</v>
      </c>
      <c r="BQ37" t="s">
        <v>74</v>
      </c>
      <c r="BR37" t="s">
        <v>106</v>
      </c>
      <c r="BS37" t="s">
        <v>709</v>
      </c>
      <c r="BT37" t="str">
        <f>HYPERLINK("https%3A%2F%2Fwww.webofscience.com%2Fwos%2Fwoscc%2Ffull-record%2FWOS:000518764400003","View Full Record in Web of Science")</f>
        <v>View Full Record in Web of Science</v>
      </c>
    </row>
    <row r="38" spans="1:72" x14ac:dyDescent="0.25">
      <c r="A38" t="s">
        <v>72</v>
      </c>
      <c r="B38" t="s">
        <v>710</v>
      </c>
      <c r="C38" t="s">
        <v>74</v>
      </c>
      <c r="D38" t="s">
        <v>74</v>
      </c>
      <c r="E38" t="s">
        <v>74</v>
      </c>
      <c r="F38" t="s">
        <v>711</v>
      </c>
      <c r="G38" t="s">
        <v>74</v>
      </c>
      <c r="H38" t="s">
        <v>74</v>
      </c>
      <c r="I38" t="s">
        <v>712</v>
      </c>
      <c r="J38" t="s">
        <v>77</v>
      </c>
      <c r="K38" t="s">
        <v>74</v>
      </c>
      <c r="L38" t="s">
        <v>74</v>
      </c>
      <c r="M38" t="s">
        <v>78</v>
      </c>
      <c r="N38" t="s">
        <v>79</v>
      </c>
      <c r="O38" t="s">
        <v>74</v>
      </c>
      <c r="P38" t="s">
        <v>74</v>
      </c>
      <c r="Q38" t="s">
        <v>74</v>
      </c>
      <c r="R38" t="s">
        <v>74</v>
      </c>
      <c r="S38" t="s">
        <v>74</v>
      </c>
      <c r="T38" t="s">
        <v>713</v>
      </c>
      <c r="U38" t="s">
        <v>714</v>
      </c>
      <c r="V38" t="s">
        <v>715</v>
      </c>
      <c r="W38" t="s">
        <v>716</v>
      </c>
      <c r="X38" t="s">
        <v>717</v>
      </c>
      <c r="Y38" t="s">
        <v>718</v>
      </c>
      <c r="Z38" t="s">
        <v>719</v>
      </c>
      <c r="AA38" t="s">
        <v>720</v>
      </c>
      <c r="AB38" t="s">
        <v>721</v>
      </c>
      <c r="AC38" t="s">
        <v>74</v>
      </c>
      <c r="AD38" t="s">
        <v>74</v>
      </c>
      <c r="AE38" t="s">
        <v>74</v>
      </c>
      <c r="AF38" t="s">
        <v>74</v>
      </c>
      <c r="AG38">
        <v>34</v>
      </c>
      <c r="AH38">
        <v>38</v>
      </c>
      <c r="AI38">
        <v>38</v>
      </c>
      <c r="AJ38">
        <v>0</v>
      </c>
      <c r="AK38">
        <v>11</v>
      </c>
      <c r="AL38" t="s">
        <v>157</v>
      </c>
      <c r="AM38" t="s">
        <v>93</v>
      </c>
      <c r="AN38" t="s">
        <v>94</v>
      </c>
      <c r="AO38" t="s">
        <v>95</v>
      </c>
      <c r="AP38" t="s">
        <v>96</v>
      </c>
      <c r="AQ38" t="s">
        <v>74</v>
      </c>
      <c r="AR38" t="s">
        <v>97</v>
      </c>
      <c r="AS38" t="s">
        <v>98</v>
      </c>
      <c r="AT38" t="s">
        <v>509</v>
      </c>
      <c r="AU38">
        <v>2019</v>
      </c>
      <c r="AV38">
        <v>64</v>
      </c>
      <c r="AW38">
        <v>19</v>
      </c>
      <c r="AX38" t="s">
        <v>74</v>
      </c>
      <c r="AY38" t="s">
        <v>74</v>
      </c>
      <c r="AZ38" t="s">
        <v>74</v>
      </c>
      <c r="BA38" t="s">
        <v>74</v>
      </c>
      <c r="BB38" t="s">
        <v>74</v>
      </c>
      <c r="BC38" t="s">
        <v>74</v>
      </c>
      <c r="BD38">
        <v>195010</v>
      </c>
      <c r="BE38" t="s">
        <v>722</v>
      </c>
      <c r="BF38" t="str">
        <f>HYPERLINK("http://dx.doi.org/10.1088/1361-6560/ab3b86","http://dx.doi.org/10.1088/1361-6560/ab3b86")</f>
        <v>http://dx.doi.org/10.1088/1361-6560/ab3b86</v>
      </c>
      <c r="BG38" t="s">
        <v>74</v>
      </c>
      <c r="BH38" t="s">
        <v>74</v>
      </c>
      <c r="BI38">
        <v>20</v>
      </c>
      <c r="BJ38" t="s">
        <v>101</v>
      </c>
      <c r="BK38" t="s">
        <v>102</v>
      </c>
      <c r="BL38" t="s">
        <v>103</v>
      </c>
      <c r="BM38" t="s">
        <v>723</v>
      </c>
      <c r="BN38">
        <v>31416053</v>
      </c>
      <c r="BO38" t="s">
        <v>179</v>
      </c>
      <c r="BP38" t="s">
        <v>74</v>
      </c>
      <c r="BQ38" t="s">
        <v>74</v>
      </c>
      <c r="BR38" t="s">
        <v>106</v>
      </c>
      <c r="BS38" t="s">
        <v>724</v>
      </c>
      <c r="BT38" t="str">
        <f>HYPERLINK("https%3A%2F%2Fwww.webofscience.com%2Fwos%2Fwoscc%2Ffull-record%2FWOS:000505953700004","View Full Record in Web of Science")</f>
        <v>View Full Record in Web of Science</v>
      </c>
    </row>
    <row r="39" spans="1:72" x14ac:dyDescent="0.25">
      <c r="A39" t="s">
        <v>72</v>
      </c>
      <c r="B39" t="s">
        <v>725</v>
      </c>
      <c r="C39" t="s">
        <v>74</v>
      </c>
      <c r="D39" t="s">
        <v>74</v>
      </c>
      <c r="E39" t="s">
        <v>74</v>
      </c>
      <c r="F39" t="s">
        <v>726</v>
      </c>
      <c r="G39" t="s">
        <v>74</v>
      </c>
      <c r="H39" t="s">
        <v>74</v>
      </c>
      <c r="I39" t="s">
        <v>727</v>
      </c>
      <c r="J39" t="s">
        <v>77</v>
      </c>
      <c r="K39" t="s">
        <v>74</v>
      </c>
      <c r="L39" t="s">
        <v>74</v>
      </c>
      <c r="M39" t="s">
        <v>78</v>
      </c>
      <c r="N39" t="s">
        <v>79</v>
      </c>
      <c r="O39" t="s">
        <v>74</v>
      </c>
      <c r="P39" t="s">
        <v>74</v>
      </c>
      <c r="Q39" t="s">
        <v>74</v>
      </c>
      <c r="R39" t="s">
        <v>74</v>
      </c>
      <c r="S39" t="s">
        <v>74</v>
      </c>
      <c r="T39" t="s">
        <v>728</v>
      </c>
      <c r="U39" t="s">
        <v>729</v>
      </c>
      <c r="V39" t="s">
        <v>730</v>
      </c>
      <c r="W39" t="s">
        <v>731</v>
      </c>
      <c r="X39" t="s">
        <v>732</v>
      </c>
      <c r="Y39" t="s">
        <v>733</v>
      </c>
      <c r="Z39" t="s">
        <v>734</v>
      </c>
      <c r="AA39" t="s">
        <v>735</v>
      </c>
      <c r="AB39" t="s">
        <v>736</v>
      </c>
      <c r="AC39" t="s">
        <v>737</v>
      </c>
      <c r="AD39" t="s">
        <v>738</v>
      </c>
      <c r="AE39" t="s">
        <v>739</v>
      </c>
      <c r="AF39" t="s">
        <v>74</v>
      </c>
      <c r="AG39">
        <v>58</v>
      </c>
      <c r="AH39">
        <v>87</v>
      </c>
      <c r="AI39">
        <v>92</v>
      </c>
      <c r="AJ39">
        <v>0</v>
      </c>
      <c r="AK39">
        <v>14</v>
      </c>
      <c r="AL39" t="s">
        <v>157</v>
      </c>
      <c r="AM39" t="s">
        <v>93</v>
      </c>
      <c r="AN39" t="s">
        <v>94</v>
      </c>
      <c r="AO39" t="s">
        <v>95</v>
      </c>
      <c r="AP39" t="s">
        <v>96</v>
      </c>
      <c r="AQ39" t="s">
        <v>74</v>
      </c>
      <c r="AR39" t="s">
        <v>97</v>
      </c>
      <c r="AS39" t="s">
        <v>98</v>
      </c>
      <c r="AT39" t="s">
        <v>509</v>
      </c>
      <c r="AU39">
        <v>2019</v>
      </c>
      <c r="AV39">
        <v>64</v>
      </c>
      <c r="AW39">
        <v>20</v>
      </c>
      <c r="AX39" t="s">
        <v>74</v>
      </c>
      <c r="AY39" t="s">
        <v>74</v>
      </c>
      <c r="AZ39" t="s">
        <v>74</v>
      </c>
      <c r="BA39" t="s">
        <v>74</v>
      </c>
      <c r="BB39" t="s">
        <v>74</v>
      </c>
      <c r="BC39" t="s">
        <v>74</v>
      </c>
      <c r="BD39">
        <v>205022</v>
      </c>
      <c r="BE39" t="s">
        <v>740</v>
      </c>
      <c r="BF39" t="str">
        <f>HYPERLINK("http://dx.doi.org/10.1088/1361-6560/ab41af","http://dx.doi.org/10.1088/1361-6560/ab41af")</f>
        <v>http://dx.doi.org/10.1088/1361-6560/ab41af</v>
      </c>
      <c r="BG39" t="s">
        <v>74</v>
      </c>
      <c r="BH39" t="s">
        <v>74</v>
      </c>
      <c r="BI39">
        <v>15</v>
      </c>
      <c r="BJ39" t="s">
        <v>101</v>
      </c>
      <c r="BK39" t="s">
        <v>102</v>
      </c>
      <c r="BL39" t="s">
        <v>103</v>
      </c>
      <c r="BM39" t="s">
        <v>741</v>
      </c>
      <c r="BN39">
        <v>31487698</v>
      </c>
      <c r="BO39" t="s">
        <v>105</v>
      </c>
      <c r="BP39" t="s">
        <v>74</v>
      </c>
      <c r="BQ39" t="s">
        <v>74</v>
      </c>
      <c r="BR39" t="s">
        <v>106</v>
      </c>
      <c r="BS39" t="s">
        <v>742</v>
      </c>
      <c r="BT39" t="str">
        <f>HYPERLINK("https%3A%2F%2Fwww.webofscience.com%2Fwos%2Fwoscc%2Ffull-record%2FWOS:000500247900022","View Full Record in Web of Science")</f>
        <v>View Full Record in Web of Science</v>
      </c>
    </row>
    <row r="40" spans="1:72" x14ac:dyDescent="0.25">
      <c r="A40" t="s">
        <v>72</v>
      </c>
      <c r="B40" t="s">
        <v>743</v>
      </c>
      <c r="C40" t="s">
        <v>74</v>
      </c>
      <c r="D40" t="s">
        <v>74</v>
      </c>
      <c r="E40" t="s">
        <v>74</v>
      </c>
      <c r="F40" t="s">
        <v>744</v>
      </c>
      <c r="G40" t="s">
        <v>74</v>
      </c>
      <c r="H40" t="s">
        <v>74</v>
      </c>
      <c r="I40" t="s">
        <v>745</v>
      </c>
      <c r="J40" t="s">
        <v>77</v>
      </c>
      <c r="K40" t="s">
        <v>74</v>
      </c>
      <c r="L40" t="s">
        <v>74</v>
      </c>
      <c r="M40" t="s">
        <v>78</v>
      </c>
      <c r="N40" t="s">
        <v>79</v>
      </c>
      <c r="O40" t="s">
        <v>74</v>
      </c>
      <c r="P40" t="s">
        <v>74</v>
      </c>
      <c r="Q40" t="s">
        <v>74</v>
      </c>
      <c r="R40" t="s">
        <v>74</v>
      </c>
      <c r="S40" t="s">
        <v>74</v>
      </c>
      <c r="T40" t="s">
        <v>746</v>
      </c>
      <c r="U40" t="s">
        <v>747</v>
      </c>
      <c r="V40" t="s">
        <v>748</v>
      </c>
      <c r="W40" t="s">
        <v>749</v>
      </c>
      <c r="X40" t="s">
        <v>750</v>
      </c>
      <c r="Y40" t="s">
        <v>751</v>
      </c>
      <c r="Z40" t="s">
        <v>752</v>
      </c>
      <c r="AA40" t="s">
        <v>753</v>
      </c>
      <c r="AB40" t="s">
        <v>754</v>
      </c>
      <c r="AC40" t="s">
        <v>755</v>
      </c>
      <c r="AD40" t="s">
        <v>756</v>
      </c>
      <c r="AE40" t="s">
        <v>757</v>
      </c>
      <c r="AF40" t="s">
        <v>74</v>
      </c>
      <c r="AG40">
        <v>38</v>
      </c>
      <c r="AH40">
        <v>2</v>
      </c>
      <c r="AI40">
        <v>2</v>
      </c>
      <c r="AJ40">
        <v>1</v>
      </c>
      <c r="AK40">
        <v>13</v>
      </c>
      <c r="AL40" t="s">
        <v>92</v>
      </c>
      <c r="AM40" t="s">
        <v>93</v>
      </c>
      <c r="AN40" t="s">
        <v>94</v>
      </c>
      <c r="AO40" t="s">
        <v>95</v>
      </c>
      <c r="AP40" t="s">
        <v>96</v>
      </c>
      <c r="AQ40" t="s">
        <v>74</v>
      </c>
      <c r="AR40" t="s">
        <v>97</v>
      </c>
      <c r="AS40" t="s">
        <v>98</v>
      </c>
      <c r="AT40" t="s">
        <v>509</v>
      </c>
      <c r="AU40">
        <v>2019</v>
      </c>
      <c r="AV40">
        <v>64</v>
      </c>
      <c r="AW40">
        <v>20</v>
      </c>
      <c r="AX40" t="s">
        <v>74</v>
      </c>
      <c r="AY40" t="s">
        <v>74</v>
      </c>
      <c r="AZ40" t="s">
        <v>74</v>
      </c>
      <c r="BA40" t="s">
        <v>74</v>
      </c>
      <c r="BB40" t="s">
        <v>74</v>
      </c>
      <c r="BC40" t="s">
        <v>74</v>
      </c>
      <c r="BD40">
        <v>205008</v>
      </c>
      <c r="BE40" t="s">
        <v>758</v>
      </c>
      <c r="BF40" t="str">
        <f>HYPERLINK("http://dx.doi.org/10.1088/1361-6560/ab439d","http://dx.doi.org/10.1088/1361-6560/ab439d")</f>
        <v>http://dx.doi.org/10.1088/1361-6560/ab439d</v>
      </c>
      <c r="BG40" t="s">
        <v>74</v>
      </c>
      <c r="BH40" t="s">
        <v>74</v>
      </c>
      <c r="BI40">
        <v>9</v>
      </c>
      <c r="BJ40" t="s">
        <v>101</v>
      </c>
      <c r="BK40" t="s">
        <v>102</v>
      </c>
      <c r="BL40" t="s">
        <v>103</v>
      </c>
      <c r="BM40" t="s">
        <v>741</v>
      </c>
      <c r="BN40">
        <v>31509810</v>
      </c>
      <c r="BO40" t="s">
        <v>759</v>
      </c>
      <c r="BP40" t="s">
        <v>74</v>
      </c>
      <c r="BQ40" t="s">
        <v>74</v>
      </c>
      <c r="BR40" t="s">
        <v>106</v>
      </c>
      <c r="BS40" t="s">
        <v>760</v>
      </c>
      <c r="BT40" t="str">
        <f>HYPERLINK("https%3A%2F%2Fwww.webofscience.com%2Fwos%2Fwoscc%2Ffull-record%2FWOS:000500247900008","View Full Record in Web of Science")</f>
        <v>View Full Record in Web of Science</v>
      </c>
    </row>
    <row r="41" spans="1:72" x14ac:dyDescent="0.25">
      <c r="A41" t="s">
        <v>72</v>
      </c>
      <c r="B41" t="s">
        <v>761</v>
      </c>
      <c r="C41" t="s">
        <v>74</v>
      </c>
      <c r="D41" t="s">
        <v>74</v>
      </c>
      <c r="E41" t="s">
        <v>74</v>
      </c>
      <c r="F41" t="s">
        <v>762</v>
      </c>
      <c r="G41" t="s">
        <v>74</v>
      </c>
      <c r="H41" t="s">
        <v>74</v>
      </c>
      <c r="I41" t="s">
        <v>763</v>
      </c>
      <c r="J41" t="s">
        <v>77</v>
      </c>
      <c r="K41" t="s">
        <v>74</v>
      </c>
      <c r="L41" t="s">
        <v>74</v>
      </c>
      <c r="M41" t="s">
        <v>78</v>
      </c>
      <c r="N41" t="s">
        <v>79</v>
      </c>
      <c r="O41" t="s">
        <v>74</v>
      </c>
      <c r="P41" t="s">
        <v>74</v>
      </c>
      <c r="Q41" t="s">
        <v>74</v>
      </c>
      <c r="R41" t="s">
        <v>74</v>
      </c>
      <c r="S41" t="s">
        <v>74</v>
      </c>
      <c r="T41" t="s">
        <v>764</v>
      </c>
      <c r="U41" t="s">
        <v>74</v>
      </c>
      <c r="V41" t="s">
        <v>765</v>
      </c>
      <c r="W41" t="s">
        <v>766</v>
      </c>
      <c r="X41" t="s">
        <v>767</v>
      </c>
      <c r="Y41" t="s">
        <v>768</v>
      </c>
      <c r="Z41" t="s">
        <v>769</v>
      </c>
      <c r="AA41" t="s">
        <v>770</v>
      </c>
      <c r="AB41" t="s">
        <v>771</v>
      </c>
      <c r="AC41" t="s">
        <v>772</v>
      </c>
      <c r="AD41" t="s">
        <v>773</v>
      </c>
      <c r="AE41" t="s">
        <v>774</v>
      </c>
      <c r="AF41" t="s">
        <v>74</v>
      </c>
      <c r="AG41">
        <v>18</v>
      </c>
      <c r="AH41">
        <v>26</v>
      </c>
      <c r="AI41">
        <v>31</v>
      </c>
      <c r="AJ41">
        <v>1</v>
      </c>
      <c r="AK41">
        <v>12</v>
      </c>
      <c r="AL41" t="s">
        <v>92</v>
      </c>
      <c r="AM41" t="s">
        <v>93</v>
      </c>
      <c r="AN41" t="s">
        <v>94</v>
      </c>
      <c r="AO41" t="s">
        <v>95</v>
      </c>
      <c r="AP41" t="s">
        <v>96</v>
      </c>
      <c r="AQ41" t="s">
        <v>74</v>
      </c>
      <c r="AR41" t="s">
        <v>97</v>
      </c>
      <c r="AS41" t="s">
        <v>98</v>
      </c>
      <c r="AT41" t="s">
        <v>176</v>
      </c>
      <c r="AU41">
        <v>2019</v>
      </c>
      <c r="AV41">
        <v>64</v>
      </c>
      <c r="AW41">
        <v>17</v>
      </c>
      <c r="AX41" t="s">
        <v>74</v>
      </c>
      <c r="AY41" t="s">
        <v>74</v>
      </c>
      <c r="AZ41" t="s">
        <v>74</v>
      </c>
      <c r="BA41" t="s">
        <v>74</v>
      </c>
      <c r="BB41" t="s">
        <v>74</v>
      </c>
      <c r="BC41" t="s">
        <v>74</v>
      </c>
      <c r="BD41">
        <v>175001</v>
      </c>
      <c r="BE41" t="s">
        <v>775</v>
      </c>
      <c r="BF41" t="str">
        <f>HYPERLINK("http://dx.doi.org/10.1088/1361-6560/ab35c4","http://dx.doi.org/10.1088/1361-6560/ab35c4")</f>
        <v>http://dx.doi.org/10.1088/1361-6560/ab35c4</v>
      </c>
      <c r="BG41" t="s">
        <v>74</v>
      </c>
      <c r="BH41" t="s">
        <v>74</v>
      </c>
      <c r="BI41">
        <v>6</v>
      </c>
      <c r="BJ41" t="s">
        <v>101</v>
      </c>
      <c r="BK41" t="s">
        <v>102</v>
      </c>
      <c r="BL41" t="s">
        <v>103</v>
      </c>
      <c r="BM41" t="s">
        <v>776</v>
      </c>
      <c r="BN41">
        <v>31344688</v>
      </c>
      <c r="BO41" t="s">
        <v>420</v>
      </c>
      <c r="BP41" t="s">
        <v>74</v>
      </c>
      <c r="BQ41" t="s">
        <v>74</v>
      </c>
      <c r="BR41" t="s">
        <v>106</v>
      </c>
      <c r="BS41" t="s">
        <v>777</v>
      </c>
      <c r="BT41" t="str">
        <f>HYPERLINK("https%3A%2F%2Fwww.webofscience.com%2Fwos%2Fwoscc%2Ffull-record%2FWOS:000483095200001","View Full Record in Web of Science")</f>
        <v>View Full Record in Web of Science</v>
      </c>
    </row>
    <row r="42" spans="1:72" x14ac:dyDescent="0.25">
      <c r="A42" t="s">
        <v>72</v>
      </c>
      <c r="B42" t="s">
        <v>778</v>
      </c>
      <c r="C42" t="s">
        <v>74</v>
      </c>
      <c r="D42" t="s">
        <v>74</v>
      </c>
      <c r="E42" t="s">
        <v>74</v>
      </c>
      <c r="F42" t="s">
        <v>779</v>
      </c>
      <c r="G42" t="s">
        <v>74</v>
      </c>
      <c r="H42" t="s">
        <v>74</v>
      </c>
      <c r="I42" t="s">
        <v>780</v>
      </c>
      <c r="J42" t="s">
        <v>77</v>
      </c>
      <c r="K42" t="s">
        <v>74</v>
      </c>
      <c r="L42" t="s">
        <v>74</v>
      </c>
      <c r="M42" t="s">
        <v>78</v>
      </c>
      <c r="N42" t="s">
        <v>79</v>
      </c>
      <c r="O42" t="s">
        <v>74</v>
      </c>
      <c r="P42" t="s">
        <v>74</v>
      </c>
      <c r="Q42" t="s">
        <v>74</v>
      </c>
      <c r="R42" t="s">
        <v>74</v>
      </c>
      <c r="S42" t="s">
        <v>74</v>
      </c>
      <c r="T42" t="s">
        <v>781</v>
      </c>
      <c r="U42" t="s">
        <v>782</v>
      </c>
      <c r="V42" t="s">
        <v>783</v>
      </c>
      <c r="W42" t="s">
        <v>784</v>
      </c>
      <c r="X42" t="s">
        <v>785</v>
      </c>
      <c r="Y42" t="s">
        <v>786</v>
      </c>
      <c r="Z42" t="s">
        <v>787</v>
      </c>
      <c r="AA42" t="s">
        <v>788</v>
      </c>
      <c r="AB42" t="s">
        <v>789</v>
      </c>
      <c r="AC42" t="s">
        <v>790</v>
      </c>
      <c r="AD42" t="s">
        <v>791</v>
      </c>
      <c r="AE42" t="s">
        <v>792</v>
      </c>
      <c r="AF42" t="s">
        <v>74</v>
      </c>
      <c r="AG42">
        <v>61</v>
      </c>
      <c r="AH42">
        <v>52</v>
      </c>
      <c r="AI42">
        <v>56</v>
      </c>
      <c r="AJ42">
        <v>2</v>
      </c>
      <c r="AK42">
        <v>63</v>
      </c>
      <c r="AL42" t="s">
        <v>157</v>
      </c>
      <c r="AM42" t="s">
        <v>93</v>
      </c>
      <c r="AN42" t="s">
        <v>94</v>
      </c>
      <c r="AO42" t="s">
        <v>95</v>
      </c>
      <c r="AP42" t="s">
        <v>96</v>
      </c>
      <c r="AQ42" t="s">
        <v>74</v>
      </c>
      <c r="AR42" t="s">
        <v>97</v>
      </c>
      <c r="AS42" t="s">
        <v>98</v>
      </c>
      <c r="AT42" t="s">
        <v>176</v>
      </c>
      <c r="AU42">
        <v>2019</v>
      </c>
      <c r="AV42">
        <v>64</v>
      </c>
      <c r="AW42">
        <v>17</v>
      </c>
      <c r="AX42" t="s">
        <v>74</v>
      </c>
      <c r="AY42" t="s">
        <v>74</v>
      </c>
      <c r="AZ42" t="s">
        <v>74</v>
      </c>
      <c r="BA42" t="s">
        <v>74</v>
      </c>
      <c r="BB42" t="s">
        <v>74</v>
      </c>
      <c r="BC42" t="s">
        <v>74</v>
      </c>
      <c r="BD42">
        <v>175012</v>
      </c>
      <c r="BE42" t="s">
        <v>793</v>
      </c>
      <c r="BF42" t="str">
        <f>HYPERLINK("http://dx.doi.org/10.1088/1361-6560/ab326a","http://dx.doi.org/10.1088/1361-6560/ab326a")</f>
        <v>http://dx.doi.org/10.1088/1361-6560/ab326a</v>
      </c>
      <c r="BG42" t="s">
        <v>74</v>
      </c>
      <c r="BH42" t="s">
        <v>74</v>
      </c>
      <c r="BI42">
        <v>16</v>
      </c>
      <c r="BJ42" t="s">
        <v>101</v>
      </c>
      <c r="BK42" t="s">
        <v>102</v>
      </c>
      <c r="BL42" t="s">
        <v>103</v>
      </c>
      <c r="BM42" t="s">
        <v>794</v>
      </c>
      <c r="BN42">
        <v>31307017</v>
      </c>
      <c r="BO42" t="s">
        <v>795</v>
      </c>
      <c r="BP42" t="s">
        <v>74</v>
      </c>
      <c r="BQ42" t="s">
        <v>74</v>
      </c>
      <c r="BR42" t="s">
        <v>106</v>
      </c>
      <c r="BS42" t="s">
        <v>796</v>
      </c>
      <c r="BT42" t="str">
        <f>HYPERLINK("https%3A%2F%2Fwww.webofscience.com%2Fwos%2Fwoscc%2Ffull-record%2FWOS:000484508700005","View Full Record in Web of Science")</f>
        <v>View Full Record in Web of Science</v>
      </c>
    </row>
    <row r="43" spans="1:72" x14ac:dyDescent="0.25">
      <c r="A43" t="s">
        <v>72</v>
      </c>
      <c r="B43" t="s">
        <v>797</v>
      </c>
      <c r="C43" t="s">
        <v>74</v>
      </c>
      <c r="D43" t="s">
        <v>74</v>
      </c>
      <c r="E43" t="s">
        <v>74</v>
      </c>
      <c r="F43" t="s">
        <v>798</v>
      </c>
      <c r="G43" t="s">
        <v>74</v>
      </c>
      <c r="H43" t="s">
        <v>74</v>
      </c>
      <c r="I43" t="s">
        <v>799</v>
      </c>
      <c r="J43" t="s">
        <v>77</v>
      </c>
      <c r="K43" t="s">
        <v>74</v>
      </c>
      <c r="L43" t="s">
        <v>74</v>
      </c>
      <c r="M43" t="s">
        <v>78</v>
      </c>
      <c r="N43" t="s">
        <v>79</v>
      </c>
      <c r="O43" t="s">
        <v>74</v>
      </c>
      <c r="P43" t="s">
        <v>74</v>
      </c>
      <c r="Q43" t="s">
        <v>74</v>
      </c>
      <c r="R43" t="s">
        <v>74</v>
      </c>
      <c r="S43" t="s">
        <v>74</v>
      </c>
      <c r="T43" t="s">
        <v>800</v>
      </c>
      <c r="U43" t="s">
        <v>74</v>
      </c>
      <c r="V43" t="s">
        <v>801</v>
      </c>
      <c r="W43" t="s">
        <v>802</v>
      </c>
      <c r="X43" t="s">
        <v>803</v>
      </c>
      <c r="Y43" t="s">
        <v>804</v>
      </c>
      <c r="Z43" t="s">
        <v>805</v>
      </c>
      <c r="AA43" t="s">
        <v>806</v>
      </c>
      <c r="AB43" t="s">
        <v>807</v>
      </c>
      <c r="AC43" t="s">
        <v>808</v>
      </c>
      <c r="AD43" t="s">
        <v>809</v>
      </c>
      <c r="AE43" t="s">
        <v>810</v>
      </c>
      <c r="AF43" t="s">
        <v>74</v>
      </c>
      <c r="AG43">
        <v>11</v>
      </c>
      <c r="AH43">
        <v>9</v>
      </c>
      <c r="AI43">
        <v>13</v>
      </c>
      <c r="AJ43">
        <v>0</v>
      </c>
      <c r="AK43">
        <v>8</v>
      </c>
      <c r="AL43" t="s">
        <v>157</v>
      </c>
      <c r="AM43" t="s">
        <v>93</v>
      </c>
      <c r="AN43" t="s">
        <v>94</v>
      </c>
      <c r="AO43" t="s">
        <v>95</v>
      </c>
      <c r="AP43" t="s">
        <v>96</v>
      </c>
      <c r="AQ43" t="s">
        <v>74</v>
      </c>
      <c r="AR43" t="s">
        <v>97</v>
      </c>
      <c r="AS43" t="s">
        <v>98</v>
      </c>
      <c r="AT43" t="s">
        <v>196</v>
      </c>
      <c r="AU43">
        <v>2019</v>
      </c>
      <c r="AV43">
        <v>64</v>
      </c>
      <c r="AW43">
        <v>15</v>
      </c>
      <c r="AX43" t="s">
        <v>74</v>
      </c>
      <c r="AY43" t="s">
        <v>74</v>
      </c>
      <c r="AZ43" t="s">
        <v>74</v>
      </c>
      <c r="BA43" t="s">
        <v>74</v>
      </c>
      <c r="BB43" t="s">
        <v>74</v>
      </c>
      <c r="BC43" t="s">
        <v>74</v>
      </c>
      <c r="BD43">
        <v>155019</v>
      </c>
      <c r="BE43" t="s">
        <v>811</v>
      </c>
      <c r="BF43" t="str">
        <f>HYPERLINK("http://dx.doi.org/10.1088/1361-6560/ab2827","http://dx.doi.org/10.1088/1361-6560/ab2827")</f>
        <v>http://dx.doi.org/10.1088/1361-6560/ab2827</v>
      </c>
      <c r="BG43" t="s">
        <v>74</v>
      </c>
      <c r="BH43" t="s">
        <v>74</v>
      </c>
      <c r="BI43">
        <v>10</v>
      </c>
      <c r="BJ43" t="s">
        <v>101</v>
      </c>
      <c r="BK43" t="s">
        <v>102</v>
      </c>
      <c r="BL43" t="s">
        <v>103</v>
      </c>
      <c r="BM43" t="s">
        <v>198</v>
      </c>
      <c r="BN43">
        <v>31181556</v>
      </c>
      <c r="BO43" t="s">
        <v>270</v>
      </c>
      <c r="BP43" t="s">
        <v>74</v>
      </c>
      <c r="BQ43" t="s">
        <v>74</v>
      </c>
      <c r="BR43" t="s">
        <v>106</v>
      </c>
      <c r="BS43" t="s">
        <v>812</v>
      </c>
      <c r="BT43" t="str">
        <f>HYPERLINK("https%3A%2F%2Fwww.webofscience.com%2Fwos%2Fwoscc%2Ffull-record%2FWOS:000480292700014","View Full Record in Web of Science")</f>
        <v>View Full Record in Web of Science</v>
      </c>
    </row>
    <row r="44" spans="1:72" x14ac:dyDescent="0.25">
      <c r="A44" t="s">
        <v>72</v>
      </c>
      <c r="B44" t="s">
        <v>813</v>
      </c>
      <c r="C44" t="s">
        <v>74</v>
      </c>
      <c r="D44" t="s">
        <v>74</v>
      </c>
      <c r="E44" t="s">
        <v>74</v>
      </c>
      <c r="F44" t="s">
        <v>814</v>
      </c>
      <c r="G44" t="s">
        <v>74</v>
      </c>
      <c r="H44" t="s">
        <v>74</v>
      </c>
      <c r="I44" t="s">
        <v>815</v>
      </c>
      <c r="J44" t="s">
        <v>77</v>
      </c>
      <c r="K44" t="s">
        <v>74</v>
      </c>
      <c r="L44" t="s">
        <v>74</v>
      </c>
      <c r="M44" t="s">
        <v>78</v>
      </c>
      <c r="N44" t="s">
        <v>79</v>
      </c>
      <c r="O44" t="s">
        <v>74</v>
      </c>
      <c r="P44" t="s">
        <v>74</v>
      </c>
      <c r="Q44" t="s">
        <v>74</v>
      </c>
      <c r="R44" t="s">
        <v>74</v>
      </c>
      <c r="S44" t="s">
        <v>74</v>
      </c>
      <c r="T44" t="s">
        <v>816</v>
      </c>
      <c r="U44" t="s">
        <v>817</v>
      </c>
      <c r="V44" t="s">
        <v>818</v>
      </c>
      <c r="W44" t="s">
        <v>819</v>
      </c>
      <c r="X44" t="s">
        <v>820</v>
      </c>
      <c r="Y44" t="s">
        <v>821</v>
      </c>
      <c r="Z44" t="s">
        <v>822</v>
      </c>
      <c r="AA44" t="s">
        <v>823</v>
      </c>
      <c r="AB44" t="s">
        <v>824</v>
      </c>
      <c r="AC44" t="s">
        <v>825</v>
      </c>
      <c r="AD44" t="s">
        <v>826</v>
      </c>
      <c r="AE44" t="s">
        <v>827</v>
      </c>
      <c r="AF44" t="s">
        <v>74</v>
      </c>
      <c r="AG44">
        <v>49</v>
      </c>
      <c r="AH44">
        <v>13</v>
      </c>
      <c r="AI44">
        <v>14</v>
      </c>
      <c r="AJ44">
        <v>2</v>
      </c>
      <c r="AK44">
        <v>6</v>
      </c>
      <c r="AL44" t="s">
        <v>157</v>
      </c>
      <c r="AM44" t="s">
        <v>93</v>
      </c>
      <c r="AN44" t="s">
        <v>94</v>
      </c>
      <c r="AO44" t="s">
        <v>95</v>
      </c>
      <c r="AP44" t="s">
        <v>96</v>
      </c>
      <c r="AQ44" t="s">
        <v>74</v>
      </c>
      <c r="AR44" t="s">
        <v>97</v>
      </c>
      <c r="AS44" t="s">
        <v>98</v>
      </c>
      <c r="AT44" t="s">
        <v>250</v>
      </c>
      <c r="AU44">
        <v>2019</v>
      </c>
      <c r="AV44">
        <v>64</v>
      </c>
      <c r="AW44">
        <v>11</v>
      </c>
      <c r="AX44" t="s">
        <v>74</v>
      </c>
      <c r="AY44" t="s">
        <v>74</v>
      </c>
      <c r="AZ44" t="s">
        <v>74</v>
      </c>
      <c r="BA44" t="s">
        <v>74</v>
      </c>
      <c r="BB44" t="s">
        <v>74</v>
      </c>
      <c r="BC44" t="s">
        <v>74</v>
      </c>
      <c r="BD44">
        <v>115005</v>
      </c>
      <c r="BE44" t="s">
        <v>828</v>
      </c>
      <c r="BF44" t="str">
        <f>HYPERLINK("http://dx.doi.org/10.1088/1361-6560/ab0dbb","http://dx.doi.org/10.1088/1361-6560/ab0dbb")</f>
        <v>http://dx.doi.org/10.1088/1361-6560/ab0dbb</v>
      </c>
      <c r="BG44" t="s">
        <v>74</v>
      </c>
      <c r="BH44" t="s">
        <v>74</v>
      </c>
      <c r="BI44">
        <v>12</v>
      </c>
      <c r="BJ44" t="s">
        <v>101</v>
      </c>
      <c r="BK44" t="s">
        <v>102</v>
      </c>
      <c r="BL44" t="s">
        <v>103</v>
      </c>
      <c r="BM44" t="s">
        <v>323</v>
      </c>
      <c r="BN44">
        <v>30844775</v>
      </c>
      <c r="BO44" t="s">
        <v>829</v>
      </c>
      <c r="BP44" t="s">
        <v>74</v>
      </c>
      <c r="BQ44" t="s">
        <v>74</v>
      </c>
      <c r="BR44" t="s">
        <v>106</v>
      </c>
      <c r="BS44" t="s">
        <v>830</v>
      </c>
      <c r="BT44" t="str">
        <f>HYPERLINK("https%3A%2F%2Fwww.webofscience.com%2Fwos%2Fwoscc%2Ffull-record%2FWOS:000468942900005","View Full Record in Web of Science")</f>
        <v>View Full Record in Web of Science</v>
      </c>
    </row>
    <row r="45" spans="1:72" x14ac:dyDescent="0.25">
      <c r="A45" t="s">
        <v>72</v>
      </c>
      <c r="B45" t="s">
        <v>831</v>
      </c>
      <c r="C45" t="s">
        <v>74</v>
      </c>
      <c r="D45" t="s">
        <v>74</v>
      </c>
      <c r="E45" t="s">
        <v>74</v>
      </c>
      <c r="F45" t="s">
        <v>832</v>
      </c>
      <c r="G45" t="s">
        <v>74</v>
      </c>
      <c r="H45" t="s">
        <v>74</v>
      </c>
      <c r="I45" t="s">
        <v>833</v>
      </c>
      <c r="J45" t="s">
        <v>77</v>
      </c>
      <c r="K45" t="s">
        <v>74</v>
      </c>
      <c r="L45" t="s">
        <v>74</v>
      </c>
      <c r="M45" t="s">
        <v>78</v>
      </c>
      <c r="N45" t="s">
        <v>79</v>
      </c>
      <c r="O45" t="s">
        <v>74</v>
      </c>
      <c r="P45" t="s">
        <v>74</v>
      </c>
      <c r="Q45" t="s">
        <v>74</v>
      </c>
      <c r="R45" t="s">
        <v>74</v>
      </c>
      <c r="S45" t="s">
        <v>74</v>
      </c>
      <c r="T45" t="s">
        <v>834</v>
      </c>
      <c r="U45" t="s">
        <v>835</v>
      </c>
      <c r="V45" t="s">
        <v>836</v>
      </c>
      <c r="W45" t="s">
        <v>837</v>
      </c>
      <c r="X45" t="s">
        <v>838</v>
      </c>
      <c r="Y45" t="s">
        <v>839</v>
      </c>
      <c r="Z45" t="s">
        <v>840</v>
      </c>
      <c r="AA45" t="s">
        <v>841</v>
      </c>
      <c r="AB45" t="s">
        <v>842</v>
      </c>
      <c r="AC45" t="s">
        <v>74</v>
      </c>
      <c r="AD45" t="s">
        <v>74</v>
      </c>
      <c r="AE45" t="s">
        <v>74</v>
      </c>
      <c r="AF45" t="s">
        <v>74</v>
      </c>
      <c r="AG45">
        <v>41</v>
      </c>
      <c r="AH45">
        <v>1</v>
      </c>
      <c r="AI45">
        <v>1</v>
      </c>
      <c r="AJ45">
        <v>0</v>
      </c>
      <c r="AK45">
        <v>11</v>
      </c>
      <c r="AL45" t="s">
        <v>157</v>
      </c>
      <c r="AM45" t="s">
        <v>93</v>
      </c>
      <c r="AN45" t="s">
        <v>94</v>
      </c>
      <c r="AO45" t="s">
        <v>95</v>
      </c>
      <c r="AP45" t="s">
        <v>96</v>
      </c>
      <c r="AQ45" t="s">
        <v>74</v>
      </c>
      <c r="AR45" t="s">
        <v>97</v>
      </c>
      <c r="AS45" t="s">
        <v>98</v>
      </c>
      <c r="AT45" t="s">
        <v>250</v>
      </c>
      <c r="AU45">
        <v>2019</v>
      </c>
      <c r="AV45">
        <v>64</v>
      </c>
      <c r="AW45">
        <v>11</v>
      </c>
      <c r="AX45" t="s">
        <v>74</v>
      </c>
      <c r="AY45" t="s">
        <v>74</v>
      </c>
      <c r="AZ45" t="s">
        <v>74</v>
      </c>
      <c r="BA45" t="s">
        <v>74</v>
      </c>
      <c r="BB45" t="s">
        <v>74</v>
      </c>
      <c r="BC45" t="s">
        <v>74</v>
      </c>
      <c r="BD45">
        <v>115021</v>
      </c>
      <c r="BE45" t="s">
        <v>843</v>
      </c>
      <c r="BF45" t="str">
        <f>HYPERLINK("http://dx.doi.org/10.1088/1361-6560/ab1a67","http://dx.doi.org/10.1088/1361-6560/ab1a67")</f>
        <v>http://dx.doi.org/10.1088/1361-6560/ab1a67</v>
      </c>
      <c r="BG45" t="s">
        <v>74</v>
      </c>
      <c r="BH45" t="s">
        <v>74</v>
      </c>
      <c r="BI45">
        <v>13</v>
      </c>
      <c r="BJ45" t="s">
        <v>101</v>
      </c>
      <c r="BK45" t="s">
        <v>102</v>
      </c>
      <c r="BL45" t="s">
        <v>103</v>
      </c>
      <c r="BM45" t="s">
        <v>305</v>
      </c>
      <c r="BN45">
        <v>30995620</v>
      </c>
      <c r="BO45" t="s">
        <v>74</v>
      </c>
      <c r="BP45" t="s">
        <v>74</v>
      </c>
      <c r="BQ45" t="s">
        <v>74</v>
      </c>
      <c r="BR45" t="s">
        <v>106</v>
      </c>
      <c r="BS45" t="s">
        <v>844</v>
      </c>
      <c r="BT45" t="str">
        <f>HYPERLINK("https%3A%2F%2Fwww.webofscience.com%2Fwos%2Fwoscc%2Ffull-record%2FWOS:000470205600005","View Full Record in Web of Science")</f>
        <v>View Full Record in Web of Science</v>
      </c>
    </row>
    <row r="46" spans="1:72" x14ac:dyDescent="0.25">
      <c r="A46" t="s">
        <v>72</v>
      </c>
      <c r="B46" t="s">
        <v>845</v>
      </c>
      <c r="C46" t="s">
        <v>74</v>
      </c>
      <c r="D46" t="s">
        <v>74</v>
      </c>
      <c r="E46" t="s">
        <v>74</v>
      </c>
      <c r="F46" t="s">
        <v>846</v>
      </c>
      <c r="G46" t="s">
        <v>74</v>
      </c>
      <c r="H46" t="s">
        <v>74</v>
      </c>
      <c r="I46" t="s">
        <v>847</v>
      </c>
      <c r="J46" t="s">
        <v>77</v>
      </c>
      <c r="K46" t="s">
        <v>74</v>
      </c>
      <c r="L46" t="s">
        <v>74</v>
      </c>
      <c r="M46" t="s">
        <v>78</v>
      </c>
      <c r="N46" t="s">
        <v>79</v>
      </c>
      <c r="O46" t="s">
        <v>74</v>
      </c>
      <c r="P46" t="s">
        <v>74</v>
      </c>
      <c r="Q46" t="s">
        <v>74</v>
      </c>
      <c r="R46" t="s">
        <v>74</v>
      </c>
      <c r="S46" t="s">
        <v>74</v>
      </c>
      <c r="T46" t="s">
        <v>848</v>
      </c>
      <c r="U46" t="s">
        <v>849</v>
      </c>
      <c r="V46" t="s">
        <v>850</v>
      </c>
      <c r="W46" t="s">
        <v>851</v>
      </c>
      <c r="X46" t="s">
        <v>852</v>
      </c>
      <c r="Y46" t="s">
        <v>853</v>
      </c>
      <c r="Z46" t="s">
        <v>854</v>
      </c>
      <c r="AA46" t="s">
        <v>855</v>
      </c>
      <c r="AB46" t="s">
        <v>856</v>
      </c>
      <c r="AC46" t="s">
        <v>857</v>
      </c>
      <c r="AD46" t="s">
        <v>857</v>
      </c>
      <c r="AE46" t="s">
        <v>858</v>
      </c>
      <c r="AF46" t="s">
        <v>74</v>
      </c>
      <c r="AG46">
        <v>26</v>
      </c>
      <c r="AH46">
        <v>12</v>
      </c>
      <c r="AI46">
        <v>13</v>
      </c>
      <c r="AJ46">
        <v>0</v>
      </c>
      <c r="AK46">
        <v>3</v>
      </c>
      <c r="AL46" t="s">
        <v>92</v>
      </c>
      <c r="AM46" t="s">
        <v>93</v>
      </c>
      <c r="AN46" t="s">
        <v>94</v>
      </c>
      <c r="AO46" t="s">
        <v>95</v>
      </c>
      <c r="AP46" t="s">
        <v>96</v>
      </c>
      <c r="AQ46" t="s">
        <v>74</v>
      </c>
      <c r="AR46" t="s">
        <v>97</v>
      </c>
      <c r="AS46" t="s">
        <v>98</v>
      </c>
      <c r="AT46" t="s">
        <v>370</v>
      </c>
      <c r="AU46">
        <v>2019</v>
      </c>
      <c r="AV46">
        <v>64</v>
      </c>
      <c r="AW46">
        <v>10</v>
      </c>
      <c r="AX46" t="s">
        <v>74</v>
      </c>
      <c r="AY46" t="s">
        <v>74</v>
      </c>
      <c r="AZ46" t="s">
        <v>74</v>
      </c>
      <c r="BA46" t="s">
        <v>74</v>
      </c>
      <c r="BB46" t="s">
        <v>74</v>
      </c>
      <c r="BC46" t="s">
        <v>74</v>
      </c>
      <c r="BD46">
        <v>105022</v>
      </c>
      <c r="BE46" t="s">
        <v>859</v>
      </c>
      <c r="BF46" t="str">
        <f>HYPERLINK("http://dx.doi.org/10.1088/1361-6560/ab17f9","http://dx.doi.org/10.1088/1361-6560/ab17f9")</f>
        <v>http://dx.doi.org/10.1088/1361-6560/ab17f9</v>
      </c>
      <c r="BG46" t="s">
        <v>74</v>
      </c>
      <c r="BH46" t="s">
        <v>74</v>
      </c>
      <c r="BI46">
        <v>13</v>
      </c>
      <c r="BJ46" t="s">
        <v>101</v>
      </c>
      <c r="BK46" t="s">
        <v>102</v>
      </c>
      <c r="BL46" t="s">
        <v>103</v>
      </c>
      <c r="BM46" t="s">
        <v>860</v>
      </c>
      <c r="BN46">
        <v>30970340</v>
      </c>
      <c r="BO46" t="s">
        <v>759</v>
      </c>
      <c r="BP46" t="s">
        <v>74</v>
      </c>
      <c r="BQ46" t="s">
        <v>74</v>
      </c>
      <c r="BR46" t="s">
        <v>106</v>
      </c>
      <c r="BS46" t="s">
        <v>861</v>
      </c>
      <c r="BT46" t="str">
        <f>HYPERLINK("https%3A%2F%2Fwww.webofscience.com%2Fwos%2Fwoscc%2Ffull-record%2FWOS:000468634900002","View Full Record in Web of Science")</f>
        <v>View Full Record in Web of Science</v>
      </c>
    </row>
    <row r="47" spans="1:72" x14ac:dyDescent="0.25">
      <c r="A47" t="s">
        <v>72</v>
      </c>
      <c r="B47" t="s">
        <v>862</v>
      </c>
      <c r="C47" t="s">
        <v>74</v>
      </c>
      <c r="D47" t="s">
        <v>74</v>
      </c>
      <c r="E47" t="s">
        <v>74</v>
      </c>
      <c r="F47" t="s">
        <v>863</v>
      </c>
      <c r="G47" t="s">
        <v>74</v>
      </c>
      <c r="H47" t="s">
        <v>74</v>
      </c>
      <c r="I47" t="s">
        <v>864</v>
      </c>
      <c r="J47" t="s">
        <v>77</v>
      </c>
      <c r="K47" t="s">
        <v>74</v>
      </c>
      <c r="L47" t="s">
        <v>74</v>
      </c>
      <c r="M47" t="s">
        <v>78</v>
      </c>
      <c r="N47" t="s">
        <v>79</v>
      </c>
      <c r="O47" t="s">
        <v>74</v>
      </c>
      <c r="P47" t="s">
        <v>74</v>
      </c>
      <c r="Q47" t="s">
        <v>74</v>
      </c>
      <c r="R47" t="s">
        <v>74</v>
      </c>
      <c r="S47" t="s">
        <v>74</v>
      </c>
      <c r="T47" t="s">
        <v>865</v>
      </c>
      <c r="U47" t="s">
        <v>866</v>
      </c>
      <c r="V47" t="s">
        <v>867</v>
      </c>
      <c r="W47" t="s">
        <v>868</v>
      </c>
      <c r="X47" t="s">
        <v>869</v>
      </c>
      <c r="Y47" t="s">
        <v>870</v>
      </c>
      <c r="Z47" t="s">
        <v>871</v>
      </c>
      <c r="AA47" t="s">
        <v>872</v>
      </c>
      <c r="AB47" t="s">
        <v>74</v>
      </c>
      <c r="AC47" t="s">
        <v>74</v>
      </c>
      <c r="AD47" t="s">
        <v>74</v>
      </c>
      <c r="AE47" t="s">
        <v>74</v>
      </c>
      <c r="AF47" t="s">
        <v>74</v>
      </c>
      <c r="AG47">
        <v>31</v>
      </c>
      <c r="AH47">
        <v>2</v>
      </c>
      <c r="AI47">
        <v>2</v>
      </c>
      <c r="AJ47">
        <v>0</v>
      </c>
      <c r="AK47">
        <v>3</v>
      </c>
      <c r="AL47" t="s">
        <v>92</v>
      </c>
      <c r="AM47" t="s">
        <v>93</v>
      </c>
      <c r="AN47" t="s">
        <v>94</v>
      </c>
      <c r="AO47" t="s">
        <v>95</v>
      </c>
      <c r="AP47" t="s">
        <v>96</v>
      </c>
      <c r="AQ47" t="s">
        <v>74</v>
      </c>
      <c r="AR47" t="s">
        <v>97</v>
      </c>
      <c r="AS47" t="s">
        <v>98</v>
      </c>
      <c r="AT47" t="s">
        <v>386</v>
      </c>
      <c r="AU47">
        <v>2019</v>
      </c>
      <c r="AV47">
        <v>64</v>
      </c>
      <c r="AW47">
        <v>7</v>
      </c>
      <c r="AX47" t="s">
        <v>74</v>
      </c>
      <c r="AY47" t="s">
        <v>74</v>
      </c>
      <c r="AZ47" t="s">
        <v>74</v>
      </c>
      <c r="BA47" t="s">
        <v>74</v>
      </c>
      <c r="BB47" t="s">
        <v>74</v>
      </c>
      <c r="BC47" t="s">
        <v>74</v>
      </c>
      <c r="BD47">
        <v>75014</v>
      </c>
      <c r="BE47" t="s">
        <v>873</v>
      </c>
      <c r="BF47" t="str">
        <f>HYPERLINK("http://dx.doi.org/10.1088/1361-6560/ab103a","http://dx.doi.org/10.1088/1361-6560/ab103a")</f>
        <v>http://dx.doi.org/10.1088/1361-6560/ab103a</v>
      </c>
      <c r="BG47" t="s">
        <v>74</v>
      </c>
      <c r="BH47" t="s">
        <v>74</v>
      </c>
      <c r="BI47">
        <v>10</v>
      </c>
      <c r="BJ47" t="s">
        <v>101</v>
      </c>
      <c r="BK47" t="s">
        <v>102</v>
      </c>
      <c r="BL47" t="s">
        <v>103</v>
      </c>
      <c r="BM47" t="s">
        <v>874</v>
      </c>
      <c r="BN47">
        <v>30875697</v>
      </c>
      <c r="BO47" t="s">
        <v>74</v>
      </c>
      <c r="BP47" t="s">
        <v>74</v>
      </c>
      <c r="BQ47" t="s">
        <v>74</v>
      </c>
      <c r="BR47" t="s">
        <v>106</v>
      </c>
      <c r="BS47" t="s">
        <v>875</v>
      </c>
      <c r="BT47" t="str">
        <f>HYPERLINK("https%3A%2F%2Fwww.webofscience.com%2Fwos%2Fwoscc%2Ffull-record%2FWOS:000463540400002","View Full Record in Web of Science")</f>
        <v>View Full Record in Web of Science</v>
      </c>
    </row>
    <row r="48" spans="1:72" x14ac:dyDescent="0.25">
      <c r="A48" t="s">
        <v>72</v>
      </c>
      <c r="B48" t="s">
        <v>876</v>
      </c>
      <c r="C48" t="s">
        <v>74</v>
      </c>
      <c r="D48" t="s">
        <v>74</v>
      </c>
      <c r="E48" t="s">
        <v>74</v>
      </c>
      <c r="F48" t="s">
        <v>877</v>
      </c>
      <c r="G48" t="s">
        <v>74</v>
      </c>
      <c r="H48" t="s">
        <v>74</v>
      </c>
      <c r="I48" t="s">
        <v>878</v>
      </c>
      <c r="J48" t="s">
        <v>77</v>
      </c>
      <c r="K48" t="s">
        <v>74</v>
      </c>
      <c r="L48" t="s">
        <v>74</v>
      </c>
      <c r="M48" t="s">
        <v>78</v>
      </c>
      <c r="N48" t="s">
        <v>79</v>
      </c>
      <c r="O48" t="s">
        <v>74</v>
      </c>
      <c r="P48" t="s">
        <v>74</v>
      </c>
      <c r="Q48" t="s">
        <v>74</v>
      </c>
      <c r="R48" t="s">
        <v>74</v>
      </c>
      <c r="S48" t="s">
        <v>74</v>
      </c>
      <c r="T48" t="s">
        <v>879</v>
      </c>
      <c r="U48" t="s">
        <v>880</v>
      </c>
      <c r="V48" t="s">
        <v>881</v>
      </c>
      <c r="W48" t="s">
        <v>882</v>
      </c>
      <c r="X48" t="s">
        <v>883</v>
      </c>
      <c r="Y48" t="s">
        <v>884</v>
      </c>
      <c r="Z48" t="s">
        <v>885</v>
      </c>
      <c r="AA48" t="s">
        <v>886</v>
      </c>
      <c r="AB48" t="s">
        <v>887</v>
      </c>
      <c r="AC48" t="s">
        <v>74</v>
      </c>
      <c r="AD48" t="s">
        <v>74</v>
      </c>
      <c r="AE48" t="s">
        <v>74</v>
      </c>
      <c r="AF48" t="s">
        <v>74</v>
      </c>
      <c r="AG48">
        <v>29</v>
      </c>
      <c r="AH48">
        <v>5</v>
      </c>
      <c r="AI48">
        <v>5</v>
      </c>
      <c r="AJ48">
        <v>2</v>
      </c>
      <c r="AK48">
        <v>35</v>
      </c>
      <c r="AL48" t="s">
        <v>92</v>
      </c>
      <c r="AM48" t="s">
        <v>93</v>
      </c>
      <c r="AN48" t="s">
        <v>94</v>
      </c>
      <c r="AO48" t="s">
        <v>95</v>
      </c>
      <c r="AP48" t="s">
        <v>96</v>
      </c>
      <c r="AQ48" t="s">
        <v>74</v>
      </c>
      <c r="AR48" t="s">
        <v>97</v>
      </c>
      <c r="AS48" t="s">
        <v>98</v>
      </c>
      <c r="AT48" t="s">
        <v>646</v>
      </c>
      <c r="AU48">
        <v>2019</v>
      </c>
      <c r="AV48">
        <v>64</v>
      </c>
      <c r="AW48">
        <v>3</v>
      </c>
      <c r="AX48" t="s">
        <v>74</v>
      </c>
      <c r="AY48" t="s">
        <v>74</v>
      </c>
      <c r="AZ48" t="s">
        <v>74</v>
      </c>
      <c r="BA48" t="s">
        <v>74</v>
      </c>
      <c r="BB48" t="s">
        <v>74</v>
      </c>
      <c r="BC48" t="s">
        <v>74</v>
      </c>
      <c r="BD48">
        <v>35020</v>
      </c>
      <c r="BE48" t="s">
        <v>888</v>
      </c>
      <c r="BF48" t="str">
        <f>HYPERLINK("http://dx.doi.org/10.1088/1361-6560/aaeec3","http://dx.doi.org/10.1088/1361-6560/aaeec3")</f>
        <v>http://dx.doi.org/10.1088/1361-6560/aaeec3</v>
      </c>
      <c r="BG48" t="s">
        <v>74</v>
      </c>
      <c r="BH48" t="s">
        <v>74</v>
      </c>
      <c r="BI48">
        <v>11</v>
      </c>
      <c r="BJ48" t="s">
        <v>101</v>
      </c>
      <c r="BK48" t="s">
        <v>102</v>
      </c>
      <c r="BL48" t="s">
        <v>103</v>
      </c>
      <c r="BM48" t="s">
        <v>889</v>
      </c>
      <c r="BN48">
        <v>30523915</v>
      </c>
      <c r="BO48" t="s">
        <v>179</v>
      </c>
      <c r="BP48" t="s">
        <v>74</v>
      </c>
      <c r="BQ48" t="s">
        <v>74</v>
      </c>
      <c r="BR48" t="s">
        <v>106</v>
      </c>
      <c r="BS48" t="s">
        <v>890</v>
      </c>
      <c r="BT48" t="str">
        <f>HYPERLINK("https%3A%2F%2Fwww.webofscience.com%2Fwos%2Fwoscc%2Ffull-record%2FWOS:000457439100005","View Full Record in Web of Science")</f>
        <v>View Full Record in Web of Science</v>
      </c>
    </row>
    <row r="49" spans="1:72" x14ac:dyDescent="0.25">
      <c r="A49" t="s">
        <v>72</v>
      </c>
      <c r="B49" t="s">
        <v>891</v>
      </c>
      <c r="C49" t="s">
        <v>74</v>
      </c>
      <c r="D49" t="s">
        <v>74</v>
      </c>
      <c r="E49" t="s">
        <v>74</v>
      </c>
      <c r="F49" t="s">
        <v>892</v>
      </c>
      <c r="G49" t="s">
        <v>74</v>
      </c>
      <c r="H49" t="s">
        <v>74</v>
      </c>
      <c r="I49" t="s">
        <v>893</v>
      </c>
      <c r="J49" t="s">
        <v>77</v>
      </c>
      <c r="K49" t="s">
        <v>74</v>
      </c>
      <c r="L49" t="s">
        <v>74</v>
      </c>
      <c r="M49" t="s">
        <v>78</v>
      </c>
      <c r="N49" t="s">
        <v>79</v>
      </c>
      <c r="O49" t="s">
        <v>74</v>
      </c>
      <c r="P49" t="s">
        <v>74</v>
      </c>
      <c r="Q49" t="s">
        <v>74</v>
      </c>
      <c r="R49" t="s">
        <v>74</v>
      </c>
      <c r="S49" t="s">
        <v>74</v>
      </c>
      <c r="T49" t="s">
        <v>894</v>
      </c>
      <c r="U49" t="s">
        <v>895</v>
      </c>
      <c r="V49" t="s">
        <v>896</v>
      </c>
      <c r="W49" t="s">
        <v>897</v>
      </c>
      <c r="X49" t="s">
        <v>898</v>
      </c>
      <c r="Y49" t="s">
        <v>899</v>
      </c>
      <c r="Z49" t="s">
        <v>900</v>
      </c>
      <c r="AA49" t="s">
        <v>901</v>
      </c>
      <c r="AB49" t="s">
        <v>902</v>
      </c>
      <c r="AC49" t="s">
        <v>903</v>
      </c>
      <c r="AD49" t="s">
        <v>903</v>
      </c>
      <c r="AE49" t="s">
        <v>904</v>
      </c>
      <c r="AF49" t="s">
        <v>74</v>
      </c>
      <c r="AG49">
        <v>32</v>
      </c>
      <c r="AH49">
        <v>8</v>
      </c>
      <c r="AI49">
        <v>10</v>
      </c>
      <c r="AJ49">
        <v>0</v>
      </c>
      <c r="AK49">
        <v>3</v>
      </c>
      <c r="AL49" t="s">
        <v>92</v>
      </c>
      <c r="AM49" t="s">
        <v>93</v>
      </c>
      <c r="AN49" t="s">
        <v>94</v>
      </c>
      <c r="AO49" t="s">
        <v>95</v>
      </c>
      <c r="AP49" t="s">
        <v>96</v>
      </c>
      <c r="AQ49" t="s">
        <v>74</v>
      </c>
      <c r="AR49" t="s">
        <v>97</v>
      </c>
      <c r="AS49" t="s">
        <v>98</v>
      </c>
      <c r="AT49" t="s">
        <v>646</v>
      </c>
      <c r="AU49">
        <v>2019</v>
      </c>
      <c r="AV49">
        <v>64</v>
      </c>
      <c r="AW49">
        <v>4</v>
      </c>
      <c r="AX49" t="s">
        <v>74</v>
      </c>
      <c r="AY49" t="s">
        <v>74</v>
      </c>
      <c r="AZ49" t="s">
        <v>74</v>
      </c>
      <c r="BA49" t="s">
        <v>74</v>
      </c>
      <c r="BB49" t="s">
        <v>74</v>
      </c>
      <c r="BC49" t="s">
        <v>74</v>
      </c>
      <c r="BD49">
        <v>45014</v>
      </c>
      <c r="BE49" t="s">
        <v>905</v>
      </c>
      <c r="BF49" t="str">
        <f>HYPERLINK("http://dx.doi.org/10.1088/1361-6560/aaff7b","http://dx.doi.org/10.1088/1361-6560/aaff7b")</f>
        <v>http://dx.doi.org/10.1088/1361-6560/aaff7b</v>
      </c>
      <c r="BG49" t="s">
        <v>74</v>
      </c>
      <c r="BH49" t="s">
        <v>74</v>
      </c>
      <c r="BI49">
        <v>10</v>
      </c>
      <c r="BJ49" t="s">
        <v>101</v>
      </c>
      <c r="BK49" t="s">
        <v>102</v>
      </c>
      <c r="BL49" t="s">
        <v>103</v>
      </c>
      <c r="BM49" t="s">
        <v>906</v>
      </c>
      <c r="BN49">
        <v>30654352</v>
      </c>
      <c r="BO49" t="s">
        <v>74</v>
      </c>
      <c r="BP49" t="s">
        <v>74</v>
      </c>
      <c r="BQ49" t="s">
        <v>74</v>
      </c>
      <c r="BR49" t="s">
        <v>106</v>
      </c>
      <c r="BS49" t="s">
        <v>907</v>
      </c>
      <c r="BT49" t="str">
        <f>HYPERLINK("https%3A%2F%2Fwww.webofscience.com%2Fwos%2Fwoscc%2Ffull-record%2FWOS:000459135900002","View Full Record in Web of Science")</f>
        <v>View Full Record in Web of Science</v>
      </c>
    </row>
    <row r="50" spans="1:72" x14ac:dyDescent="0.25">
      <c r="A50" t="s">
        <v>72</v>
      </c>
      <c r="B50" t="s">
        <v>908</v>
      </c>
      <c r="C50" t="s">
        <v>74</v>
      </c>
      <c r="D50" t="s">
        <v>74</v>
      </c>
      <c r="E50" t="s">
        <v>74</v>
      </c>
      <c r="F50" t="s">
        <v>909</v>
      </c>
      <c r="G50" t="s">
        <v>74</v>
      </c>
      <c r="H50" t="s">
        <v>74</v>
      </c>
      <c r="I50" t="s">
        <v>910</v>
      </c>
      <c r="J50" t="s">
        <v>77</v>
      </c>
      <c r="K50" t="s">
        <v>74</v>
      </c>
      <c r="L50" t="s">
        <v>74</v>
      </c>
      <c r="M50" t="s">
        <v>78</v>
      </c>
      <c r="N50" t="s">
        <v>79</v>
      </c>
      <c r="O50" t="s">
        <v>74</v>
      </c>
      <c r="P50" t="s">
        <v>74</v>
      </c>
      <c r="Q50" t="s">
        <v>74</v>
      </c>
      <c r="R50" t="s">
        <v>74</v>
      </c>
      <c r="S50" t="s">
        <v>74</v>
      </c>
      <c r="T50" t="s">
        <v>911</v>
      </c>
      <c r="U50" t="s">
        <v>912</v>
      </c>
      <c r="V50" t="s">
        <v>913</v>
      </c>
      <c r="W50" t="s">
        <v>914</v>
      </c>
      <c r="X50" t="s">
        <v>915</v>
      </c>
      <c r="Y50" t="s">
        <v>916</v>
      </c>
      <c r="Z50" t="s">
        <v>917</v>
      </c>
      <c r="AA50" t="s">
        <v>918</v>
      </c>
      <c r="AB50" t="s">
        <v>74</v>
      </c>
      <c r="AC50" t="s">
        <v>74</v>
      </c>
      <c r="AD50" t="s">
        <v>74</v>
      </c>
      <c r="AE50" t="s">
        <v>74</v>
      </c>
      <c r="AF50" t="s">
        <v>74</v>
      </c>
      <c r="AG50">
        <v>10</v>
      </c>
      <c r="AH50">
        <v>9</v>
      </c>
      <c r="AI50">
        <v>9</v>
      </c>
      <c r="AJ50">
        <v>0</v>
      </c>
      <c r="AK50">
        <v>2</v>
      </c>
      <c r="AL50" t="s">
        <v>92</v>
      </c>
      <c r="AM50" t="s">
        <v>93</v>
      </c>
      <c r="AN50" t="s">
        <v>94</v>
      </c>
      <c r="AO50" t="s">
        <v>95</v>
      </c>
      <c r="AP50" t="s">
        <v>96</v>
      </c>
      <c r="AQ50" t="s">
        <v>74</v>
      </c>
      <c r="AR50" t="s">
        <v>97</v>
      </c>
      <c r="AS50" t="s">
        <v>98</v>
      </c>
      <c r="AT50" t="s">
        <v>646</v>
      </c>
      <c r="AU50">
        <v>2019</v>
      </c>
      <c r="AV50">
        <v>64</v>
      </c>
      <c r="AW50">
        <v>3</v>
      </c>
      <c r="AX50" t="s">
        <v>74</v>
      </c>
      <c r="AY50" t="s">
        <v>74</v>
      </c>
      <c r="AZ50" t="s">
        <v>74</v>
      </c>
      <c r="BA50" t="s">
        <v>74</v>
      </c>
      <c r="BB50" t="s">
        <v>74</v>
      </c>
      <c r="BC50" t="s">
        <v>74</v>
      </c>
      <c r="BD50">
        <v>35010</v>
      </c>
      <c r="BE50" t="s">
        <v>919</v>
      </c>
      <c r="BF50" t="str">
        <f>HYPERLINK("http://dx.doi.org/10.1088/1361-6560/aaf9c9","http://dx.doi.org/10.1088/1361-6560/aaf9c9")</f>
        <v>http://dx.doi.org/10.1088/1361-6560/aaf9c9</v>
      </c>
      <c r="BG50" t="s">
        <v>74</v>
      </c>
      <c r="BH50" t="s">
        <v>74</v>
      </c>
      <c r="BI50">
        <v>10</v>
      </c>
      <c r="BJ50" t="s">
        <v>101</v>
      </c>
      <c r="BK50" t="s">
        <v>102</v>
      </c>
      <c r="BL50" t="s">
        <v>103</v>
      </c>
      <c r="BM50" t="s">
        <v>648</v>
      </c>
      <c r="BN50">
        <v>30566923</v>
      </c>
      <c r="BO50" t="s">
        <v>74</v>
      </c>
      <c r="BP50" t="s">
        <v>74</v>
      </c>
      <c r="BQ50" t="s">
        <v>74</v>
      </c>
      <c r="BR50" t="s">
        <v>106</v>
      </c>
      <c r="BS50" t="s">
        <v>920</v>
      </c>
      <c r="BT50" t="str">
        <f>HYPERLINK("https%3A%2F%2Fwww.webofscience.com%2Fwos%2Fwoscc%2Ffull-record%2FWOS:000456840500009","View Full Record in Web of Science")</f>
        <v>View Full Record in Web of Science</v>
      </c>
    </row>
    <row r="51" spans="1:72" x14ac:dyDescent="0.25">
      <c r="A51" t="s">
        <v>72</v>
      </c>
      <c r="B51" t="s">
        <v>921</v>
      </c>
      <c r="C51" t="s">
        <v>74</v>
      </c>
      <c r="D51" t="s">
        <v>74</v>
      </c>
      <c r="E51" t="s">
        <v>74</v>
      </c>
      <c r="F51" t="s">
        <v>922</v>
      </c>
      <c r="G51" t="s">
        <v>74</v>
      </c>
      <c r="H51" t="s">
        <v>74</v>
      </c>
      <c r="I51" t="s">
        <v>923</v>
      </c>
      <c r="J51" t="s">
        <v>77</v>
      </c>
      <c r="K51" t="s">
        <v>74</v>
      </c>
      <c r="L51" t="s">
        <v>74</v>
      </c>
      <c r="M51" t="s">
        <v>78</v>
      </c>
      <c r="N51" t="s">
        <v>79</v>
      </c>
      <c r="O51" t="s">
        <v>74</v>
      </c>
      <c r="P51" t="s">
        <v>74</v>
      </c>
      <c r="Q51" t="s">
        <v>74</v>
      </c>
      <c r="R51" t="s">
        <v>74</v>
      </c>
      <c r="S51" t="s">
        <v>74</v>
      </c>
      <c r="T51" t="s">
        <v>924</v>
      </c>
      <c r="U51" t="s">
        <v>925</v>
      </c>
      <c r="V51" t="s">
        <v>926</v>
      </c>
      <c r="W51" t="s">
        <v>927</v>
      </c>
      <c r="X51" t="s">
        <v>928</v>
      </c>
      <c r="Y51" t="s">
        <v>929</v>
      </c>
      <c r="Z51" t="s">
        <v>930</v>
      </c>
      <c r="AA51" t="s">
        <v>931</v>
      </c>
      <c r="AB51" t="s">
        <v>932</v>
      </c>
      <c r="AC51" t="s">
        <v>74</v>
      </c>
      <c r="AD51" t="s">
        <v>74</v>
      </c>
      <c r="AE51" t="s">
        <v>74</v>
      </c>
      <c r="AF51" t="s">
        <v>74</v>
      </c>
      <c r="AG51">
        <v>43</v>
      </c>
      <c r="AH51">
        <v>48</v>
      </c>
      <c r="AI51">
        <v>51</v>
      </c>
      <c r="AJ51">
        <v>2</v>
      </c>
      <c r="AK51">
        <v>42</v>
      </c>
      <c r="AL51" t="s">
        <v>157</v>
      </c>
      <c r="AM51" t="s">
        <v>93</v>
      </c>
      <c r="AN51" t="s">
        <v>94</v>
      </c>
      <c r="AO51" t="s">
        <v>95</v>
      </c>
      <c r="AP51" t="s">
        <v>96</v>
      </c>
      <c r="AQ51" t="s">
        <v>74</v>
      </c>
      <c r="AR51" t="s">
        <v>97</v>
      </c>
      <c r="AS51" t="s">
        <v>98</v>
      </c>
      <c r="AT51" t="s">
        <v>99</v>
      </c>
      <c r="AU51">
        <v>2019</v>
      </c>
      <c r="AV51">
        <v>64</v>
      </c>
      <c r="AW51">
        <v>23</v>
      </c>
      <c r="AX51" t="s">
        <v>74</v>
      </c>
      <c r="AY51" t="s">
        <v>74</v>
      </c>
      <c r="AZ51" t="s">
        <v>74</v>
      </c>
      <c r="BA51" t="s">
        <v>74</v>
      </c>
      <c r="BB51" t="s">
        <v>74</v>
      </c>
      <c r="BC51" t="s">
        <v>74</v>
      </c>
      <c r="BD51">
        <v>235003</v>
      </c>
      <c r="BE51" t="s">
        <v>933</v>
      </c>
      <c r="BF51" t="str">
        <f>HYPERLINK("http://dx.doi.org/10.1088/1361-6560/ab4e3e","http://dx.doi.org/10.1088/1361-6560/ab4e3e")</f>
        <v>http://dx.doi.org/10.1088/1361-6560/ab4e3e</v>
      </c>
      <c r="BG51" t="s">
        <v>74</v>
      </c>
      <c r="BH51" t="s">
        <v>74</v>
      </c>
      <c r="BI51">
        <v>11</v>
      </c>
      <c r="BJ51" t="s">
        <v>101</v>
      </c>
      <c r="BK51" t="s">
        <v>102</v>
      </c>
      <c r="BL51" t="s">
        <v>103</v>
      </c>
      <c r="BM51" t="s">
        <v>934</v>
      </c>
      <c r="BN51">
        <v>31618724</v>
      </c>
      <c r="BO51" t="s">
        <v>74</v>
      </c>
      <c r="BP51" t="s">
        <v>74</v>
      </c>
      <c r="BQ51" t="s">
        <v>74</v>
      </c>
      <c r="BR51" t="s">
        <v>106</v>
      </c>
      <c r="BS51" t="s">
        <v>935</v>
      </c>
      <c r="BT51" t="str">
        <f>HYPERLINK("https%3A%2F%2Fwww.webofscience.com%2Fwos%2Fwoscc%2Ffull-record%2FWOS:000499357800001","View Full Record in Web of Science")</f>
        <v>View Full Record in Web of Science</v>
      </c>
    </row>
    <row r="52" spans="1:72" x14ac:dyDescent="0.25">
      <c r="A52" t="s">
        <v>72</v>
      </c>
      <c r="B52" t="s">
        <v>936</v>
      </c>
      <c r="C52" t="s">
        <v>74</v>
      </c>
      <c r="D52" t="s">
        <v>74</v>
      </c>
      <c r="E52" t="s">
        <v>74</v>
      </c>
      <c r="F52" t="s">
        <v>937</v>
      </c>
      <c r="G52" t="s">
        <v>74</v>
      </c>
      <c r="H52" t="s">
        <v>74</v>
      </c>
      <c r="I52" t="s">
        <v>938</v>
      </c>
      <c r="J52" t="s">
        <v>77</v>
      </c>
      <c r="K52" t="s">
        <v>74</v>
      </c>
      <c r="L52" t="s">
        <v>74</v>
      </c>
      <c r="M52" t="s">
        <v>78</v>
      </c>
      <c r="N52" t="s">
        <v>79</v>
      </c>
      <c r="O52" t="s">
        <v>74</v>
      </c>
      <c r="P52" t="s">
        <v>74</v>
      </c>
      <c r="Q52" t="s">
        <v>74</v>
      </c>
      <c r="R52" t="s">
        <v>74</v>
      </c>
      <c r="S52" t="s">
        <v>74</v>
      </c>
      <c r="T52" t="s">
        <v>939</v>
      </c>
      <c r="U52" t="s">
        <v>940</v>
      </c>
      <c r="V52" t="s">
        <v>941</v>
      </c>
      <c r="W52" t="s">
        <v>942</v>
      </c>
      <c r="X52" t="s">
        <v>943</v>
      </c>
      <c r="Y52" t="s">
        <v>944</v>
      </c>
      <c r="Z52" t="s">
        <v>945</v>
      </c>
      <c r="AA52" t="s">
        <v>946</v>
      </c>
      <c r="AB52" t="s">
        <v>947</v>
      </c>
      <c r="AC52" t="s">
        <v>948</v>
      </c>
      <c r="AD52" t="s">
        <v>949</v>
      </c>
      <c r="AE52" t="s">
        <v>950</v>
      </c>
      <c r="AF52" t="s">
        <v>74</v>
      </c>
      <c r="AG52">
        <v>59</v>
      </c>
      <c r="AH52">
        <v>4</v>
      </c>
      <c r="AI52">
        <v>4</v>
      </c>
      <c r="AJ52">
        <v>1</v>
      </c>
      <c r="AK52">
        <v>3</v>
      </c>
      <c r="AL52" t="s">
        <v>157</v>
      </c>
      <c r="AM52" t="s">
        <v>93</v>
      </c>
      <c r="AN52" t="s">
        <v>94</v>
      </c>
      <c r="AO52" t="s">
        <v>95</v>
      </c>
      <c r="AP52" t="s">
        <v>96</v>
      </c>
      <c r="AQ52" t="s">
        <v>74</v>
      </c>
      <c r="AR52" t="s">
        <v>97</v>
      </c>
      <c r="AS52" t="s">
        <v>98</v>
      </c>
      <c r="AT52" t="s">
        <v>99</v>
      </c>
      <c r="AU52">
        <v>2019</v>
      </c>
      <c r="AV52">
        <v>64</v>
      </c>
      <c r="AW52">
        <v>24</v>
      </c>
      <c r="AX52" t="s">
        <v>74</v>
      </c>
      <c r="AY52" t="s">
        <v>74</v>
      </c>
      <c r="AZ52" t="s">
        <v>74</v>
      </c>
      <c r="BA52" t="s">
        <v>74</v>
      </c>
      <c r="BB52" t="s">
        <v>74</v>
      </c>
      <c r="BC52" t="s">
        <v>74</v>
      </c>
      <c r="BD52">
        <v>245012</v>
      </c>
      <c r="BE52" t="s">
        <v>951</v>
      </c>
      <c r="BF52" t="str">
        <f>HYPERLINK("http://dx.doi.org/10.1088/1361-6560/ab5b70","http://dx.doi.org/10.1088/1361-6560/ab5b70")</f>
        <v>http://dx.doi.org/10.1088/1361-6560/ab5b70</v>
      </c>
      <c r="BG52" t="s">
        <v>74</v>
      </c>
      <c r="BH52" t="s">
        <v>74</v>
      </c>
      <c r="BI52">
        <v>20</v>
      </c>
      <c r="BJ52" t="s">
        <v>101</v>
      </c>
      <c r="BK52" t="s">
        <v>102</v>
      </c>
      <c r="BL52" t="s">
        <v>103</v>
      </c>
      <c r="BM52" t="s">
        <v>104</v>
      </c>
      <c r="BN52">
        <v>31766033</v>
      </c>
      <c r="BO52" t="s">
        <v>759</v>
      </c>
      <c r="BP52" t="s">
        <v>74</v>
      </c>
      <c r="BQ52" t="s">
        <v>74</v>
      </c>
      <c r="BR52" t="s">
        <v>106</v>
      </c>
      <c r="BS52" t="s">
        <v>952</v>
      </c>
      <c r="BT52" t="str">
        <f>HYPERLINK("https%3A%2F%2Fwww.webofscience.com%2Fwos%2Fwoscc%2Ffull-record%2FWOS:000513009900012","View Full Record in Web of Science")</f>
        <v>View Full Record in Web of Science</v>
      </c>
    </row>
    <row r="53" spans="1:72" x14ac:dyDescent="0.25">
      <c r="A53" t="s">
        <v>72</v>
      </c>
      <c r="B53" t="s">
        <v>953</v>
      </c>
      <c r="C53" t="s">
        <v>74</v>
      </c>
      <c r="D53" t="s">
        <v>74</v>
      </c>
      <c r="E53" t="s">
        <v>74</v>
      </c>
      <c r="F53" t="s">
        <v>954</v>
      </c>
      <c r="G53" t="s">
        <v>74</v>
      </c>
      <c r="H53" t="s">
        <v>74</v>
      </c>
      <c r="I53" t="s">
        <v>955</v>
      </c>
      <c r="J53" t="s">
        <v>77</v>
      </c>
      <c r="K53" t="s">
        <v>74</v>
      </c>
      <c r="L53" t="s">
        <v>74</v>
      </c>
      <c r="M53" t="s">
        <v>78</v>
      </c>
      <c r="N53" t="s">
        <v>79</v>
      </c>
      <c r="O53" t="s">
        <v>74</v>
      </c>
      <c r="P53" t="s">
        <v>74</v>
      </c>
      <c r="Q53" t="s">
        <v>74</v>
      </c>
      <c r="R53" t="s">
        <v>74</v>
      </c>
      <c r="S53" t="s">
        <v>74</v>
      </c>
      <c r="T53" t="s">
        <v>956</v>
      </c>
      <c r="U53" t="s">
        <v>957</v>
      </c>
      <c r="V53" t="s">
        <v>958</v>
      </c>
      <c r="W53" t="s">
        <v>959</v>
      </c>
      <c r="X53" t="s">
        <v>960</v>
      </c>
      <c r="Y53" t="s">
        <v>961</v>
      </c>
      <c r="Z53" t="s">
        <v>962</v>
      </c>
      <c r="AA53" t="s">
        <v>963</v>
      </c>
      <c r="AB53" t="s">
        <v>964</v>
      </c>
      <c r="AC53" t="s">
        <v>965</v>
      </c>
      <c r="AD53" t="s">
        <v>966</v>
      </c>
      <c r="AE53" t="s">
        <v>967</v>
      </c>
      <c r="AF53" t="s">
        <v>74</v>
      </c>
      <c r="AG53">
        <v>36</v>
      </c>
      <c r="AH53">
        <v>6</v>
      </c>
      <c r="AI53">
        <v>6</v>
      </c>
      <c r="AJ53">
        <v>0</v>
      </c>
      <c r="AK53">
        <v>3</v>
      </c>
      <c r="AL53" t="s">
        <v>92</v>
      </c>
      <c r="AM53" t="s">
        <v>93</v>
      </c>
      <c r="AN53" t="s">
        <v>94</v>
      </c>
      <c r="AO53" t="s">
        <v>95</v>
      </c>
      <c r="AP53" t="s">
        <v>96</v>
      </c>
      <c r="AQ53" t="s">
        <v>74</v>
      </c>
      <c r="AR53" t="s">
        <v>97</v>
      </c>
      <c r="AS53" t="s">
        <v>98</v>
      </c>
      <c r="AT53" t="s">
        <v>137</v>
      </c>
      <c r="AU53">
        <v>2019</v>
      </c>
      <c r="AV53">
        <v>64</v>
      </c>
      <c r="AW53">
        <v>22</v>
      </c>
      <c r="AX53" t="s">
        <v>74</v>
      </c>
      <c r="AY53" t="s">
        <v>74</v>
      </c>
      <c r="AZ53" t="s">
        <v>74</v>
      </c>
      <c r="BA53" t="s">
        <v>74</v>
      </c>
      <c r="BB53" t="s">
        <v>74</v>
      </c>
      <c r="BC53" t="s">
        <v>74</v>
      </c>
      <c r="BD53">
        <v>225016</v>
      </c>
      <c r="BE53" t="s">
        <v>968</v>
      </c>
      <c r="BF53" t="str">
        <f>HYPERLINK("http://dx.doi.org/10.1088/1361-6560/ab48b4","http://dx.doi.org/10.1088/1361-6560/ab48b4")</f>
        <v>http://dx.doi.org/10.1088/1361-6560/ab48b4</v>
      </c>
      <c r="BG53" t="s">
        <v>74</v>
      </c>
      <c r="BH53" t="s">
        <v>74</v>
      </c>
      <c r="BI53">
        <v>15</v>
      </c>
      <c r="BJ53" t="s">
        <v>101</v>
      </c>
      <c r="BK53" t="s">
        <v>102</v>
      </c>
      <c r="BL53" t="s">
        <v>103</v>
      </c>
      <c r="BM53" t="s">
        <v>969</v>
      </c>
      <c r="BN53">
        <v>31561234</v>
      </c>
      <c r="BO53" t="s">
        <v>74</v>
      </c>
      <c r="BP53" t="s">
        <v>74</v>
      </c>
      <c r="BQ53" t="s">
        <v>74</v>
      </c>
      <c r="BR53" t="s">
        <v>106</v>
      </c>
      <c r="BS53" t="s">
        <v>970</v>
      </c>
      <c r="BT53" t="str">
        <f>HYPERLINK("https%3A%2F%2Fwww.webofscience.com%2Fwos%2Fwoscc%2Ffull-record%2FWOS:000499356300001","View Full Record in Web of Science")</f>
        <v>View Full Record in Web of Science</v>
      </c>
    </row>
    <row r="54" spans="1:72" x14ac:dyDescent="0.25">
      <c r="A54" t="s">
        <v>72</v>
      </c>
      <c r="B54" t="s">
        <v>971</v>
      </c>
      <c r="C54" t="s">
        <v>74</v>
      </c>
      <c r="D54" t="s">
        <v>74</v>
      </c>
      <c r="E54" t="s">
        <v>74</v>
      </c>
      <c r="F54" t="s">
        <v>972</v>
      </c>
      <c r="G54" t="s">
        <v>74</v>
      </c>
      <c r="H54" t="s">
        <v>74</v>
      </c>
      <c r="I54" t="s">
        <v>973</v>
      </c>
      <c r="J54" t="s">
        <v>77</v>
      </c>
      <c r="K54" t="s">
        <v>74</v>
      </c>
      <c r="L54" t="s">
        <v>74</v>
      </c>
      <c r="M54" t="s">
        <v>78</v>
      </c>
      <c r="N54" t="s">
        <v>79</v>
      </c>
      <c r="O54" t="s">
        <v>74</v>
      </c>
      <c r="P54" t="s">
        <v>74</v>
      </c>
      <c r="Q54" t="s">
        <v>74</v>
      </c>
      <c r="R54" t="s">
        <v>74</v>
      </c>
      <c r="S54" t="s">
        <v>74</v>
      </c>
      <c r="T54" t="s">
        <v>974</v>
      </c>
      <c r="U54" t="s">
        <v>975</v>
      </c>
      <c r="V54" t="s">
        <v>976</v>
      </c>
      <c r="W54" t="s">
        <v>977</v>
      </c>
      <c r="X54" t="s">
        <v>978</v>
      </c>
      <c r="Y54" t="s">
        <v>979</v>
      </c>
      <c r="Z54" t="s">
        <v>980</v>
      </c>
      <c r="AA54" t="s">
        <v>981</v>
      </c>
      <c r="AB54" t="s">
        <v>982</v>
      </c>
      <c r="AC54" t="s">
        <v>983</v>
      </c>
      <c r="AD54" t="s">
        <v>984</v>
      </c>
      <c r="AE54" t="s">
        <v>985</v>
      </c>
      <c r="AF54" t="s">
        <v>74</v>
      </c>
      <c r="AG54">
        <v>62</v>
      </c>
      <c r="AH54">
        <v>26</v>
      </c>
      <c r="AI54">
        <v>26</v>
      </c>
      <c r="AJ54">
        <v>0</v>
      </c>
      <c r="AK54">
        <v>1</v>
      </c>
      <c r="AL54" t="s">
        <v>92</v>
      </c>
      <c r="AM54" t="s">
        <v>93</v>
      </c>
      <c r="AN54" t="s">
        <v>94</v>
      </c>
      <c r="AO54" t="s">
        <v>95</v>
      </c>
      <c r="AP54" t="s">
        <v>96</v>
      </c>
      <c r="AQ54" t="s">
        <v>74</v>
      </c>
      <c r="AR54" t="s">
        <v>97</v>
      </c>
      <c r="AS54" t="s">
        <v>98</v>
      </c>
      <c r="AT54" t="s">
        <v>137</v>
      </c>
      <c r="AU54">
        <v>2019</v>
      </c>
      <c r="AV54">
        <v>64</v>
      </c>
      <c r="AW54">
        <v>22</v>
      </c>
      <c r="AX54" t="s">
        <v>74</v>
      </c>
      <c r="AY54" t="s">
        <v>74</v>
      </c>
      <c r="AZ54" t="s">
        <v>74</v>
      </c>
      <c r="BA54" t="s">
        <v>74</v>
      </c>
      <c r="BB54" t="s">
        <v>74</v>
      </c>
      <c r="BC54" t="s">
        <v>74</v>
      </c>
      <c r="BD54">
        <v>225019</v>
      </c>
      <c r="BE54" t="s">
        <v>986</v>
      </c>
      <c r="BF54" t="str">
        <f>HYPERLINK("http://dx.doi.org/10.1088/1361-6560/ab3d07","http://dx.doi.org/10.1088/1361-6560/ab3d07")</f>
        <v>http://dx.doi.org/10.1088/1361-6560/ab3d07</v>
      </c>
      <c r="BG54" t="s">
        <v>74</v>
      </c>
      <c r="BH54" t="s">
        <v>74</v>
      </c>
      <c r="BI54">
        <v>17</v>
      </c>
      <c r="BJ54" t="s">
        <v>101</v>
      </c>
      <c r="BK54" t="s">
        <v>102</v>
      </c>
      <c r="BL54" t="s">
        <v>103</v>
      </c>
      <c r="BM54" t="s">
        <v>987</v>
      </c>
      <c r="BN54">
        <v>31430733</v>
      </c>
      <c r="BO54" t="s">
        <v>988</v>
      </c>
      <c r="BP54" t="s">
        <v>74</v>
      </c>
      <c r="BQ54" t="s">
        <v>74</v>
      </c>
      <c r="BR54" t="s">
        <v>106</v>
      </c>
      <c r="BS54" t="s">
        <v>989</v>
      </c>
      <c r="BT54" t="str">
        <f>HYPERLINK("https%3A%2F%2Fwww.webofscience.com%2Fwos%2Fwoscc%2Ffull-record%2FWOS:000499356600001","View Full Record in Web of Science")</f>
        <v>View Full Record in Web of Science</v>
      </c>
    </row>
    <row r="55" spans="1:72" x14ac:dyDescent="0.25">
      <c r="A55" t="s">
        <v>72</v>
      </c>
      <c r="B55" t="s">
        <v>990</v>
      </c>
      <c r="C55" t="s">
        <v>74</v>
      </c>
      <c r="D55" t="s">
        <v>74</v>
      </c>
      <c r="E55" t="s">
        <v>74</v>
      </c>
      <c r="F55" t="s">
        <v>991</v>
      </c>
      <c r="G55" t="s">
        <v>74</v>
      </c>
      <c r="H55" t="s">
        <v>74</v>
      </c>
      <c r="I55" t="s">
        <v>992</v>
      </c>
      <c r="J55" t="s">
        <v>77</v>
      </c>
      <c r="K55" t="s">
        <v>74</v>
      </c>
      <c r="L55" t="s">
        <v>74</v>
      </c>
      <c r="M55" t="s">
        <v>78</v>
      </c>
      <c r="N55" t="s">
        <v>79</v>
      </c>
      <c r="O55" t="s">
        <v>74</v>
      </c>
      <c r="P55" t="s">
        <v>74</v>
      </c>
      <c r="Q55" t="s">
        <v>74</v>
      </c>
      <c r="R55" t="s">
        <v>74</v>
      </c>
      <c r="S55" t="s">
        <v>74</v>
      </c>
      <c r="T55" t="s">
        <v>993</v>
      </c>
      <c r="U55" t="s">
        <v>994</v>
      </c>
      <c r="V55" t="s">
        <v>995</v>
      </c>
      <c r="W55" t="s">
        <v>996</v>
      </c>
      <c r="X55" t="s">
        <v>997</v>
      </c>
      <c r="Y55" t="s">
        <v>998</v>
      </c>
      <c r="Z55" t="s">
        <v>999</v>
      </c>
      <c r="AA55" t="s">
        <v>1000</v>
      </c>
      <c r="AB55" t="s">
        <v>1001</v>
      </c>
      <c r="AC55" t="s">
        <v>1002</v>
      </c>
      <c r="AD55" t="s">
        <v>1003</v>
      </c>
      <c r="AE55" t="s">
        <v>74</v>
      </c>
      <c r="AF55" t="s">
        <v>74</v>
      </c>
      <c r="AG55">
        <v>25</v>
      </c>
      <c r="AH55">
        <v>3</v>
      </c>
      <c r="AI55">
        <v>5</v>
      </c>
      <c r="AJ55">
        <v>0</v>
      </c>
      <c r="AK55">
        <v>1</v>
      </c>
      <c r="AL55" t="s">
        <v>92</v>
      </c>
      <c r="AM55" t="s">
        <v>93</v>
      </c>
      <c r="AN55" t="s">
        <v>94</v>
      </c>
      <c r="AO55" t="s">
        <v>95</v>
      </c>
      <c r="AP55" t="s">
        <v>96</v>
      </c>
      <c r="AQ55" t="s">
        <v>74</v>
      </c>
      <c r="AR55" t="s">
        <v>97</v>
      </c>
      <c r="AS55" t="s">
        <v>98</v>
      </c>
      <c r="AT55" t="s">
        <v>137</v>
      </c>
      <c r="AU55">
        <v>2019</v>
      </c>
      <c r="AV55">
        <v>64</v>
      </c>
      <c r="AW55">
        <v>22</v>
      </c>
      <c r="AX55" t="s">
        <v>74</v>
      </c>
      <c r="AY55" t="s">
        <v>74</v>
      </c>
      <c r="AZ55" t="s">
        <v>74</v>
      </c>
      <c r="BA55" t="s">
        <v>74</v>
      </c>
      <c r="BB55" t="s">
        <v>74</v>
      </c>
      <c r="BC55" t="s">
        <v>74</v>
      </c>
      <c r="BD55">
        <v>225017</v>
      </c>
      <c r="BE55" t="s">
        <v>1004</v>
      </c>
      <c r="BF55" t="str">
        <f>HYPERLINK("http://dx.doi.org/10.1088/1361-6560/ab4333","http://dx.doi.org/10.1088/1361-6560/ab4333")</f>
        <v>http://dx.doi.org/10.1088/1361-6560/ab4333</v>
      </c>
      <c r="BG55" t="s">
        <v>74</v>
      </c>
      <c r="BH55" t="s">
        <v>74</v>
      </c>
      <c r="BI55">
        <v>8</v>
      </c>
      <c r="BJ55" t="s">
        <v>101</v>
      </c>
      <c r="BK55" t="s">
        <v>102</v>
      </c>
      <c r="BL55" t="s">
        <v>103</v>
      </c>
      <c r="BM55" t="s">
        <v>1005</v>
      </c>
      <c r="BN55">
        <v>31505474</v>
      </c>
      <c r="BO55" t="s">
        <v>105</v>
      </c>
      <c r="BP55" t="s">
        <v>74</v>
      </c>
      <c r="BQ55" t="s">
        <v>74</v>
      </c>
      <c r="BR55" t="s">
        <v>106</v>
      </c>
      <c r="BS55" t="s">
        <v>1006</v>
      </c>
      <c r="BT55" t="str">
        <f>HYPERLINK("https%3A%2F%2Fwww.webofscience.com%2Fwos%2Fwoscc%2Ffull-record%2FWOS:000500813700001","View Full Record in Web of Science")</f>
        <v>View Full Record in Web of Science</v>
      </c>
    </row>
    <row r="56" spans="1:72" x14ac:dyDescent="0.25">
      <c r="A56" t="s">
        <v>72</v>
      </c>
      <c r="B56" t="s">
        <v>1007</v>
      </c>
      <c r="C56" t="s">
        <v>74</v>
      </c>
      <c r="D56" t="s">
        <v>74</v>
      </c>
      <c r="E56" t="s">
        <v>74</v>
      </c>
      <c r="F56" t="s">
        <v>1008</v>
      </c>
      <c r="G56" t="s">
        <v>74</v>
      </c>
      <c r="H56" t="s">
        <v>74</v>
      </c>
      <c r="I56" t="s">
        <v>1009</v>
      </c>
      <c r="J56" t="s">
        <v>77</v>
      </c>
      <c r="K56" t="s">
        <v>74</v>
      </c>
      <c r="L56" t="s">
        <v>74</v>
      </c>
      <c r="M56" t="s">
        <v>78</v>
      </c>
      <c r="N56" t="s">
        <v>79</v>
      </c>
      <c r="O56" t="s">
        <v>74</v>
      </c>
      <c r="P56" t="s">
        <v>74</v>
      </c>
      <c r="Q56" t="s">
        <v>74</v>
      </c>
      <c r="R56" t="s">
        <v>74</v>
      </c>
      <c r="S56" t="s">
        <v>74</v>
      </c>
      <c r="T56" t="s">
        <v>1010</v>
      </c>
      <c r="U56" t="s">
        <v>1011</v>
      </c>
      <c r="V56" t="s">
        <v>1012</v>
      </c>
      <c r="W56" t="s">
        <v>1013</v>
      </c>
      <c r="X56" t="s">
        <v>1014</v>
      </c>
      <c r="Y56" t="s">
        <v>1015</v>
      </c>
      <c r="Z56" t="s">
        <v>1016</v>
      </c>
      <c r="AA56" t="s">
        <v>1017</v>
      </c>
      <c r="AB56" t="s">
        <v>1018</v>
      </c>
      <c r="AC56" t="s">
        <v>1019</v>
      </c>
      <c r="AD56" t="s">
        <v>1020</v>
      </c>
      <c r="AE56" t="s">
        <v>1021</v>
      </c>
      <c r="AF56" t="s">
        <v>74</v>
      </c>
      <c r="AG56">
        <v>45</v>
      </c>
      <c r="AH56">
        <v>2</v>
      </c>
      <c r="AI56">
        <v>2</v>
      </c>
      <c r="AJ56">
        <v>1</v>
      </c>
      <c r="AK56">
        <v>17</v>
      </c>
      <c r="AL56" t="s">
        <v>92</v>
      </c>
      <c r="AM56" t="s">
        <v>93</v>
      </c>
      <c r="AN56" t="s">
        <v>94</v>
      </c>
      <c r="AO56" t="s">
        <v>95</v>
      </c>
      <c r="AP56" t="s">
        <v>96</v>
      </c>
      <c r="AQ56" t="s">
        <v>74</v>
      </c>
      <c r="AR56" t="s">
        <v>97</v>
      </c>
      <c r="AS56" t="s">
        <v>98</v>
      </c>
      <c r="AT56" t="s">
        <v>137</v>
      </c>
      <c r="AU56">
        <v>2019</v>
      </c>
      <c r="AV56">
        <v>64</v>
      </c>
      <c r="AW56">
        <v>21</v>
      </c>
      <c r="AX56" t="s">
        <v>74</v>
      </c>
      <c r="AY56" t="s">
        <v>74</v>
      </c>
      <c r="AZ56" t="s">
        <v>74</v>
      </c>
      <c r="BA56" t="s">
        <v>74</v>
      </c>
      <c r="BB56" t="s">
        <v>74</v>
      </c>
      <c r="BC56" t="s">
        <v>74</v>
      </c>
      <c r="BD56" t="s">
        <v>1022</v>
      </c>
      <c r="BE56" t="s">
        <v>1023</v>
      </c>
      <c r="BF56" t="str">
        <f>HYPERLINK("http://dx.doi.org/10.1088/1361-6560/ab3fd0","http://dx.doi.org/10.1088/1361-6560/ab3fd0")</f>
        <v>http://dx.doi.org/10.1088/1361-6560/ab3fd0</v>
      </c>
      <c r="BG56" t="s">
        <v>74</v>
      </c>
      <c r="BH56" t="s">
        <v>74</v>
      </c>
      <c r="BI56">
        <v>10</v>
      </c>
      <c r="BJ56" t="s">
        <v>101</v>
      </c>
      <c r="BK56" t="s">
        <v>102</v>
      </c>
      <c r="BL56" t="s">
        <v>103</v>
      </c>
      <c r="BM56" t="s">
        <v>1024</v>
      </c>
      <c r="BN56">
        <v>31470421</v>
      </c>
      <c r="BO56" t="s">
        <v>74</v>
      </c>
      <c r="BP56" t="s">
        <v>74</v>
      </c>
      <c r="BQ56" t="s">
        <v>74</v>
      </c>
      <c r="BR56" t="s">
        <v>106</v>
      </c>
      <c r="BS56" t="s">
        <v>1025</v>
      </c>
      <c r="BT56" t="str">
        <f>HYPERLINK("https%3A%2F%2Fwww.webofscience.com%2Fwos%2Fwoscc%2Ffull-record%2FWOS:000492968600001","View Full Record in Web of Science")</f>
        <v>View Full Record in Web of Science</v>
      </c>
    </row>
    <row r="57" spans="1:72" x14ac:dyDescent="0.25">
      <c r="A57" t="s">
        <v>72</v>
      </c>
      <c r="B57" t="s">
        <v>1026</v>
      </c>
      <c r="C57" t="s">
        <v>74</v>
      </c>
      <c r="D57" t="s">
        <v>74</v>
      </c>
      <c r="E57" t="s">
        <v>74</v>
      </c>
      <c r="F57" t="s">
        <v>1027</v>
      </c>
      <c r="G57" t="s">
        <v>74</v>
      </c>
      <c r="H57" t="s">
        <v>74</v>
      </c>
      <c r="I57" t="s">
        <v>1028</v>
      </c>
      <c r="J57" t="s">
        <v>77</v>
      </c>
      <c r="K57" t="s">
        <v>74</v>
      </c>
      <c r="L57" t="s">
        <v>74</v>
      </c>
      <c r="M57" t="s">
        <v>78</v>
      </c>
      <c r="N57" t="s">
        <v>79</v>
      </c>
      <c r="O57" t="s">
        <v>74</v>
      </c>
      <c r="P57" t="s">
        <v>74</v>
      </c>
      <c r="Q57" t="s">
        <v>74</v>
      </c>
      <c r="R57" t="s">
        <v>74</v>
      </c>
      <c r="S57" t="s">
        <v>74</v>
      </c>
      <c r="T57" t="s">
        <v>1029</v>
      </c>
      <c r="U57" t="s">
        <v>1030</v>
      </c>
      <c r="V57" t="s">
        <v>1031</v>
      </c>
      <c r="W57" t="s">
        <v>1032</v>
      </c>
      <c r="X57" t="s">
        <v>1033</v>
      </c>
      <c r="Y57" t="s">
        <v>1034</v>
      </c>
      <c r="Z57" t="s">
        <v>1035</v>
      </c>
      <c r="AA57" t="s">
        <v>1036</v>
      </c>
      <c r="AB57" t="s">
        <v>1037</v>
      </c>
      <c r="AC57" t="s">
        <v>74</v>
      </c>
      <c r="AD57" t="s">
        <v>74</v>
      </c>
      <c r="AE57" t="s">
        <v>74</v>
      </c>
      <c r="AF57" t="s">
        <v>74</v>
      </c>
      <c r="AG57">
        <v>28</v>
      </c>
      <c r="AH57">
        <v>20</v>
      </c>
      <c r="AI57">
        <v>20</v>
      </c>
      <c r="AJ57">
        <v>0</v>
      </c>
      <c r="AK57">
        <v>2</v>
      </c>
      <c r="AL57" t="s">
        <v>92</v>
      </c>
      <c r="AM57" t="s">
        <v>93</v>
      </c>
      <c r="AN57" t="s">
        <v>94</v>
      </c>
      <c r="AO57" t="s">
        <v>95</v>
      </c>
      <c r="AP57" t="s">
        <v>96</v>
      </c>
      <c r="AQ57" t="s">
        <v>74</v>
      </c>
      <c r="AR57" t="s">
        <v>97</v>
      </c>
      <c r="AS57" t="s">
        <v>98</v>
      </c>
      <c r="AT57" t="s">
        <v>176</v>
      </c>
      <c r="AU57">
        <v>2019</v>
      </c>
      <c r="AV57">
        <v>64</v>
      </c>
      <c r="AW57">
        <v>17</v>
      </c>
      <c r="AX57" t="s">
        <v>74</v>
      </c>
      <c r="AY57" t="s">
        <v>74</v>
      </c>
      <c r="AZ57" t="s">
        <v>74</v>
      </c>
      <c r="BA57" t="s">
        <v>74</v>
      </c>
      <c r="BB57" t="s">
        <v>74</v>
      </c>
      <c r="BC57" t="s">
        <v>74</v>
      </c>
      <c r="BD57" t="s">
        <v>1038</v>
      </c>
      <c r="BE57" t="s">
        <v>1039</v>
      </c>
      <c r="BF57" t="str">
        <f>HYPERLINK("http://dx.doi.org/10.1088/1361-6560/ab3557","http://dx.doi.org/10.1088/1361-6560/ab3557")</f>
        <v>http://dx.doi.org/10.1088/1361-6560/ab3557</v>
      </c>
      <c r="BG57" t="s">
        <v>74</v>
      </c>
      <c r="BH57" t="s">
        <v>74</v>
      </c>
      <c r="BI57">
        <v>16</v>
      </c>
      <c r="BJ57" t="s">
        <v>101</v>
      </c>
      <c r="BK57" t="s">
        <v>102</v>
      </c>
      <c r="BL57" t="s">
        <v>103</v>
      </c>
      <c r="BM57" t="s">
        <v>1040</v>
      </c>
      <c r="BN57">
        <v>31342920</v>
      </c>
      <c r="BO57" t="s">
        <v>74</v>
      </c>
      <c r="BP57" t="s">
        <v>74</v>
      </c>
      <c r="BQ57" t="s">
        <v>74</v>
      </c>
      <c r="BR57" t="s">
        <v>106</v>
      </c>
      <c r="BS57" t="s">
        <v>1041</v>
      </c>
      <c r="BT57" t="str">
        <f>HYPERLINK("https%3A%2F%2Fwww.webofscience.com%2Fwos%2Fwoscc%2Ffull-record%2FWOS:000483094700001","View Full Record in Web of Science")</f>
        <v>View Full Record in Web of Science</v>
      </c>
    </row>
    <row r="58" spans="1:72" x14ac:dyDescent="0.25">
      <c r="A58" t="s">
        <v>72</v>
      </c>
      <c r="B58" t="s">
        <v>1042</v>
      </c>
      <c r="C58" t="s">
        <v>74</v>
      </c>
      <c r="D58" t="s">
        <v>74</v>
      </c>
      <c r="E58" t="s">
        <v>74</v>
      </c>
      <c r="F58" t="s">
        <v>1043</v>
      </c>
      <c r="G58" t="s">
        <v>74</v>
      </c>
      <c r="H58" t="s">
        <v>74</v>
      </c>
      <c r="I58" t="s">
        <v>1044</v>
      </c>
      <c r="J58" t="s">
        <v>77</v>
      </c>
      <c r="K58" t="s">
        <v>74</v>
      </c>
      <c r="L58" t="s">
        <v>74</v>
      </c>
      <c r="M58" t="s">
        <v>78</v>
      </c>
      <c r="N58" t="s">
        <v>79</v>
      </c>
      <c r="O58" t="s">
        <v>74</v>
      </c>
      <c r="P58" t="s">
        <v>74</v>
      </c>
      <c r="Q58" t="s">
        <v>74</v>
      </c>
      <c r="R58" t="s">
        <v>74</v>
      </c>
      <c r="S58" t="s">
        <v>74</v>
      </c>
      <c r="T58" t="s">
        <v>1045</v>
      </c>
      <c r="U58" t="s">
        <v>1046</v>
      </c>
      <c r="V58" t="s">
        <v>1047</v>
      </c>
      <c r="W58" t="s">
        <v>1048</v>
      </c>
      <c r="X58" t="s">
        <v>1049</v>
      </c>
      <c r="Y58" t="s">
        <v>1050</v>
      </c>
      <c r="Z58" t="s">
        <v>1051</v>
      </c>
      <c r="AA58" t="s">
        <v>1052</v>
      </c>
      <c r="AB58" t="s">
        <v>1053</v>
      </c>
      <c r="AC58" t="s">
        <v>1054</v>
      </c>
      <c r="AD58" t="s">
        <v>1055</v>
      </c>
      <c r="AE58" t="s">
        <v>1056</v>
      </c>
      <c r="AF58" t="s">
        <v>74</v>
      </c>
      <c r="AG58">
        <v>36</v>
      </c>
      <c r="AH58">
        <v>27</v>
      </c>
      <c r="AI58">
        <v>27</v>
      </c>
      <c r="AJ58">
        <v>0</v>
      </c>
      <c r="AK58">
        <v>1</v>
      </c>
      <c r="AL58" t="s">
        <v>157</v>
      </c>
      <c r="AM58" t="s">
        <v>93</v>
      </c>
      <c r="AN58" t="s">
        <v>94</v>
      </c>
      <c r="AO58" t="s">
        <v>95</v>
      </c>
      <c r="AP58" t="s">
        <v>96</v>
      </c>
      <c r="AQ58" t="s">
        <v>74</v>
      </c>
      <c r="AR58" t="s">
        <v>97</v>
      </c>
      <c r="AS58" t="s">
        <v>98</v>
      </c>
      <c r="AT58" t="s">
        <v>176</v>
      </c>
      <c r="AU58">
        <v>2019</v>
      </c>
      <c r="AV58">
        <v>64</v>
      </c>
      <c r="AW58">
        <v>18</v>
      </c>
      <c r="AX58" t="s">
        <v>74</v>
      </c>
      <c r="AY58" t="s">
        <v>74</v>
      </c>
      <c r="AZ58" t="s">
        <v>74</v>
      </c>
      <c r="BA58" t="s">
        <v>74</v>
      </c>
      <c r="BB58" t="s">
        <v>74</v>
      </c>
      <c r="BC58" t="s">
        <v>74</v>
      </c>
      <c r="BD58">
        <v>185009</v>
      </c>
      <c r="BE58" t="s">
        <v>1057</v>
      </c>
      <c r="BF58" t="str">
        <f>HYPERLINK("http://dx.doi.org/10.1088/1361-6560/ab3b94","http://dx.doi.org/10.1088/1361-6560/ab3b94")</f>
        <v>http://dx.doi.org/10.1088/1361-6560/ab3b94</v>
      </c>
      <c r="BG58" t="s">
        <v>74</v>
      </c>
      <c r="BH58" t="s">
        <v>74</v>
      </c>
      <c r="BI58">
        <v>10</v>
      </c>
      <c r="BJ58" t="s">
        <v>101</v>
      </c>
      <c r="BK58" t="s">
        <v>102</v>
      </c>
      <c r="BL58" t="s">
        <v>103</v>
      </c>
      <c r="BM58" t="s">
        <v>1058</v>
      </c>
      <c r="BN58">
        <v>31416054</v>
      </c>
      <c r="BO58" t="s">
        <v>1059</v>
      </c>
      <c r="BP58" t="s">
        <v>74</v>
      </c>
      <c r="BQ58" t="s">
        <v>74</v>
      </c>
      <c r="BR58" t="s">
        <v>106</v>
      </c>
      <c r="BS58" t="s">
        <v>1060</v>
      </c>
      <c r="BT58" t="str">
        <f>HYPERLINK("https%3A%2F%2Fwww.webofscience.com%2Fwos%2Fwoscc%2Ffull-record%2FWOS:000486374400003","View Full Record in Web of Science")</f>
        <v>View Full Record in Web of Science</v>
      </c>
    </row>
    <row r="59" spans="1:72" x14ac:dyDescent="0.25">
      <c r="A59" t="s">
        <v>72</v>
      </c>
      <c r="B59" t="s">
        <v>1061</v>
      </c>
      <c r="C59" t="s">
        <v>74</v>
      </c>
      <c r="D59" t="s">
        <v>74</v>
      </c>
      <c r="E59" t="s">
        <v>74</v>
      </c>
      <c r="F59" t="s">
        <v>1062</v>
      </c>
      <c r="G59" t="s">
        <v>74</v>
      </c>
      <c r="H59" t="s">
        <v>74</v>
      </c>
      <c r="I59" t="s">
        <v>1063</v>
      </c>
      <c r="J59" t="s">
        <v>77</v>
      </c>
      <c r="K59" t="s">
        <v>74</v>
      </c>
      <c r="L59" t="s">
        <v>74</v>
      </c>
      <c r="M59" t="s">
        <v>78</v>
      </c>
      <c r="N59" t="s">
        <v>79</v>
      </c>
      <c r="O59" t="s">
        <v>74</v>
      </c>
      <c r="P59" t="s">
        <v>74</v>
      </c>
      <c r="Q59" t="s">
        <v>74</v>
      </c>
      <c r="R59" t="s">
        <v>74</v>
      </c>
      <c r="S59" t="s">
        <v>74</v>
      </c>
      <c r="T59" t="s">
        <v>1064</v>
      </c>
      <c r="U59" t="s">
        <v>1065</v>
      </c>
      <c r="V59" t="s">
        <v>1066</v>
      </c>
      <c r="W59" t="s">
        <v>1067</v>
      </c>
      <c r="X59" t="s">
        <v>1068</v>
      </c>
      <c r="Y59" t="s">
        <v>1069</v>
      </c>
      <c r="Z59" t="s">
        <v>1070</v>
      </c>
      <c r="AA59" t="s">
        <v>1071</v>
      </c>
      <c r="AB59" t="s">
        <v>1072</v>
      </c>
      <c r="AC59" t="s">
        <v>1073</v>
      </c>
      <c r="AD59" t="s">
        <v>1073</v>
      </c>
      <c r="AE59" t="s">
        <v>1074</v>
      </c>
      <c r="AF59" t="s">
        <v>74</v>
      </c>
      <c r="AG59">
        <v>33</v>
      </c>
      <c r="AH59">
        <v>14</v>
      </c>
      <c r="AI59">
        <v>15</v>
      </c>
      <c r="AJ59">
        <v>0</v>
      </c>
      <c r="AK59">
        <v>7</v>
      </c>
      <c r="AL59" t="s">
        <v>157</v>
      </c>
      <c r="AM59" t="s">
        <v>93</v>
      </c>
      <c r="AN59" t="s">
        <v>94</v>
      </c>
      <c r="AO59" t="s">
        <v>95</v>
      </c>
      <c r="AP59" t="s">
        <v>96</v>
      </c>
      <c r="AQ59" t="s">
        <v>74</v>
      </c>
      <c r="AR59" t="s">
        <v>97</v>
      </c>
      <c r="AS59" t="s">
        <v>98</v>
      </c>
      <c r="AT59" t="s">
        <v>196</v>
      </c>
      <c r="AU59">
        <v>2019</v>
      </c>
      <c r="AV59">
        <v>64</v>
      </c>
      <c r="AW59">
        <v>16</v>
      </c>
      <c r="AX59" t="s">
        <v>74</v>
      </c>
      <c r="AY59" t="s">
        <v>74</v>
      </c>
      <c r="AZ59" t="s">
        <v>74</v>
      </c>
      <c r="BA59" t="s">
        <v>74</v>
      </c>
      <c r="BB59" t="s">
        <v>74</v>
      </c>
      <c r="BC59" t="s">
        <v>74</v>
      </c>
      <c r="BD59">
        <v>165003</v>
      </c>
      <c r="BE59" t="s">
        <v>1075</v>
      </c>
      <c r="BF59" t="str">
        <f>HYPERLINK("http://dx.doi.org/10.1088/1361-6560/ab2a18","http://dx.doi.org/10.1088/1361-6560/ab2a18")</f>
        <v>http://dx.doi.org/10.1088/1361-6560/ab2a18</v>
      </c>
      <c r="BG59" t="s">
        <v>74</v>
      </c>
      <c r="BH59" t="s">
        <v>74</v>
      </c>
      <c r="BI59">
        <v>17</v>
      </c>
      <c r="BJ59" t="s">
        <v>101</v>
      </c>
      <c r="BK59" t="s">
        <v>102</v>
      </c>
      <c r="BL59" t="s">
        <v>103</v>
      </c>
      <c r="BM59" t="s">
        <v>1076</v>
      </c>
      <c r="BN59">
        <v>31207591</v>
      </c>
      <c r="BO59" t="s">
        <v>74</v>
      </c>
      <c r="BP59" t="s">
        <v>74</v>
      </c>
      <c r="BQ59" t="s">
        <v>74</v>
      </c>
      <c r="BR59" t="s">
        <v>106</v>
      </c>
      <c r="BS59" t="s">
        <v>1077</v>
      </c>
      <c r="BT59" t="str">
        <f>HYPERLINK("https%3A%2F%2Fwww.webofscience.com%2Fwos%2Fwoscc%2Ffull-record%2FWOS:000481852600003","View Full Record in Web of Science")</f>
        <v>View Full Record in Web of Science</v>
      </c>
    </row>
    <row r="60" spans="1:72" x14ac:dyDescent="0.25">
      <c r="A60" t="s">
        <v>72</v>
      </c>
      <c r="B60" t="s">
        <v>1078</v>
      </c>
      <c r="C60" t="s">
        <v>74</v>
      </c>
      <c r="D60" t="s">
        <v>74</v>
      </c>
      <c r="E60" t="s">
        <v>74</v>
      </c>
      <c r="F60" t="s">
        <v>1079</v>
      </c>
      <c r="G60" t="s">
        <v>74</v>
      </c>
      <c r="H60" t="s">
        <v>74</v>
      </c>
      <c r="I60" t="s">
        <v>1080</v>
      </c>
      <c r="J60" t="s">
        <v>77</v>
      </c>
      <c r="K60" t="s">
        <v>74</v>
      </c>
      <c r="L60" t="s">
        <v>74</v>
      </c>
      <c r="M60" t="s">
        <v>78</v>
      </c>
      <c r="N60" t="s">
        <v>79</v>
      </c>
      <c r="O60" t="s">
        <v>74</v>
      </c>
      <c r="P60" t="s">
        <v>74</v>
      </c>
      <c r="Q60" t="s">
        <v>74</v>
      </c>
      <c r="R60" t="s">
        <v>74</v>
      </c>
      <c r="S60" t="s">
        <v>74</v>
      </c>
      <c r="T60" t="s">
        <v>1081</v>
      </c>
      <c r="U60" t="s">
        <v>1082</v>
      </c>
      <c r="V60" t="s">
        <v>1083</v>
      </c>
      <c r="W60" t="s">
        <v>1084</v>
      </c>
      <c r="X60" t="s">
        <v>1085</v>
      </c>
      <c r="Y60" t="s">
        <v>1086</v>
      </c>
      <c r="Z60" t="s">
        <v>1087</v>
      </c>
      <c r="AA60" t="s">
        <v>74</v>
      </c>
      <c r="AB60" t="s">
        <v>1088</v>
      </c>
      <c r="AC60" t="s">
        <v>1089</v>
      </c>
      <c r="AD60" t="s">
        <v>1090</v>
      </c>
      <c r="AE60" t="s">
        <v>1091</v>
      </c>
      <c r="AF60" t="s">
        <v>74</v>
      </c>
      <c r="AG60">
        <v>55</v>
      </c>
      <c r="AH60">
        <v>1</v>
      </c>
      <c r="AI60">
        <v>1</v>
      </c>
      <c r="AJ60">
        <v>0</v>
      </c>
      <c r="AK60">
        <v>8</v>
      </c>
      <c r="AL60" t="s">
        <v>157</v>
      </c>
      <c r="AM60" t="s">
        <v>93</v>
      </c>
      <c r="AN60" t="s">
        <v>94</v>
      </c>
      <c r="AO60" t="s">
        <v>95</v>
      </c>
      <c r="AP60" t="s">
        <v>96</v>
      </c>
      <c r="AQ60" t="s">
        <v>74</v>
      </c>
      <c r="AR60" t="s">
        <v>97</v>
      </c>
      <c r="AS60" t="s">
        <v>98</v>
      </c>
      <c r="AT60" t="s">
        <v>214</v>
      </c>
      <c r="AU60">
        <v>2019</v>
      </c>
      <c r="AV60">
        <v>64</v>
      </c>
      <c r="AW60">
        <v>14</v>
      </c>
      <c r="AX60" t="s">
        <v>74</v>
      </c>
      <c r="AY60" t="s">
        <v>74</v>
      </c>
      <c r="AZ60" t="s">
        <v>74</v>
      </c>
      <c r="BA60" t="s">
        <v>74</v>
      </c>
      <c r="BB60" t="s">
        <v>74</v>
      </c>
      <c r="BC60" t="s">
        <v>74</v>
      </c>
      <c r="BD60">
        <v>145020</v>
      </c>
      <c r="BE60" t="s">
        <v>1092</v>
      </c>
      <c r="BF60" t="str">
        <f>HYPERLINK("http://dx.doi.org/10.1088/1361-6560/ab2dc5","http://dx.doi.org/10.1088/1361-6560/ab2dc5")</f>
        <v>http://dx.doi.org/10.1088/1361-6560/ab2dc5</v>
      </c>
      <c r="BG60" t="s">
        <v>74</v>
      </c>
      <c r="BH60" t="s">
        <v>74</v>
      </c>
      <c r="BI60">
        <v>19</v>
      </c>
      <c r="BJ60" t="s">
        <v>101</v>
      </c>
      <c r="BK60" t="s">
        <v>102</v>
      </c>
      <c r="BL60" t="s">
        <v>103</v>
      </c>
      <c r="BM60" t="s">
        <v>1093</v>
      </c>
      <c r="BN60">
        <v>31252422</v>
      </c>
      <c r="BO60" t="s">
        <v>105</v>
      </c>
      <c r="BP60" t="s">
        <v>74</v>
      </c>
      <c r="BQ60" t="s">
        <v>74</v>
      </c>
      <c r="BR60" t="s">
        <v>106</v>
      </c>
      <c r="BS60" t="s">
        <v>1094</v>
      </c>
      <c r="BT60" t="str">
        <f>HYPERLINK("https%3A%2F%2Fwww.webofscience.com%2Fwos%2Fwoscc%2Ffull-record%2FWOS:000476529600004","View Full Record in Web of Science")</f>
        <v>View Full Record in Web of Science</v>
      </c>
    </row>
    <row r="61" spans="1:72" x14ac:dyDescent="0.25">
      <c r="A61" t="s">
        <v>72</v>
      </c>
      <c r="B61" t="s">
        <v>1095</v>
      </c>
      <c r="C61" t="s">
        <v>74</v>
      </c>
      <c r="D61" t="s">
        <v>74</v>
      </c>
      <c r="E61" t="s">
        <v>74</v>
      </c>
      <c r="F61" t="s">
        <v>1096</v>
      </c>
      <c r="G61" t="s">
        <v>74</v>
      </c>
      <c r="H61" t="s">
        <v>74</v>
      </c>
      <c r="I61" t="s">
        <v>1097</v>
      </c>
      <c r="J61" t="s">
        <v>77</v>
      </c>
      <c r="K61" t="s">
        <v>74</v>
      </c>
      <c r="L61" t="s">
        <v>74</v>
      </c>
      <c r="M61" t="s">
        <v>78</v>
      </c>
      <c r="N61" t="s">
        <v>79</v>
      </c>
      <c r="O61" t="s">
        <v>74</v>
      </c>
      <c r="P61" t="s">
        <v>74</v>
      </c>
      <c r="Q61" t="s">
        <v>74</v>
      </c>
      <c r="R61" t="s">
        <v>74</v>
      </c>
      <c r="S61" t="s">
        <v>74</v>
      </c>
      <c r="T61" t="s">
        <v>1098</v>
      </c>
      <c r="U61" t="s">
        <v>1099</v>
      </c>
      <c r="V61" t="s">
        <v>1100</v>
      </c>
      <c r="W61" t="s">
        <v>1101</v>
      </c>
      <c r="X61" t="s">
        <v>1102</v>
      </c>
      <c r="Y61" t="s">
        <v>1103</v>
      </c>
      <c r="Z61" t="s">
        <v>1104</v>
      </c>
      <c r="AA61" t="s">
        <v>1105</v>
      </c>
      <c r="AB61" t="s">
        <v>1106</v>
      </c>
      <c r="AC61" t="s">
        <v>1107</v>
      </c>
      <c r="AD61" t="s">
        <v>1108</v>
      </c>
      <c r="AE61" t="s">
        <v>1109</v>
      </c>
      <c r="AF61" t="s">
        <v>74</v>
      </c>
      <c r="AG61">
        <v>31</v>
      </c>
      <c r="AH61">
        <v>11</v>
      </c>
      <c r="AI61">
        <v>11</v>
      </c>
      <c r="AJ61">
        <v>0</v>
      </c>
      <c r="AK61">
        <v>2</v>
      </c>
      <c r="AL61" t="s">
        <v>157</v>
      </c>
      <c r="AM61" t="s">
        <v>93</v>
      </c>
      <c r="AN61" t="s">
        <v>94</v>
      </c>
      <c r="AO61" t="s">
        <v>95</v>
      </c>
      <c r="AP61" t="s">
        <v>96</v>
      </c>
      <c r="AQ61" t="s">
        <v>74</v>
      </c>
      <c r="AR61" t="s">
        <v>97</v>
      </c>
      <c r="AS61" t="s">
        <v>98</v>
      </c>
      <c r="AT61" t="s">
        <v>214</v>
      </c>
      <c r="AU61">
        <v>2019</v>
      </c>
      <c r="AV61">
        <v>64</v>
      </c>
      <c r="AW61">
        <v>13</v>
      </c>
      <c r="AX61" t="s">
        <v>74</v>
      </c>
      <c r="AY61" t="s">
        <v>74</v>
      </c>
      <c r="AZ61" t="s">
        <v>74</v>
      </c>
      <c r="BA61" t="s">
        <v>74</v>
      </c>
      <c r="BB61" t="s">
        <v>74</v>
      </c>
      <c r="BC61" t="s">
        <v>74</v>
      </c>
      <c r="BD61">
        <v>135018</v>
      </c>
      <c r="BE61" t="s">
        <v>1110</v>
      </c>
      <c r="BF61" t="str">
        <f>HYPERLINK("http://dx.doi.org/10.1088/1361-6560/ab23c4","http://dx.doi.org/10.1088/1361-6560/ab23c4")</f>
        <v>http://dx.doi.org/10.1088/1361-6560/ab23c4</v>
      </c>
      <c r="BG61" t="s">
        <v>74</v>
      </c>
      <c r="BH61" t="s">
        <v>74</v>
      </c>
      <c r="BI61">
        <v>11</v>
      </c>
      <c r="BJ61" t="s">
        <v>101</v>
      </c>
      <c r="BK61" t="s">
        <v>102</v>
      </c>
      <c r="BL61" t="s">
        <v>103</v>
      </c>
      <c r="BM61" t="s">
        <v>1111</v>
      </c>
      <c r="BN61">
        <v>31117062</v>
      </c>
      <c r="BO61" t="s">
        <v>759</v>
      </c>
      <c r="BP61" t="s">
        <v>74</v>
      </c>
      <c r="BQ61" t="s">
        <v>74</v>
      </c>
      <c r="BR61" t="s">
        <v>106</v>
      </c>
      <c r="BS61" t="s">
        <v>1112</v>
      </c>
      <c r="BT61" t="str">
        <f>HYPERLINK("https%3A%2F%2Fwww.webofscience.com%2Fwos%2Fwoscc%2Ffull-record%2FWOS:000474396800004","View Full Record in Web of Science")</f>
        <v>View Full Record in Web of Science</v>
      </c>
    </row>
    <row r="62" spans="1:72" x14ac:dyDescent="0.25">
      <c r="A62" t="s">
        <v>72</v>
      </c>
      <c r="B62" t="s">
        <v>1113</v>
      </c>
      <c r="C62" t="s">
        <v>74</v>
      </c>
      <c r="D62" t="s">
        <v>74</v>
      </c>
      <c r="E62" t="s">
        <v>74</v>
      </c>
      <c r="F62" t="s">
        <v>1114</v>
      </c>
      <c r="G62" t="s">
        <v>74</v>
      </c>
      <c r="H62" t="s">
        <v>74</v>
      </c>
      <c r="I62" t="s">
        <v>1115</v>
      </c>
      <c r="J62" t="s">
        <v>77</v>
      </c>
      <c r="K62" t="s">
        <v>74</v>
      </c>
      <c r="L62" t="s">
        <v>74</v>
      </c>
      <c r="M62" t="s">
        <v>78</v>
      </c>
      <c r="N62" t="s">
        <v>79</v>
      </c>
      <c r="O62" t="s">
        <v>74</v>
      </c>
      <c r="P62" t="s">
        <v>74</v>
      </c>
      <c r="Q62" t="s">
        <v>74</v>
      </c>
      <c r="R62" t="s">
        <v>74</v>
      </c>
      <c r="S62" t="s">
        <v>74</v>
      </c>
      <c r="T62" t="s">
        <v>1116</v>
      </c>
      <c r="U62" t="s">
        <v>1117</v>
      </c>
      <c r="V62" t="s">
        <v>1118</v>
      </c>
      <c r="W62" t="s">
        <v>1119</v>
      </c>
      <c r="X62" t="s">
        <v>1120</v>
      </c>
      <c r="Y62" t="s">
        <v>1121</v>
      </c>
      <c r="Z62" t="s">
        <v>1122</v>
      </c>
      <c r="AA62" t="s">
        <v>1123</v>
      </c>
      <c r="AB62" t="s">
        <v>1124</v>
      </c>
      <c r="AC62" t="s">
        <v>74</v>
      </c>
      <c r="AD62" t="s">
        <v>74</v>
      </c>
      <c r="AE62" t="s">
        <v>74</v>
      </c>
      <c r="AF62" t="s">
        <v>74</v>
      </c>
      <c r="AG62">
        <v>22</v>
      </c>
      <c r="AH62">
        <v>2</v>
      </c>
      <c r="AI62">
        <v>2</v>
      </c>
      <c r="AJ62">
        <v>0</v>
      </c>
      <c r="AK62">
        <v>1</v>
      </c>
      <c r="AL62" t="s">
        <v>92</v>
      </c>
      <c r="AM62" t="s">
        <v>93</v>
      </c>
      <c r="AN62" t="s">
        <v>94</v>
      </c>
      <c r="AO62" t="s">
        <v>95</v>
      </c>
      <c r="AP62" t="s">
        <v>96</v>
      </c>
      <c r="AQ62" t="s">
        <v>74</v>
      </c>
      <c r="AR62" t="s">
        <v>97</v>
      </c>
      <c r="AS62" t="s">
        <v>98</v>
      </c>
      <c r="AT62" t="s">
        <v>214</v>
      </c>
      <c r="AU62">
        <v>2019</v>
      </c>
      <c r="AV62">
        <v>64</v>
      </c>
      <c r="AW62">
        <v>13</v>
      </c>
      <c r="AX62" t="s">
        <v>74</v>
      </c>
      <c r="AY62" t="s">
        <v>74</v>
      </c>
      <c r="AZ62" t="s">
        <v>74</v>
      </c>
      <c r="BA62" t="s">
        <v>74</v>
      </c>
      <c r="BB62" t="s">
        <v>74</v>
      </c>
      <c r="BC62" t="s">
        <v>74</v>
      </c>
      <c r="BD62">
        <v>135005</v>
      </c>
      <c r="BE62" t="s">
        <v>1125</v>
      </c>
      <c r="BF62" t="str">
        <f>HYPERLINK("http://dx.doi.org/10.1088/1361-6560/ab1ccc","http://dx.doi.org/10.1088/1361-6560/ab1ccc")</f>
        <v>http://dx.doi.org/10.1088/1361-6560/ab1ccc</v>
      </c>
      <c r="BG62" t="s">
        <v>74</v>
      </c>
      <c r="BH62" t="s">
        <v>74</v>
      </c>
      <c r="BI62">
        <v>12</v>
      </c>
      <c r="BJ62" t="s">
        <v>101</v>
      </c>
      <c r="BK62" t="s">
        <v>102</v>
      </c>
      <c r="BL62" t="s">
        <v>103</v>
      </c>
      <c r="BM62" t="s">
        <v>216</v>
      </c>
      <c r="BN62">
        <v>31026846</v>
      </c>
      <c r="BO62" t="s">
        <v>74</v>
      </c>
      <c r="BP62" t="s">
        <v>74</v>
      </c>
      <c r="BQ62" t="s">
        <v>74</v>
      </c>
      <c r="BR62" t="s">
        <v>106</v>
      </c>
      <c r="BS62" t="s">
        <v>1126</v>
      </c>
      <c r="BT62" t="str">
        <f>HYPERLINK("https%3A%2F%2Fwww.webofscience.com%2Fwos%2Fwoscc%2Ffull-record%2FWOS:000473698800005","View Full Record in Web of Science")</f>
        <v>View Full Record in Web of Science</v>
      </c>
    </row>
    <row r="63" spans="1:72" x14ac:dyDescent="0.25">
      <c r="A63" t="s">
        <v>72</v>
      </c>
      <c r="B63" t="s">
        <v>1127</v>
      </c>
      <c r="C63" t="s">
        <v>74</v>
      </c>
      <c r="D63" t="s">
        <v>74</v>
      </c>
      <c r="E63" t="s">
        <v>74</v>
      </c>
      <c r="F63" t="s">
        <v>1128</v>
      </c>
      <c r="G63" t="s">
        <v>74</v>
      </c>
      <c r="H63" t="s">
        <v>74</v>
      </c>
      <c r="I63" t="s">
        <v>1129</v>
      </c>
      <c r="J63" t="s">
        <v>77</v>
      </c>
      <c r="K63" t="s">
        <v>74</v>
      </c>
      <c r="L63" t="s">
        <v>74</v>
      </c>
      <c r="M63" t="s">
        <v>78</v>
      </c>
      <c r="N63" t="s">
        <v>79</v>
      </c>
      <c r="O63" t="s">
        <v>74</v>
      </c>
      <c r="P63" t="s">
        <v>74</v>
      </c>
      <c r="Q63" t="s">
        <v>74</v>
      </c>
      <c r="R63" t="s">
        <v>74</v>
      </c>
      <c r="S63" t="s">
        <v>74</v>
      </c>
      <c r="T63" t="s">
        <v>1130</v>
      </c>
      <c r="U63" t="s">
        <v>1131</v>
      </c>
      <c r="V63" t="s">
        <v>1132</v>
      </c>
      <c r="W63" t="s">
        <v>1133</v>
      </c>
      <c r="X63" t="s">
        <v>1134</v>
      </c>
      <c r="Y63" t="s">
        <v>1135</v>
      </c>
      <c r="Z63" t="s">
        <v>1136</v>
      </c>
      <c r="AA63" t="s">
        <v>1137</v>
      </c>
      <c r="AB63" t="s">
        <v>1138</v>
      </c>
      <c r="AC63" t="s">
        <v>1139</v>
      </c>
      <c r="AD63" t="s">
        <v>1140</v>
      </c>
      <c r="AE63" t="s">
        <v>1141</v>
      </c>
      <c r="AF63" t="s">
        <v>74</v>
      </c>
      <c r="AG63">
        <v>53</v>
      </c>
      <c r="AH63">
        <v>14</v>
      </c>
      <c r="AI63">
        <v>17</v>
      </c>
      <c r="AJ63">
        <v>3</v>
      </c>
      <c r="AK63">
        <v>55</v>
      </c>
      <c r="AL63" t="s">
        <v>92</v>
      </c>
      <c r="AM63" t="s">
        <v>93</v>
      </c>
      <c r="AN63" t="s">
        <v>94</v>
      </c>
      <c r="AO63" t="s">
        <v>95</v>
      </c>
      <c r="AP63" t="s">
        <v>96</v>
      </c>
      <c r="AQ63" t="s">
        <v>74</v>
      </c>
      <c r="AR63" t="s">
        <v>97</v>
      </c>
      <c r="AS63" t="s">
        <v>98</v>
      </c>
      <c r="AT63" t="s">
        <v>250</v>
      </c>
      <c r="AU63">
        <v>2019</v>
      </c>
      <c r="AV63">
        <v>64</v>
      </c>
      <c r="AW63">
        <v>11</v>
      </c>
      <c r="AX63" t="s">
        <v>74</v>
      </c>
      <c r="AY63" t="s">
        <v>74</v>
      </c>
      <c r="AZ63" t="s">
        <v>74</v>
      </c>
      <c r="BA63" t="s">
        <v>74</v>
      </c>
      <c r="BB63" t="s">
        <v>74</v>
      </c>
      <c r="BC63" t="s">
        <v>74</v>
      </c>
      <c r="BD63">
        <v>115016</v>
      </c>
      <c r="BE63" t="s">
        <v>1142</v>
      </c>
      <c r="BF63" t="str">
        <f>HYPERLINK("http://dx.doi.org/10.1088/1361-6560/ab1809","http://dx.doi.org/10.1088/1361-6560/ab1809")</f>
        <v>http://dx.doi.org/10.1088/1361-6560/ab1809</v>
      </c>
      <c r="BG63" t="s">
        <v>74</v>
      </c>
      <c r="BH63" t="s">
        <v>74</v>
      </c>
      <c r="BI63">
        <v>13</v>
      </c>
      <c r="BJ63" t="s">
        <v>101</v>
      </c>
      <c r="BK63" t="s">
        <v>102</v>
      </c>
      <c r="BL63" t="s">
        <v>103</v>
      </c>
      <c r="BM63" t="s">
        <v>287</v>
      </c>
      <c r="BN63">
        <v>30970342</v>
      </c>
      <c r="BO63" t="s">
        <v>74</v>
      </c>
      <c r="BP63" t="s">
        <v>74</v>
      </c>
      <c r="BQ63" t="s">
        <v>74</v>
      </c>
      <c r="BR63" t="s">
        <v>106</v>
      </c>
      <c r="BS63" t="s">
        <v>1143</v>
      </c>
      <c r="BT63" t="str">
        <f>HYPERLINK("https%3A%2F%2Fwww.webofscience.com%2Fwos%2Fwoscc%2Ffull-record%2FWOS:000469802000008","View Full Record in Web of Science")</f>
        <v>View Full Record in Web of Science</v>
      </c>
    </row>
    <row r="64" spans="1:72" x14ac:dyDescent="0.25">
      <c r="A64" t="s">
        <v>72</v>
      </c>
      <c r="B64" t="s">
        <v>1144</v>
      </c>
      <c r="C64" t="s">
        <v>74</v>
      </c>
      <c r="D64" t="s">
        <v>74</v>
      </c>
      <c r="E64" t="s">
        <v>74</v>
      </c>
      <c r="F64" t="s">
        <v>1145</v>
      </c>
      <c r="G64" t="s">
        <v>74</v>
      </c>
      <c r="H64" t="s">
        <v>74</v>
      </c>
      <c r="I64" t="s">
        <v>1146</v>
      </c>
      <c r="J64" t="s">
        <v>77</v>
      </c>
      <c r="K64" t="s">
        <v>74</v>
      </c>
      <c r="L64" t="s">
        <v>74</v>
      </c>
      <c r="M64" t="s">
        <v>78</v>
      </c>
      <c r="N64" t="s">
        <v>79</v>
      </c>
      <c r="O64" t="s">
        <v>74</v>
      </c>
      <c r="P64" t="s">
        <v>74</v>
      </c>
      <c r="Q64" t="s">
        <v>74</v>
      </c>
      <c r="R64" t="s">
        <v>74</v>
      </c>
      <c r="S64" t="s">
        <v>74</v>
      </c>
      <c r="T64" t="s">
        <v>1147</v>
      </c>
      <c r="U64" t="s">
        <v>1148</v>
      </c>
      <c r="V64" t="s">
        <v>1149</v>
      </c>
      <c r="W64" t="s">
        <v>1150</v>
      </c>
      <c r="X64" t="s">
        <v>1151</v>
      </c>
      <c r="Y64" t="s">
        <v>1152</v>
      </c>
      <c r="Z64" t="s">
        <v>1153</v>
      </c>
      <c r="AA64" t="s">
        <v>1154</v>
      </c>
      <c r="AB64" t="s">
        <v>1155</v>
      </c>
      <c r="AC64" t="s">
        <v>1156</v>
      </c>
      <c r="AD64" t="s">
        <v>1157</v>
      </c>
      <c r="AE64" t="s">
        <v>1158</v>
      </c>
      <c r="AF64" t="s">
        <v>74</v>
      </c>
      <c r="AG64">
        <v>34</v>
      </c>
      <c r="AH64">
        <v>36</v>
      </c>
      <c r="AI64">
        <v>37</v>
      </c>
      <c r="AJ64">
        <v>1</v>
      </c>
      <c r="AK64">
        <v>14</v>
      </c>
      <c r="AL64" t="s">
        <v>92</v>
      </c>
      <c r="AM64" t="s">
        <v>93</v>
      </c>
      <c r="AN64" t="s">
        <v>94</v>
      </c>
      <c r="AO64" t="s">
        <v>95</v>
      </c>
      <c r="AP64" t="s">
        <v>96</v>
      </c>
      <c r="AQ64" t="s">
        <v>74</v>
      </c>
      <c r="AR64" t="s">
        <v>97</v>
      </c>
      <c r="AS64" t="s">
        <v>98</v>
      </c>
      <c r="AT64" t="s">
        <v>370</v>
      </c>
      <c r="AU64">
        <v>2019</v>
      </c>
      <c r="AV64">
        <v>64</v>
      </c>
      <c r="AW64">
        <v>10</v>
      </c>
      <c r="AX64" t="s">
        <v>74</v>
      </c>
      <c r="AY64" t="s">
        <v>74</v>
      </c>
      <c r="AZ64" t="s">
        <v>74</v>
      </c>
      <c r="BA64" t="s">
        <v>74</v>
      </c>
      <c r="BB64" t="s">
        <v>74</v>
      </c>
      <c r="BC64" t="s">
        <v>74</v>
      </c>
      <c r="BD64">
        <v>105007</v>
      </c>
      <c r="BE64" t="s">
        <v>1159</v>
      </c>
      <c r="BF64" t="str">
        <f>HYPERLINK("http://dx.doi.org/10.1088/1361-6560/ab18da","http://dx.doi.org/10.1088/1361-6560/ab18da")</f>
        <v>http://dx.doi.org/10.1088/1361-6560/ab18da</v>
      </c>
      <c r="BG64" t="s">
        <v>74</v>
      </c>
      <c r="BH64" t="s">
        <v>74</v>
      </c>
      <c r="BI64">
        <v>10</v>
      </c>
      <c r="BJ64" t="s">
        <v>101</v>
      </c>
      <c r="BK64" t="s">
        <v>102</v>
      </c>
      <c r="BL64" t="s">
        <v>103</v>
      </c>
      <c r="BM64" t="s">
        <v>1160</v>
      </c>
      <c r="BN64">
        <v>30978713</v>
      </c>
      <c r="BO64" t="s">
        <v>795</v>
      </c>
      <c r="BP64" t="s">
        <v>74</v>
      </c>
      <c r="BQ64" t="s">
        <v>74</v>
      </c>
      <c r="BR64" t="s">
        <v>106</v>
      </c>
      <c r="BS64" t="s">
        <v>1161</v>
      </c>
      <c r="BT64" t="str">
        <f>HYPERLINK("https%3A%2F%2Fwww.webofscience.com%2Fwos%2Fwoscc%2Ffull-record%2FWOS:000467702500002","View Full Record in Web of Science")</f>
        <v>View Full Record in Web of Science</v>
      </c>
    </row>
    <row r="65" spans="1:72" x14ac:dyDescent="0.25">
      <c r="A65" t="s">
        <v>72</v>
      </c>
      <c r="B65" t="s">
        <v>1162</v>
      </c>
      <c r="C65" t="s">
        <v>74</v>
      </c>
      <c r="D65" t="s">
        <v>74</v>
      </c>
      <c r="E65" t="s">
        <v>74</v>
      </c>
      <c r="F65" t="s">
        <v>1163</v>
      </c>
      <c r="G65" t="s">
        <v>74</v>
      </c>
      <c r="H65" t="s">
        <v>74</v>
      </c>
      <c r="I65" t="s">
        <v>1164</v>
      </c>
      <c r="J65" t="s">
        <v>77</v>
      </c>
      <c r="K65" t="s">
        <v>74</v>
      </c>
      <c r="L65" t="s">
        <v>74</v>
      </c>
      <c r="M65" t="s">
        <v>78</v>
      </c>
      <c r="N65" t="s">
        <v>79</v>
      </c>
      <c r="O65" t="s">
        <v>74</v>
      </c>
      <c r="P65" t="s">
        <v>74</v>
      </c>
      <c r="Q65" t="s">
        <v>74</v>
      </c>
      <c r="R65" t="s">
        <v>74</v>
      </c>
      <c r="S65" t="s">
        <v>74</v>
      </c>
      <c r="T65" t="s">
        <v>1165</v>
      </c>
      <c r="U65" t="s">
        <v>1166</v>
      </c>
      <c r="V65" t="s">
        <v>1167</v>
      </c>
      <c r="W65" t="s">
        <v>1168</v>
      </c>
      <c r="X65" t="s">
        <v>1169</v>
      </c>
      <c r="Y65" t="s">
        <v>1170</v>
      </c>
      <c r="Z65" t="s">
        <v>1171</v>
      </c>
      <c r="AA65" t="s">
        <v>1172</v>
      </c>
      <c r="AB65" t="s">
        <v>1173</v>
      </c>
      <c r="AC65" t="s">
        <v>1174</v>
      </c>
      <c r="AD65" t="s">
        <v>1175</v>
      </c>
      <c r="AE65" t="s">
        <v>1176</v>
      </c>
      <c r="AF65" t="s">
        <v>74</v>
      </c>
      <c r="AG65">
        <v>31</v>
      </c>
      <c r="AH65">
        <v>13</v>
      </c>
      <c r="AI65">
        <v>14</v>
      </c>
      <c r="AJ65">
        <v>0</v>
      </c>
      <c r="AK65">
        <v>8</v>
      </c>
      <c r="AL65" t="s">
        <v>92</v>
      </c>
      <c r="AM65" t="s">
        <v>93</v>
      </c>
      <c r="AN65" t="s">
        <v>94</v>
      </c>
      <c r="AO65" t="s">
        <v>95</v>
      </c>
      <c r="AP65" t="s">
        <v>96</v>
      </c>
      <c r="AQ65" t="s">
        <v>74</v>
      </c>
      <c r="AR65" t="s">
        <v>97</v>
      </c>
      <c r="AS65" t="s">
        <v>98</v>
      </c>
      <c r="AT65" t="s">
        <v>370</v>
      </c>
      <c r="AU65">
        <v>2019</v>
      </c>
      <c r="AV65">
        <v>64</v>
      </c>
      <c r="AW65">
        <v>9</v>
      </c>
      <c r="AX65" t="s">
        <v>74</v>
      </c>
      <c r="AY65" t="s">
        <v>74</v>
      </c>
      <c r="AZ65" t="s">
        <v>74</v>
      </c>
      <c r="BA65" t="s">
        <v>74</v>
      </c>
      <c r="BB65" t="s">
        <v>74</v>
      </c>
      <c r="BC65" t="s">
        <v>74</v>
      </c>
      <c r="BD65">
        <v>95019</v>
      </c>
      <c r="BE65" t="s">
        <v>1177</v>
      </c>
      <c r="BF65" t="str">
        <f>HYPERLINK("http://dx.doi.org/10.1088/1361-6560/ab12aa","http://dx.doi.org/10.1088/1361-6560/ab12aa")</f>
        <v>http://dx.doi.org/10.1088/1361-6560/ab12aa</v>
      </c>
      <c r="BG65" t="s">
        <v>74</v>
      </c>
      <c r="BH65" t="s">
        <v>74</v>
      </c>
      <c r="BI65">
        <v>15</v>
      </c>
      <c r="BJ65" t="s">
        <v>101</v>
      </c>
      <c r="BK65" t="s">
        <v>102</v>
      </c>
      <c r="BL65" t="s">
        <v>103</v>
      </c>
      <c r="BM65" t="s">
        <v>372</v>
      </c>
      <c r="BN65">
        <v>30901759</v>
      </c>
      <c r="BO65" t="s">
        <v>74</v>
      </c>
      <c r="BP65" t="s">
        <v>74</v>
      </c>
      <c r="BQ65" t="s">
        <v>74</v>
      </c>
      <c r="BR65" t="s">
        <v>106</v>
      </c>
      <c r="BS65" t="s">
        <v>1178</v>
      </c>
      <c r="BT65" t="str">
        <f>HYPERLINK("https%3A%2F%2Fwww.webofscience.com%2Fwos%2Fwoscc%2Ffull-record%2FWOS:000466572600006","View Full Record in Web of Science")</f>
        <v>View Full Record in Web of Science</v>
      </c>
    </row>
    <row r="66" spans="1:72" x14ac:dyDescent="0.25">
      <c r="A66" t="s">
        <v>72</v>
      </c>
      <c r="B66" t="s">
        <v>1179</v>
      </c>
      <c r="C66" t="s">
        <v>74</v>
      </c>
      <c r="D66" t="s">
        <v>74</v>
      </c>
      <c r="E66" t="s">
        <v>74</v>
      </c>
      <c r="F66" t="s">
        <v>1180</v>
      </c>
      <c r="G66" t="s">
        <v>74</v>
      </c>
      <c r="H66" t="s">
        <v>74</v>
      </c>
      <c r="I66" t="s">
        <v>1181</v>
      </c>
      <c r="J66" t="s">
        <v>77</v>
      </c>
      <c r="K66" t="s">
        <v>74</v>
      </c>
      <c r="L66" t="s">
        <v>74</v>
      </c>
      <c r="M66" t="s">
        <v>78</v>
      </c>
      <c r="N66" t="s">
        <v>79</v>
      </c>
      <c r="O66" t="s">
        <v>74</v>
      </c>
      <c r="P66" t="s">
        <v>74</v>
      </c>
      <c r="Q66" t="s">
        <v>74</v>
      </c>
      <c r="R66" t="s">
        <v>74</v>
      </c>
      <c r="S66" t="s">
        <v>74</v>
      </c>
      <c r="T66" t="s">
        <v>1182</v>
      </c>
      <c r="U66" t="s">
        <v>1183</v>
      </c>
      <c r="V66" t="s">
        <v>1184</v>
      </c>
      <c r="W66" t="s">
        <v>1185</v>
      </c>
      <c r="X66" t="s">
        <v>1186</v>
      </c>
      <c r="Y66" t="s">
        <v>1187</v>
      </c>
      <c r="Z66" t="s">
        <v>1188</v>
      </c>
      <c r="AA66" t="s">
        <v>1189</v>
      </c>
      <c r="AB66" t="s">
        <v>1190</v>
      </c>
      <c r="AC66" t="s">
        <v>1191</v>
      </c>
      <c r="AD66" t="s">
        <v>416</v>
      </c>
      <c r="AE66" t="s">
        <v>1192</v>
      </c>
      <c r="AF66" t="s">
        <v>74</v>
      </c>
      <c r="AG66">
        <v>48</v>
      </c>
      <c r="AH66">
        <v>18</v>
      </c>
      <c r="AI66">
        <v>21</v>
      </c>
      <c r="AJ66">
        <v>0</v>
      </c>
      <c r="AK66">
        <v>8</v>
      </c>
      <c r="AL66" t="s">
        <v>92</v>
      </c>
      <c r="AM66" t="s">
        <v>93</v>
      </c>
      <c r="AN66" t="s">
        <v>94</v>
      </c>
      <c r="AO66" t="s">
        <v>95</v>
      </c>
      <c r="AP66" t="s">
        <v>96</v>
      </c>
      <c r="AQ66" t="s">
        <v>74</v>
      </c>
      <c r="AR66" t="s">
        <v>97</v>
      </c>
      <c r="AS66" t="s">
        <v>98</v>
      </c>
      <c r="AT66" t="s">
        <v>370</v>
      </c>
      <c r="AU66">
        <v>2019</v>
      </c>
      <c r="AV66">
        <v>64</v>
      </c>
      <c r="AW66">
        <v>10</v>
      </c>
      <c r="AX66" t="s">
        <v>74</v>
      </c>
      <c r="AY66" t="s">
        <v>74</v>
      </c>
      <c r="AZ66" t="s">
        <v>74</v>
      </c>
      <c r="BA66" t="s">
        <v>74</v>
      </c>
      <c r="BB66" t="s">
        <v>74</v>
      </c>
      <c r="BC66" t="s">
        <v>74</v>
      </c>
      <c r="BD66">
        <v>105014</v>
      </c>
      <c r="BE66" t="s">
        <v>1193</v>
      </c>
      <c r="BF66" t="str">
        <f>HYPERLINK("http://dx.doi.org/10.1088/1361-6560/ab17fa","http://dx.doi.org/10.1088/1361-6560/ab17fa")</f>
        <v>http://dx.doi.org/10.1088/1361-6560/ab17fa</v>
      </c>
      <c r="BG66" t="s">
        <v>74</v>
      </c>
      <c r="BH66" t="s">
        <v>74</v>
      </c>
      <c r="BI66">
        <v>14</v>
      </c>
      <c r="BJ66" t="s">
        <v>101</v>
      </c>
      <c r="BK66" t="s">
        <v>102</v>
      </c>
      <c r="BL66" t="s">
        <v>103</v>
      </c>
      <c r="BM66" t="s">
        <v>1194</v>
      </c>
      <c r="BN66">
        <v>30970337</v>
      </c>
      <c r="BO66" t="s">
        <v>105</v>
      </c>
      <c r="BP66" t="s">
        <v>74</v>
      </c>
      <c r="BQ66" t="s">
        <v>74</v>
      </c>
      <c r="BR66" t="s">
        <v>106</v>
      </c>
      <c r="BS66" t="s">
        <v>1195</v>
      </c>
      <c r="BT66" t="str">
        <f>HYPERLINK("https%3A%2F%2Fwww.webofscience.com%2Fwos%2Fwoscc%2Ffull-record%2FWOS:000468283000002","View Full Record in Web of Science")</f>
        <v>View Full Record in Web of Science</v>
      </c>
    </row>
    <row r="67" spans="1:72" x14ac:dyDescent="0.25">
      <c r="A67" t="s">
        <v>72</v>
      </c>
      <c r="B67" t="s">
        <v>1196</v>
      </c>
      <c r="C67" t="s">
        <v>74</v>
      </c>
      <c r="D67" t="s">
        <v>74</v>
      </c>
      <c r="E67" t="s">
        <v>74</v>
      </c>
      <c r="F67" t="s">
        <v>1197</v>
      </c>
      <c r="G67" t="s">
        <v>74</v>
      </c>
      <c r="H67" t="s">
        <v>74</v>
      </c>
      <c r="I67" t="s">
        <v>1198</v>
      </c>
      <c r="J67" t="s">
        <v>77</v>
      </c>
      <c r="K67" t="s">
        <v>74</v>
      </c>
      <c r="L67" t="s">
        <v>74</v>
      </c>
      <c r="M67" t="s">
        <v>78</v>
      </c>
      <c r="N67" t="s">
        <v>79</v>
      </c>
      <c r="O67" t="s">
        <v>74</v>
      </c>
      <c r="P67" t="s">
        <v>74</v>
      </c>
      <c r="Q67" t="s">
        <v>74</v>
      </c>
      <c r="R67" t="s">
        <v>74</v>
      </c>
      <c r="S67" t="s">
        <v>74</v>
      </c>
      <c r="T67" t="s">
        <v>1199</v>
      </c>
      <c r="U67" t="s">
        <v>1200</v>
      </c>
      <c r="V67" t="s">
        <v>1201</v>
      </c>
      <c r="W67" t="s">
        <v>1202</v>
      </c>
      <c r="X67" t="s">
        <v>1203</v>
      </c>
      <c r="Y67" t="s">
        <v>1204</v>
      </c>
      <c r="Z67" t="s">
        <v>1205</v>
      </c>
      <c r="AA67" t="s">
        <v>1206</v>
      </c>
      <c r="AB67" t="s">
        <v>1207</v>
      </c>
      <c r="AC67" t="s">
        <v>1208</v>
      </c>
      <c r="AD67" t="s">
        <v>1209</v>
      </c>
      <c r="AE67" t="s">
        <v>1210</v>
      </c>
      <c r="AF67" t="s">
        <v>74</v>
      </c>
      <c r="AG67">
        <v>47</v>
      </c>
      <c r="AH67">
        <v>22</v>
      </c>
      <c r="AI67">
        <v>23</v>
      </c>
      <c r="AJ67">
        <v>1</v>
      </c>
      <c r="AK67">
        <v>12</v>
      </c>
      <c r="AL67" t="s">
        <v>92</v>
      </c>
      <c r="AM67" t="s">
        <v>93</v>
      </c>
      <c r="AN67" t="s">
        <v>94</v>
      </c>
      <c r="AO67" t="s">
        <v>95</v>
      </c>
      <c r="AP67" t="s">
        <v>96</v>
      </c>
      <c r="AQ67" t="s">
        <v>74</v>
      </c>
      <c r="AR67" t="s">
        <v>97</v>
      </c>
      <c r="AS67" t="s">
        <v>98</v>
      </c>
      <c r="AT67" t="s">
        <v>386</v>
      </c>
      <c r="AU67">
        <v>2019</v>
      </c>
      <c r="AV67">
        <v>64</v>
      </c>
      <c r="AW67">
        <v>8</v>
      </c>
      <c r="AX67" t="s">
        <v>74</v>
      </c>
      <c r="AY67" t="s">
        <v>74</v>
      </c>
      <c r="AZ67" t="s">
        <v>74</v>
      </c>
      <c r="BA67" t="s">
        <v>74</v>
      </c>
      <c r="BB67" t="s">
        <v>74</v>
      </c>
      <c r="BC67" t="s">
        <v>74</v>
      </c>
      <c r="BD67">
        <v>85020</v>
      </c>
      <c r="BE67" t="s">
        <v>1211</v>
      </c>
      <c r="BF67" t="str">
        <f>HYPERLINK("http://dx.doi.org/10.1088/1361-6560/ab0b59","http://dx.doi.org/10.1088/1361-6560/ab0b59")</f>
        <v>http://dx.doi.org/10.1088/1361-6560/ab0b59</v>
      </c>
      <c r="BG67" t="s">
        <v>74</v>
      </c>
      <c r="BH67" t="s">
        <v>74</v>
      </c>
      <c r="BI67">
        <v>20</v>
      </c>
      <c r="BJ67" t="s">
        <v>101</v>
      </c>
      <c r="BK67" t="s">
        <v>102</v>
      </c>
      <c r="BL67" t="s">
        <v>103</v>
      </c>
      <c r="BM67" t="s">
        <v>419</v>
      </c>
      <c r="BN67">
        <v>30818284</v>
      </c>
      <c r="BO67" t="s">
        <v>74</v>
      </c>
      <c r="BP67" t="s">
        <v>74</v>
      </c>
      <c r="BQ67" t="s">
        <v>74</v>
      </c>
      <c r="BR67" t="s">
        <v>106</v>
      </c>
      <c r="BS67" t="s">
        <v>1212</v>
      </c>
      <c r="BT67" t="str">
        <f>HYPERLINK("https%3A%2F%2Fwww.webofscience.com%2Fwos%2Fwoscc%2Ffull-record%2FWOS:000464454200006","View Full Record in Web of Science")</f>
        <v>View Full Record in Web of Science</v>
      </c>
    </row>
    <row r="68" spans="1:72" x14ac:dyDescent="0.25">
      <c r="A68" t="s">
        <v>72</v>
      </c>
      <c r="B68" t="s">
        <v>1213</v>
      </c>
      <c r="C68" t="s">
        <v>74</v>
      </c>
      <c r="D68" t="s">
        <v>74</v>
      </c>
      <c r="E68" t="s">
        <v>74</v>
      </c>
      <c r="F68" t="s">
        <v>1214</v>
      </c>
      <c r="G68" t="s">
        <v>74</v>
      </c>
      <c r="H68" t="s">
        <v>74</v>
      </c>
      <c r="I68" t="s">
        <v>1215</v>
      </c>
      <c r="J68" t="s">
        <v>77</v>
      </c>
      <c r="K68" t="s">
        <v>74</v>
      </c>
      <c r="L68" t="s">
        <v>74</v>
      </c>
      <c r="M68" t="s">
        <v>78</v>
      </c>
      <c r="N68" t="s">
        <v>79</v>
      </c>
      <c r="O68" t="s">
        <v>74</v>
      </c>
      <c r="P68" t="s">
        <v>74</v>
      </c>
      <c r="Q68" t="s">
        <v>74</v>
      </c>
      <c r="R68" t="s">
        <v>74</v>
      </c>
      <c r="S68" t="s">
        <v>74</v>
      </c>
      <c r="T68" t="s">
        <v>1216</v>
      </c>
      <c r="U68" t="s">
        <v>1217</v>
      </c>
      <c r="V68" t="s">
        <v>1218</v>
      </c>
      <c r="W68" t="s">
        <v>1219</v>
      </c>
      <c r="X68" t="s">
        <v>1220</v>
      </c>
      <c r="Y68" t="s">
        <v>1221</v>
      </c>
      <c r="Z68" t="s">
        <v>1222</v>
      </c>
      <c r="AA68" t="s">
        <v>1223</v>
      </c>
      <c r="AB68" t="s">
        <v>1224</v>
      </c>
      <c r="AC68" t="s">
        <v>1225</v>
      </c>
      <c r="AD68" t="s">
        <v>1226</v>
      </c>
      <c r="AE68" t="s">
        <v>1227</v>
      </c>
      <c r="AF68" t="s">
        <v>74</v>
      </c>
      <c r="AG68">
        <v>41</v>
      </c>
      <c r="AH68">
        <v>34</v>
      </c>
      <c r="AI68">
        <v>35</v>
      </c>
      <c r="AJ68">
        <v>0</v>
      </c>
      <c r="AK68">
        <v>6</v>
      </c>
      <c r="AL68" t="s">
        <v>157</v>
      </c>
      <c r="AM68" t="s">
        <v>93</v>
      </c>
      <c r="AN68" t="s">
        <v>94</v>
      </c>
      <c r="AO68" t="s">
        <v>95</v>
      </c>
      <c r="AP68" t="s">
        <v>96</v>
      </c>
      <c r="AQ68" t="s">
        <v>74</v>
      </c>
      <c r="AR68" t="s">
        <v>97</v>
      </c>
      <c r="AS68" t="s">
        <v>98</v>
      </c>
      <c r="AT68" t="s">
        <v>386</v>
      </c>
      <c r="AU68">
        <v>2019</v>
      </c>
      <c r="AV68">
        <v>64</v>
      </c>
      <c r="AW68">
        <v>7</v>
      </c>
      <c r="AX68" t="s">
        <v>74</v>
      </c>
      <c r="AY68" t="s">
        <v>74</v>
      </c>
      <c r="AZ68" t="s">
        <v>74</v>
      </c>
      <c r="BA68" t="s">
        <v>74</v>
      </c>
      <c r="BB68" t="s">
        <v>74</v>
      </c>
      <c r="BC68" t="s">
        <v>74</v>
      </c>
      <c r="BD68" t="s">
        <v>1228</v>
      </c>
      <c r="BE68" t="s">
        <v>1229</v>
      </c>
      <c r="BF68" t="str">
        <f>HYPERLINK("http://dx.doi.org/10.1088/1361-6560/ab09a6","http://dx.doi.org/10.1088/1361-6560/ab09a6")</f>
        <v>http://dx.doi.org/10.1088/1361-6560/ab09a6</v>
      </c>
      <c r="BG68" t="s">
        <v>74</v>
      </c>
      <c r="BH68" t="s">
        <v>74</v>
      </c>
      <c r="BI68">
        <v>10</v>
      </c>
      <c r="BJ68" t="s">
        <v>101</v>
      </c>
      <c r="BK68" t="s">
        <v>102</v>
      </c>
      <c r="BL68" t="s">
        <v>103</v>
      </c>
      <c r="BM68" t="s">
        <v>1230</v>
      </c>
      <c r="BN68">
        <v>30794995</v>
      </c>
      <c r="BO68" t="s">
        <v>74</v>
      </c>
      <c r="BP68" t="s">
        <v>74</v>
      </c>
      <c r="BQ68" t="s">
        <v>74</v>
      </c>
      <c r="BR68" t="s">
        <v>106</v>
      </c>
      <c r="BS68" t="s">
        <v>1231</v>
      </c>
      <c r="BT68" t="str">
        <f>HYPERLINK("https%3A%2F%2Fwww.webofscience.com%2Fwos%2Fwoscc%2Ffull-record%2FWOS:000463539800001","View Full Record in Web of Science")</f>
        <v>View Full Record in Web of Science</v>
      </c>
    </row>
    <row r="69" spans="1:72" x14ac:dyDescent="0.25">
      <c r="A69" t="s">
        <v>72</v>
      </c>
      <c r="B69" t="s">
        <v>1232</v>
      </c>
      <c r="C69" t="s">
        <v>74</v>
      </c>
      <c r="D69" t="s">
        <v>74</v>
      </c>
      <c r="E69" t="s">
        <v>74</v>
      </c>
      <c r="F69" t="s">
        <v>1233</v>
      </c>
      <c r="G69" t="s">
        <v>74</v>
      </c>
      <c r="H69" t="s">
        <v>74</v>
      </c>
      <c r="I69" t="s">
        <v>1234</v>
      </c>
      <c r="J69" t="s">
        <v>77</v>
      </c>
      <c r="K69" t="s">
        <v>74</v>
      </c>
      <c r="L69" t="s">
        <v>74</v>
      </c>
      <c r="M69" t="s">
        <v>78</v>
      </c>
      <c r="N69" t="s">
        <v>79</v>
      </c>
      <c r="O69" t="s">
        <v>74</v>
      </c>
      <c r="P69" t="s">
        <v>74</v>
      </c>
      <c r="Q69" t="s">
        <v>74</v>
      </c>
      <c r="R69" t="s">
        <v>74</v>
      </c>
      <c r="S69" t="s">
        <v>74</v>
      </c>
      <c r="T69" t="s">
        <v>1235</v>
      </c>
      <c r="U69" t="s">
        <v>1236</v>
      </c>
      <c r="V69" t="s">
        <v>1237</v>
      </c>
      <c r="W69" t="s">
        <v>1238</v>
      </c>
      <c r="X69" t="s">
        <v>1239</v>
      </c>
      <c r="Y69" t="s">
        <v>243</v>
      </c>
      <c r="Z69" t="s">
        <v>244</v>
      </c>
      <c r="AA69" t="s">
        <v>1240</v>
      </c>
      <c r="AB69" t="s">
        <v>1241</v>
      </c>
      <c r="AC69" t="s">
        <v>247</v>
      </c>
      <c r="AD69" t="s">
        <v>248</v>
      </c>
      <c r="AE69" t="s">
        <v>249</v>
      </c>
      <c r="AF69" t="s">
        <v>74</v>
      </c>
      <c r="AG69">
        <v>63</v>
      </c>
      <c r="AH69">
        <v>15</v>
      </c>
      <c r="AI69">
        <v>15</v>
      </c>
      <c r="AJ69">
        <v>2</v>
      </c>
      <c r="AK69">
        <v>9</v>
      </c>
      <c r="AL69" t="s">
        <v>92</v>
      </c>
      <c r="AM69" t="s">
        <v>93</v>
      </c>
      <c r="AN69" t="s">
        <v>94</v>
      </c>
      <c r="AO69" t="s">
        <v>95</v>
      </c>
      <c r="AP69" t="s">
        <v>96</v>
      </c>
      <c r="AQ69" t="s">
        <v>74</v>
      </c>
      <c r="AR69" t="s">
        <v>97</v>
      </c>
      <c r="AS69" t="s">
        <v>98</v>
      </c>
      <c r="AT69" t="s">
        <v>436</v>
      </c>
      <c r="AU69">
        <v>2019</v>
      </c>
      <c r="AV69">
        <v>64</v>
      </c>
      <c r="AW69">
        <v>6</v>
      </c>
      <c r="AX69" t="s">
        <v>74</v>
      </c>
      <c r="AY69" t="s">
        <v>74</v>
      </c>
      <c r="AZ69" t="s">
        <v>74</v>
      </c>
      <c r="BA69" t="s">
        <v>74</v>
      </c>
      <c r="BB69" t="s">
        <v>74</v>
      </c>
      <c r="BC69" t="s">
        <v>74</v>
      </c>
      <c r="BD69">
        <v>65014</v>
      </c>
      <c r="BE69" t="s">
        <v>1242</v>
      </c>
      <c r="BF69" t="str">
        <f>HYPERLINK("http://dx.doi.org/10.1088/1361-6560/ab0516","http://dx.doi.org/10.1088/1361-6560/ab0516")</f>
        <v>http://dx.doi.org/10.1088/1361-6560/ab0516</v>
      </c>
      <c r="BG69" t="s">
        <v>74</v>
      </c>
      <c r="BH69" t="s">
        <v>74</v>
      </c>
      <c r="BI69">
        <v>18</v>
      </c>
      <c r="BJ69" t="s">
        <v>101</v>
      </c>
      <c r="BK69" t="s">
        <v>102</v>
      </c>
      <c r="BL69" t="s">
        <v>103</v>
      </c>
      <c r="BM69" t="s">
        <v>1243</v>
      </c>
      <c r="BN69">
        <v>30731439</v>
      </c>
      <c r="BO69" t="s">
        <v>74</v>
      </c>
      <c r="BP69" t="s">
        <v>74</v>
      </c>
      <c r="BQ69" t="s">
        <v>74</v>
      </c>
      <c r="BR69" t="s">
        <v>106</v>
      </c>
      <c r="BS69" t="s">
        <v>1244</v>
      </c>
      <c r="BT69" t="str">
        <f>HYPERLINK("https%3A%2F%2Fwww.webofscience.com%2Fwos%2Fwoscc%2Ffull-record%2FWOS:000461207800001","View Full Record in Web of Science")</f>
        <v>View Full Record in Web of Science</v>
      </c>
    </row>
    <row r="70" spans="1:72" x14ac:dyDescent="0.25">
      <c r="A70" t="s">
        <v>72</v>
      </c>
      <c r="B70" t="s">
        <v>1245</v>
      </c>
      <c r="C70" t="s">
        <v>74</v>
      </c>
      <c r="D70" t="s">
        <v>74</v>
      </c>
      <c r="E70" t="s">
        <v>74</v>
      </c>
      <c r="F70" t="s">
        <v>1246</v>
      </c>
      <c r="G70" t="s">
        <v>74</v>
      </c>
      <c r="H70" t="s">
        <v>74</v>
      </c>
      <c r="I70" t="s">
        <v>1247</v>
      </c>
      <c r="J70" t="s">
        <v>77</v>
      </c>
      <c r="K70" t="s">
        <v>74</v>
      </c>
      <c r="L70" t="s">
        <v>74</v>
      </c>
      <c r="M70" t="s">
        <v>78</v>
      </c>
      <c r="N70" t="s">
        <v>79</v>
      </c>
      <c r="O70" t="s">
        <v>74</v>
      </c>
      <c r="P70" t="s">
        <v>74</v>
      </c>
      <c r="Q70" t="s">
        <v>74</v>
      </c>
      <c r="R70" t="s">
        <v>74</v>
      </c>
      <c r="S70" t="s">
        <v>74</v>
      </c>
      <c r="T70" t="s">
        <v>1248</v>
      </c>
      <c r="U70" t="s">
        <v>1249</v>
      </c>
      <c r="V70" t="s">
        <v>1250</v>
      </c>
      <c r="W70" t="s">
        <v>1251</v>
      </c>
      <c r="X70" t="s">
        <v>1252</v>
      </c>
      <c r="Y70" t="s">
        <v>1253</v>
      </c>
      <c r="Z70" t="s">
        <v>1254</v>
      </c>
      <c r="AA70" t="s">
        <v>1255</v>
      </c>
      <c r="AB70" t="s">
        <v>1256</v>
      </c>
      <c r="AC70" t="s">
        <v>1257</v>
      </c>
      <c r="AD70" t="s">
        <v>1258</v>
      </c>
      <c r="AE70" t="s">
        <v>1259</v>
      </c>
      <c r="AF70" t="s">
        <v>74</v>
      </c>
      <c r="AG70">
        <v>40</v>
      </c>
      <c r="AH70">
        <v>16</v>
      </c>
      <c r="AI70">
        <v>16</v>
      </c>
      <c r="AJ70">
        <v>0</v>
      </c>
      <c r="AK70">
        <v>7</v>
      </c>
      <c r="AL70" t="s">
        <v>157</v>
      </c>
      <c r="AM70" t="s">
        <v>93</v>
      </c>
      <c r="AN70" t="s">
        <v>94</v>
      </c>
      <c r="AO70" t="s">
        <v>95</v>
      </c>
      <c r="AP70" t="s">
        <v>96</v>
      </c>
      <c r="AQ70" t="s">
        <v>74</v>
      </c>
      <c r="AR70" t="s">
        <v>97</v>
      </c>
      <c r="AS70" t="s">
        <v>98</v>
      </c>
      <c r="AT70" t="s">
        <v>646</v>
      </c>
      <c r="AU70">
        <v>2019</v>
      </c>
      <c r="AV70">
        <v>64</v>
      </c>
      <c r="AW70">
        <v>3</v>
      </c>
      <c r="AX70" t="s">
        <v>74</v>
      </c>
      <c r="AY70" t="s">
        <v>74</v>
      </c>
      <c r="AZ70" t="s">
        <v>74</v>
      </c>
      <c r="BA70" t="s">
        <v>74</v>
      </c>
      <c r="BB70" t="s">
        <v>74</v>
      </c>
      <c r="BC70" t="s">
        <v>74</v>
      </c>
      <c r="BD70">
        <v>35013</v>
      </c>
      <c r="BE70" t="s">
        <v>1260</v>
      </c>
      <c r="BF70" t="str">
        <f>HYPERLINK("http://dx.doi.org/10.1088/1361-6560/aaf975","http://dx.doi.org/10.1088/1361-6560/aaf975")</f>
        <v>http://dx.doi.org/10.1088/1361-6560/aaf975</v>
      </c>
      <c r="BG70" t="s">
        <v>74</v>
      </c>
      <c r="BH70" t="s">
        <v>74</v>
      </c>
      <c r="BI70">
        <v>12</v>
      </c>
      <c r="BJ70" t="s">
        <v>101</v>
      </c>
      <c r="BK70" t="s">
        <v>102</v>
      </c>
      <c r="BL70" t="s">
        <v>103</v>
      </c>
      <c r="BM70" t="s">
        <v>1261</v>
      </c>
      <c r="BN70">
        <v>30561378</v>
      </c>
      <c r="BO70" t="s">
        <v>759</v>
      </c>
      <c r="BP70" t="s">
        <v>74</v>
      </c>
      <c r="BQ70" t="s">
        <v>74</v>
      </c>
      <c r="BR70" t="s">
        <v>106</v>
      </c>
      <c r="BS70" t="s">
        <v>1262</v>
      </c>
      <c r="BT70" t="str">
        <f>HYPERLINK("https%3A%2F%2Fwww.webofscience.com%2Fwos%2Fwoscc%2Ffull-record%2FWOS:000457182500002","View Full Record in Web of Science")</f>
        <v>View Full Record in Web of Science</v>
      </c>
    </row>
    <row r="71" spans="1:72" x14ac:dyDescent="0.25">
      <c r="A71" t="s">
        <v>72</v>
      </c>
      <c r="B71" t="s">
        <v>1263</v>
      </c>
      <c r="C71" t="s">
        <v>74</v>
      </c>
      <c r="D71" t="s">
        <v>74</v>
      </c>
      <c r="E71" t="s">
        <v>74</v>
      </c>
      <c r="F71" t="s">
        <v>1264</v>
      </c>
      <c r="G71" t="s">
        <v>74</v>
      </c>
      <c r="H71" t="s">
        <v>74</v>
      </c>
      <c r="I71" t="s">
        <v>1265</v>
      </c>
      <c r="J71" t="s">
        <v>77</v>
      </c>
      <c r="K71" t="s">
        <v>74</v>
      </c>
      <c r="L71" t="s">
        <v>74</v>
      </c>
      <c r="M71" t="s">
        <v>78</v>
      </c>
      <c r="N71" t="s">
        <v>79</v>
      </c>
      <c r="O71" t="s">
        <v>74</v>
      </c>
      <c r="P71" t="s">
        <v>74</v>
      </c>
      <c r="Q71" t="s">
        <v>74</v>
      </c>
      <c r="R71" t="s">
        <v>74</v>
      </c>
      <c r="S71" t="s">
        <v>74</v>
      </c>
      <c r="T71" t="s">
        <v>1266</v>
      </c>
      <c r="U71" t="s">
        <v>1267</v>
      </c>
      <c r="V71" t="s">
        <v>1268</v>
      </c>
      <c r="W71" t="s">
        <v>1269</v>
      </c>
      <c r="X71" t="s">
        <v>1270</v>
      </c>
      <c r="Y71" t="s">
        <v>1271</v>
      </c>
      <c r="Z71" t="s">
        <v>1272</v>
      </c>
      <c r="AA71" t="s">
        <v>74</v>
      </c>
      <c r="AB71" t="s">
        <v>1273</v>
      </c>
      <c r="AC71" t="s">
        <v>1274</v>
      </c>
      <c r="AD71" t="s">
        <v>1275</v>
      </c>
      <c r="AE71" t="s">
        <v>1276</v>
      </c>
      <c r="AF71" t="s">
        <v>74</v>
      </c>
      <c r="AG71">
        <v>72</v>
      </c>
      <c r="AH71">
        <v>6</v>
      </c>
      <c r="AI71">
        <v>8</v>
      </c>
      <c r="AJ71">
        <v>1</v>
      </c>
      <c r="AK71">
        <v>18</v>
      </c>
      <c r="AL71" t="s">
        <v>157</v>
      </c>
      <c r="AM71" t="s">
        <v>93</v>
      </c>
      <c r="AN71" t="s">
        <v>94</v>
      </c>
      <c r="AO71" t="s">
        <v>95</v>
      </c>
      <c r="AP71" t="s">
        <v>96</v>
      </c>
      <c r="AQ71" t="s">
        <v>74</v>
      </c>
      <c r="AR71" t="s">
        <v>97</v>
      </c>
      <c r="AS71" t="s">
        <v>98</v>
      </c>
      <c r="AT71" t="s">
        <v>646</v>
      </c>
      <c r="AU71">
        <v>2019</v>
      </c>
      <c r="AV71">
        <v>64</v>
      </c>
      <c r="AW71">
        <v>4</v>
      </c>
      <c r="AX71" t="s">
        <v>74</v>
      </c>
      <c r="AY71" t="s">
        <v>74</v>
      </c>
      <c r="AZ71" t="s">
        <v>74</v>
      </c>
      <c r="BA71" t="s">
        <v>74</v>
      </c>
      <c r="BB71" t="s">
        <v>74</v>
      </c>
      <c r="BC71" t="s">
        <v>74</v>
      </c>
      <c r="BD71">
        <v>45013</v>
      </c>
      <c r="BE71" t="s">
        <v>1277</v>
      </c>
      <c r="BF71" t="str">
        <f>HYPERLINK("http://dx.doi.org/10.1088/1361-6560/aaff81","http://dx.doi.org/10.1088/1361-6560/aaff81")</f>
        <v>http://dx.doi.org/10.1088/1361-6560/aaff81</v>
      </c>
      <c r="BG71" t="s">
        <v>74</v>
      </c>
      <c r="BH71" t="s">
        <v>74</v>
      </c>
      <c r="BI71">
        <v>13</v>
      </c>
      <c r="BJ71" t="s">
        <v>101</v>
      </c>
      <c r="BK71" t="s">
        <v>102</v>
      </c>
      <c r="BL71" t="s">
        <v>103</v>
      </c>
      <c r="BM71" t="s">
        <v>906</v>
      </c>
      <c r="BN71">
        <v>30654346</v>
      </c>
      <c r="BO71" t="s">
        <v>105</v>
      </c>
      <c r="BP71" t="s">
        <v>74</v>
      </c>
      <c r="BQ71" t="s">
        <v>74</v>
      </c>
      <c r="BR71" t="s">
        <v>106</v>
      </c>
      <c r="BS71" t="s">
        <v>1278</v>
      </c>
      <c r="BT71" t="str">
        <f>HYPERLINK("https%3A%2F%2Fwww.webofscience.com%2Fwos%2Fwoscc%2Ffull-record%2FWOS:000459135900001","View Full Record in Web of Science")</f>
        <v>View Full Record in Web of Science</v>
      </c>
    </row>
    <row r="72" spans="1:72" x14ac:dyDescent="0.25">
      <c r="A72" t="s">
        <v>72</v>
      </c>
      <c r="B72" t="s">
        <v>1279</v>
      </c>
      <c r="C72" t="s">
        <v>74</v>
      </c>
      <c r="D72" t="s">
        <v>74</v>
      </c>
      <c r="E72" t="s">
        <v>74</v>
      </c>
      <c r="F72" t="s">
        <v>1280</v>
      </c>
      <c r="G72" t="s">
        <v>74</v>
      </c>
      <c r="H72" t="s">
        <v>74</v>
      </c>
      <c r="I72" t="s">
        <v>1281</v>
      </c>
      <c r="J72" t="s">
        <v>77</v>
      </c>
      <c r="K72" t="s">
        <v>74</v>
      </c>
      <c r="L72" t="s">
        <v>74</v>
      </c>
      <c r="M72" t="s">
        <v>78</v>
      </c>
      <c r="N72" t="s">
        <v>79</v>
      </c>
      <c r="O72" t="s">
        <v>74</v>
      </c>
      <c r="P72" t="s">
        <v>74</v>
      </c>
      <c r="Q72" t="s">
        <v>74</v>
      </c>
      <c r="R72" t="s">
        <v>74</v>
      </c>
      <c r="S72" t="s">
        <v>74</v>
      </c>
      <c r="T72" t="s">
        <v>1282</v>
      </c>
      <c r="U72" t="s">
        <v>1283</v>
      </c>
      <c r="V72" t="s">
        <v>1284</v>
      </c>
      <c r="W72" t="s">
        <v>1285</v>
      </c>
      <c r="X72" t="s">
        <v>1286</v>
      </c>
      <c r="Y72" t="s">
        <v>1287</v>
      </c>
      <c r="Z72" t="s">
        <v>1288</v>
      </c>
      <c r="AA72" t="s">
        <v>1289</v>
      </c>
      <c r="AB72" t="s">
        <v>1290</v>
      </c>
      <c r="AC72" t="s">
        <v>1291</v>
      </c>
      <c r="AD72" t="s">
        <v>1292</v>
      </c>
      <c r="AE72" t="s">
        <v>1293</v>
      </c>
      <c r="AF72" t="s">
        <v>74</v>
      </c>
      <c r="AG72">
        <v>32</v>
      </c>
      <c r="AH72">
        <v>46</v>
      </c>
      <c r="AI72">
        <v>47</v>
      </c>
      <c r="AJ72">
        <v>1</v>
      </c>
      <c r="AK72">
        <v>15</v>
      </c>
      <c r="AL72" t="s">
        <v>157</v>
      </c>
      <c r="AM72" t="s">
        <v>93</v>
      </c>
      <c r="AN72" t="s">
        <v>94</v>
      </c>
      <c r="AO72" t="s">
        <v>95</v>
      </c>
      <c r="AP72" t="s">
        <v>96</v>
      </c>
      <c r="AQ72" t="s">
        <v>74</v>
      </c>
      <c r="AR72" t="s">
        <v>97</v>
      </c>
      <c r="AS72" t="s">
        <v>98</v>
      </c>
      <c r="AT72" t="s">
        <v>646</v>
      </c>
      <c r="AU72">
        <v>2019</v>
      </c>
      <c r="AV72">
        <v>64</v>
      </c>
      <c r="AW72">
        <v>4</v>
      </c>
      <c r="AX72" t="s">
        <v>74</v>
      </c>
      <c r="AY72" t="s">
        <v>74</v>
      </c>
      <c r="AZ72" t="s">
        <v>74</v>
      </c>
      <c r="BA72" t="s">
        <v>74</v>
      </c>
      <c r="BB72" t="s">
        <v>74</v>
      </c>
      <c r="BC72" t="s">
        <v>74</v>
      </c>
      <c r="BD72" t="s">
        <v>1294</v>
      </c>
      <c r="BE72" t="s">
        <v>1295</v>
      </c>
      <c r="BF72" t="str">
        <f>HYPERLINK("http://dx.doi.org/10.1088/1361-6560/aafd5f","http://dx.doi.org/10.1088/1361-6560/aafd5f")</f>
        <v>http://dx.doi.org/10.1088/1361-6560/aafd5f</v>
      </c>
      <c r="BG72" t="s">
        <v>74</v>
      </c>
      <c r="BH72" t="s">
        <v>74</v>
      </c>
      <c r="BI72">
        <v>13</v>
      </c>
      <c r="BJ72" t="s">
        <v>101</v>
      </c>
      <c r="BK72" t="s">
        <v>102</v>
      </c>
      <c r="BL72" t="s">
        <v>103</v>
      </c>
      <c r="BM72" t="s">
        <v>1296</v>
      </c>
      <c r="BN72">
        <v>30630152</v>
      </c>
      <c r="BO72" t="s">
        <v>140</v>
      </c>
      <c r="BP72" t="s">
        <v>74</v>
      </c>
      <c r="BQ72" t="s">
        <v>74</v>
      </c>
      <c r="BR72" t="s">
        <v>106</v>
      </c>
      <c r="BS72" t="s">
        <v>1297</v>
      </c>
      <c r="BT72" t="str">
        <f>HYPERLINK("https%3A%2F%2Fwww.webofscience.com%2Fwos%2Fwoscc%2Ffull-record%2FWOS:000458375600001","View Full Record in Web of Science")</f>
        <v>View Full Record in Web of Science</v>
      </c>
    </row>
    <row r="73" spans="1:72" x14ac:dyDescent="0.25">
      <c r="A73" t="s">
        <v>72</v>
      </c>
      <c r="B73" t="s">
        <v>1298</v>
      </c>
      <c r="C73" t="s">
        <v>74</v>
      </c>
      <c r="D73" t="s">
        <v>74</v>
      </c>
      <c r="E73" t="s">
        <v>74</v>
      </c>
      <c r="F73" t="s">
        <v>1299</v>
      </c>
      <c r="G73" t="s">
        <v>74</v>
      </c>
      <c r="H73" t="s">
        <v>74</v>
      </c>
      <c r="I73" t="s">
        <v>1300</v>
      </c>
      <c r="J73" t="s">
        <v>77</v>
      </c>
      <c r="K73" t="s">
        <v>74</v>
      </c>
      <c r="L73" t="s">
        <v>74</v>
      </c>
      <c r="M73" t="s">
        <v>78</v>
      </c>
      <c r="N73" t="s">
        <v>79</v>
      </c>
      <c r="O73" t="s">
        <v>74</v>
      </c>
      <c r="P73" t="s">
        <v>74</v>
      </c>
      <c r="Q73" t="s">
        <v>74</v>
      </c>
      <c r="R73" t="s">
        <v>74</v>
      </c>
      <c r="S73" t="s">
        <v>74</v>
      </c>
      <c r="T73" t="s">
        <v>1301</v>
      </c>
      <c r="U73" t="s">
        <v>1302</v>
      </c>
      <c r="V73" t="s">
        <v>1303</v>
      </c>
      <c r="W73" t="s">
        <v>1304</v>
      </c>
      <c r="X73" t="s">
        <v>1305</v>
      </c>
      <c r="Y73" t="s">
        <v>1306</v>
      </c>
      <c r="Z73" t="s">
        <v>1307</v>
      </c>
      <c r="AA73" t="s">
        <v>1308</v>
      </c>
      <c r="AB73" t="s">
        <v>74</v>
      </c>
      <c r="AC73" t="s">
        <v>1309</v>
      </c>
      <c r="AD73" t="s">
        <v>1310</v>
      </c>
      <c r="AE73" t="s">
        <v>1311</v>
      </c>
      <c r="AF73" t="s">
        <v>74</v>
      </c>
      <c r="AG73">
        <v>55</v>
      </c>
      <c r="AH73">
        <v>15</v>
      </c>
      <c r="AI73">
        <v>16</v>
      </c>
      <c r="AJ73">
        <v>0</v>
      </c>
      <c r="AK73">
        <v>18</v>
      </c>
      <c r="AL73" t="s">
        <v>92</v>
      </c>
      <c r="AM73" t="s">
        <v>93</v>
      </c>
      <c r="AN73" t="s">
        <v>94</v>
      </c>
      <c r="AO73" t="s">
        <v>95</v>
      </c>
      <c r="AP73" t="s">
        <v>96</v>
      </c>
      <c r="AQ73" t="s">
        <v>74</v>
      </c>
      <c r="AR73" t="s">
        <v>97</v>
      </c>
      <c r="AS73" t="s">
        <v>98</v>
      </c>
      <c r="AT73" t="s">
        <v>646</v>
      </c>
      <c r="AU73">
        <v>2019</v>
      </c>
      <c r="AV73">
        <v>64</v>
      </c>
      <c r="AW73">
        <v>3</v>
      </c>
      <c r="AX73" t="s">
        <v>74</v>
      </c>
      <c r="AY73" t="s">
        <v>74</v>
      </c>
      <c r="AZ73" t="s">
        <v>74</v>
      </c>
      <c r="BA73" t="s">
        <v>74</v>
      </c>
      <c r="BB73" t="s">
        <v>74</v>
      </c>
      <c r="BC73" t="s">
        <v>74</v>
      </c>
      <c r="BD73">
        <v>35018</v>
      </c>
      <c r="BE73" t="s">
        <v>1312</v>
      </c>
      <c r="BF73" t="str">
        <f>HYPERLINK("http://dx.doi.org/10.1088/1361-6560/aafa99","http://dx.doi.org/10.1088/1361-6560/aafa99")</f>
        <v>http://dx.doi.org/10.1088/1361-6560/aafa99</v>
      </c>
      <c r="BG73" t="s">
        <v>74</v>
      </c>
      <c r="BH73" t="s">
        <v>74</v>
      </c>
      <c r="BI73">
        <v>18</v>
      </c>
      <c r="BJ73" t="s">
        <v>101</v>
      </c>
      <c r="BK73" t="s">
        <v>102</v>
      </c>
      <c r="BL73" t="s">
        <v>103</v>
      </c>
      <c r="BM73" t="s">
        <v>889</v>
      </c>
      <c r="BN73">
        <v>30577033</v>
      </c>
      <c r="BO73" t="s">
        <v>74</v>
      </c>
      <c r="BP73" t="s">
        <v>74</v>
      </c>
      <c r="BQ73" t="s">
        <v>74</v>
      </c>
      <c r="BR73" t="s">
        <v>106</v>
      </c>
      <c r="BS73" t="s">
        <v>1313</v>
      </c>
      <c r="BT73" t="str">
        <f>HYPERLINK("https%3A%2F%2Fwww.webofscience.com%2Fwos%2Fwoscc%2Ffull-record%2FWOS:000457439100003","View Full Record in Web of Science")</f>
        <v>View Full Record in Web of Science</v>
      </c>
    </row>
    <row r="74" spans="1:72" x14ac:dyDescent="0.25">
      <c r="A74" t="s">
        <v>72</v>
      </c>
      <c r="B74" t="s">
        <v>1314</v>
      </c>
      <c r="C74" t="s">
        <v>74</v>
      </c>
      <c r="D74" t="s">
        <v>74</v>
      </c>
      <c r="E74" t="s">
        <v>74</v>
      </c>
      <c r="F74" t="s">
        <v>1315</v>
      </c>
      <c r="G74" t="s">
        <v>74</v>
      </c>
      <c r="H74" t="s">
        <v>74</v>
      </c>
      <c r="I74" t="s">
        <v>1316</v>
      </c>
      <c r="J74" t="s">
        <v>77</v>
      </c>
      <c r="K74" t="s">
        <v>74</v>
      </c>
      <c r="L74" t="s">
        <v>74</v>
      </c>
      <c r="M74" t="s">
        <v>78</v>
      </c>
      <c r="N74" t="s">
        <v>79</v>
      </c>
      <c r="O74" t="s">
        <v>74</v>
      </c>
      <c r="P74" t="s">
        <v>74</v>
      </c>
      <c r="Q74" t="s">
        <v>74</v>
      </c>
      <c r="R74" t="s">
        <v>74</v>
      </c>
      <c r="S74" t="s">
        <v>74</v>
      </c>
      <c r="T74" t="s">
        <v>1317</v>
      </c>
      <c r="U74" t="s">
        <v>1318</v>
      </c>
      <c r="V74" t="s">
        <v>1319</v>
      </c>
      <c r="W74" t="s">
        <v>1320</v>
      </c>
      <c r="X74" t="s">
        <v>1321</v>
      </c>
      <c r="Y74" t="s">
        <v>1322</v>
      </c>
      <c r="Z74" t="s">
        <v>1323</v>
      </c>
      <c r="AA74" t="s">
        <v>1324</v>
      </c>
      <c r="AB74" t="s">
        <v>1325</v>
      </c>
      <c r="AC74" t="s">
        <v>1326</v>
      </c>
      <c r="AD74" t="s">
        <v>1326</v>
      </c>
      <c r="AE74" t="s">
        <v>1327</v>
      </c>
      <c r="AF74" t="s">
        <v>74</v>
      </c>
      <c r="AG74">
        <v>34</v>
      </c>
      <c r="AH74">
        <v>16</v>
      </c>
      <c r="AI74">
        <v>17</v>
      </c>
      <c r="AJ74">
        <v>0</v>
      </c>
      <c r="AK74">
        <v>6</v>
      </c>
      <c r="AL74" t="s">
        <v>92</v>
      </c>
      <c r="AM74" t="s">
        <v>93</v>
      </c>
      <c r="AN74" t="s">
        <v>94</v>
      </c>
      <c r="AO74" t="s">
        <v>95</v>
      </c>
      <c r="AP74" t="s">
        <v>96</v>
      </c>
      <c r="AQ74" t="s">
        <v>74</v>
      </c>
      <c r="AR74" t="s">
        <v>97</v>
      </c>
      <c r="AS74" t="s">
        <v>98</v>
      </c>
      <c r="AT74" t="s">
        <v>99</v>
      </c>
      <c r="AU74">
        <v>2019</v>
      </c>
      <c r="AV74">
        <v>64</v>
      </c>
      <c r="AW74">
        <v>24</v>
      </c>
      <c r="AX74" t="s">
        <v>74</v>
      </c>
      <c r="AY74" t="s">
        <v>74</v>
      </c>
      <c r="AZ74" t="s">
        <v>74</v>
      </c>
      <c r="BA74" t="s">
        <v>74</v>
      </c>
      <c r="BB74" t="s">
        <v>74</v>
      </c>
      <c r="BC74" t="s">
        <v>74</v>
      </c>
      <c r="BD74">
        <v>245011</v>
      </c>
      <c r="BE74" t="s">
        <v>1328</v>
      </c>
      <c r="BF74" t="str">
        <f>HYPERLINK("http://dx.doi.org/10.1088/1361-6560/ab5b81","http://dx.doi.org/10.1088/1361-6560/ab5b81")</f>
        <v>http://dx.doi.org/10.1088/1361-6560/ab5b81</v>
      </c>
      <c r="BG74" t="s">
        <v>74</v>
      </c>
      <c r="BH74" t="s">
        <v>74</v>
      </c>
      <c r="BI74">
        <v>20</v>
      </c>
      <c r="BJ74" t="s">
        <v>101</v>
      </c>
      <c r="BK74" t="s">
        <v>102</v>
      </c>
      <c r="BL74" t="s">
        <v>103</v>
      </c>
      <c r="BM74" t="s">
        <v>104</v>
      </c>
      <c r="BN74">
        <v>31766045</v>
      </c>
      <c r="BO74" t="s">
        <v>829</v>
      </c>
      <c r="BP74" t="s">
        <v>74</v>
      </c>
      <c r="BQ74" t="s">
        <v>74</v>
      </c>
      <c r="BR74" t="s">
        <v>106</v>
      </c>
      <c r="BS74" t="s">
        <v>1329</v>
      </c>
      <c r="BT74" t="str">
        <f>HYPERLINK("https%3A%2F%2Fwww.webofscience.com%2Fwos%2Fwoscc%2Ffull-record%2FWOS:000513009900011","View Full Record in Web of Science")</f>
        <v>View Full Record in Web of Science</v>
      </c>
    </row>
    <row r="75" spans="1:72" x14ac:dyDescent="0.25">
      <c r="A75" t="s">
        <v>72</v>
      </c>
      <c r="B75" t="s">
        <v>1330</v>
      </c>
      <c r="C75" t="s">
        <v>74</v>
      </c>
      <c r="D75" t="s">
        <v>74</v>
      </c>
      <c r="E75" t="s">
        <v>74</v>
      </c>
      <c r="F75" t="s">
        <v>1331</v>
      </c>
      <c r="G75" t="s">
        <v>74</v>
      </c>
      <c r="H75" t="s">
        <v>74</v>
      </c>
      <c r="I75" t="s">
        <v>1332</v>
      </c>
      <c r="J75" t="s">
        <v>77</v>
      </c>
      <c r="K75" t="s">
        <v>74</v>
      </c>
      <c r="L75" t="s">
        <v>74</v>
      </c>
      <c r="M75" t="s">
        <v>78</v>
      </c>
      <c r="N75" t="s">
        <v>79</v>
      </c>
      <c r="O75" t="s">
        <v>74</v>
      </c>
      <c r="P75" t="s">
        <v>74</v>
      </c>
      <c r="Q75" t="s">
        <v>74</v>
      </c>
      <c r="R75" t="s">
        <v>74</v>
      </c>
      <c r="S75" t="s">
        <v>74</v>
      </c>
      <c r="T75" t="s">
        <v>1333</v>
      </c>
      <c r="U75" t="s">
        <v>1334</v>
      </c>
      <c r="V75" t="s">
        <v>1335</v>
      </c>
      <c r="W75" t="s">
        <v>1336</v>
      </c>
      <c r="X75" t="s">
        <v>1337</v>
      </c>
      <c r="Y75" t="s">
        <v>1338</v>
      </c>
      <c r="Z75" t="s">
        <v>1339</v>
      </c>
      <c r="AA75" t="s">
        <v>1340</v>
      </c>
      <c r="AB75" t="s">
        <v>1341</v>
      </c>
      <c r="AC75" t="s">
        <v>74</v>
      </c>
      <c r="AD75" t="s">
        <v>74</v>
      </c>
      <c r="AE75" t="s">
        <v>74</v>
      </c>
      <c r="AF75" t="s">
        <v>74</v>
      </c>
      <c r="AG75">
        <v>20</v>
      </c>
      <c r="AH75">
        <v>3</v>
      </c>
      <c r="AI75">
        <v>3</v>
      </c>
      <c r="AJ75">
        <v>0</v>
      </c>
      <c r="AK75">
        <v>2</v>
      </c>
      <c r="AL75" t="s">
        <v>92</v>
      </c>
      <c r="AM75" t="s">
        <v>93</v>
      </c>
      <c r="AN75" t="s">
        <v>94</v>
      </c>
      <c r="AO75" t="s">
        <v>95</v>
      </c>
      <c r="AP75" t="s">
        <v>96</v>
      </c>
      <c r="AQ75" t="s">
        <v>74</v>
      </c>
      <c r="AR75" t="s">
        <v>97</v>
      </c>
      <c r="AS75" t="s">
        <v>98</v>
      </c>
      <c r="AT75" t="s">
        <v>99</v>
      </c>
      <c r="AU75">
        <v>2019</v>
      </c>
      <c r="AV75">
        <v>64</v>
      </c>
      <c r="AW75">
        <v>23</v>
      </c>
      <c r="AX75" t="s">
        <v>74</v>
      </c>
      <c r="AY75" t="s">
        <v>74</v>
      </c>
      <c r="AZ75" t="s">
        <v>74</v>
      </c>
      <c r="BA75" t="s">
        <v>74</v>
      </c>
      <c r="BB75" t="s">
        <v>74</v>
      </c>
      <c r="BC75" t="s">
        <v>74</v>
      </c>
      <c r="BD75">
        <v>235009</v>
      </c>
      <c r="BE75" t="s">
        <v>1342</v>
      </c>
      <c r="BF75" t="str">
        <f>HYPERLINK("http://dx.doi.org/10.1088/1361-6560/ab5518","http://dx.doi.org/10.1088/1361-6560/ab5518")</f>
        <v>http://dx.doi.org/10.1088/1361-6560/ab5518</v>
      </c>
      <c r="BG75" t="s">
        <v>74</v>
      </c>
      <c r="BH75" t="s">
        <v>74</v>
      </c>
      <c r="BI75">
        <v>10</v>
      </c>
      <c r="BJ75" t="s">
        <v>101</v>
      </c>
      <c r="BK75" t="s">
        <v>102</v>
      </c>
      <c r="BL75" t="s">
        <v>103</v>
      </c>
      <c r="BM75" t="s">
        <v>1343</v>
      </c>
      <c r="BN75">
        <v>31694006</v>
      </c>
      <c r="BO75" t="s">
        <v>74</v>
      </c>
      <c r="BP75" t="s">
        <v>74</v>
      </c>
      <c r="BQ75" t="s">
        <v>74</v>
      </c>
      <c r="BR75" t="s">
        <v>106</v>
      </c>
      <c r="BS75" t="s">
        <v>1344</v>
      </c>
      <c r="BT75" t="str">
        <f>HYPERLINK("https%3A%2F%2Fwww.webofscience.com%2Fwos%2Fwoscc%2Ffull-record%2FWOS:000518764900003","View Full Record in Web of Science")</f>
        <v>View Full Record in Web of Science</v>
      </c>
    </row>
    <row r="76" spans="1:72" x14ac:dyDescent="0.25">
      <c r="A76" t="s">
        <v>72</v>
      </c>
      <c r="B76" t="s">
        <v>1345</v>
      </c>
      <c r="C76" t="s">
        <v>74</v>
      </c>
      <c r="D76" t="s">
        <v>74</v>
      </c>
      <c r="E76" t="s">
        <v>74</v>
      </c>
      <c r="F76" t="s">
        <v>1346</v>
      </c>
      <c r="G76" t="s">
        <v>74</v>
      </c>
      <c r="H76" t="s">
        <v>74</v>
      </c>
      <c r="I76" t="s">
        <v>1347</v>
      </c>
      <c r="J76" t="s">
        <v>77</v>
      </c>
      <c r="K76" t="s">
        <v>74</v>
      </c>
      <c r="L76" t="s">
        <v>74</v>
      </c>
      <c r="M76" t="s">
        <v>78</v>
      </c>
      <c r="N76" t="s">
        <v>79</v>
      </c>
      <c r="O76" t="s">
        <v>74</v>
      </c>
      <c r="P76" t="s">
        <v>74</v>
      </c>
      <c r="Q76" t="s">
        <v>74</v>
      </c>
      <c r="R76" t="s">
        <v>74</v>
      </c>
      <c r="S76" t="s">
        <v>74</v>
      </c>
      <c r="T76" t="s">
        <v>1348</v>
      </c>
      <c r="U76" t="s">
        <v>1349</v>
      </c>
      <c r="V76" t="s">
        <v>1350</v>
      </c>
      <c r="W76" t="s">
        <v>1351</v>
      </c>
      <c r="X76" t="s">
        <v>1352</v>
      </c>
      <c r="Y76" t="s">
        <v>1353</v>
      </c>
      <c r="Z76" t="s">
        <v>1354</v>
      </c>
      <c r="AA76" t="s">
        <v>74</v>
      </c>
      <c r="AB76" t="s">
        <v>1355</v>
      </c>
      <c r="AC76" t="s">
        <v>74</v>
      </c>
      <c r="AD76" t="s">
        <v>74</v>
      </c>
      <c r="AE76" t="s">
        <v>74</v>
      </c>
      <c r="AF76" t="s">
        <v>74</v>
      </c>
      <c r="AG76">
        <v>50</v>
      </c>
      <c r="AH76">
        <v>8</v>
      </c>
      <c r="AI76">
        <v>8</v>
      </c>
      <c r="AJ76">
        <v>0</v>
      </c>
      <c r="AK76">
        <v>5</v>
      </c>
      <c r="AL76" t="s">
        <v>157</v>
      </c>
      <c r="AM76" t="s">
        <v>93</v>
      </c>
      <c r="AN76" t="s">
        <v>94</v>
      </c>
      <c r="AO76" t="s">
        <v>95</v>
      </c>
      <c r="AP76" t="s">
        <v>96</v>
      </c>
      <c r="AQ76" t="s">
        <v>74</v>
      </c>
      <c r="AR76" t="s">
        <v>97</v>
      </c>
      <c r="AS76" t="s">
        <v>98</v>
      </c>
      <c r="AT76" t="s">
        <v>509</v>
      </c>
      <c r="AU76">
        <v>2019</v>
      </c>
      <c r="AV76">
        <v>64</v>
      </c>
      <c r="AW76">
        <v>19</v>
      </c>
      <c r="AX76" t="s">
        <v>74</v>
      </c>
      <c r="AY76" t="s">
        <v>74</v>
      </c>
      <c r="AZ76" t="s">
        <v>74</v>
      </c>
      <c r="BA76" t="s">
        <v>74</v>
      </c>
      <c r="BB76" t="s">
        <v>74</v>
      </c>
      <c r="BC76" t="s">
        <v>74</v>
      </c>
      <c r="BD76">
        <v>195008</v>
      </c>
      <c r="BE76" t="s">
        <v>1356</v>
      </c>
      <c r="BF76" t="str">
        <f>HYPERLINK("http://dx.doi.org/10.1088/1361-6560/ab38e5","http://dx.doi.org/10.1088/1361-6560/ab38e5")</f>
        <v>http://dx.doi.org/10.1088/1361-6560/ab38e5</v>
      </c>
      <c r="BG76" t="s">
        <v>74</v>
      </c>
      <c r="BH76" t="s">
        <v>74</v>
      </c>
      <c r="BI76">
        <v>15</v>
      </c>
      <c r="BJ76" t="s">
        <v>101</v>
      </c>
      <c r="BK76" t="s">
        <v>102</v>
      </c>
      <c r="BL76" t="s">
        <v>103</v>
      </c>
      <c r="BM76" t="s">
        <v>723</v>
      </c>
      <c r="BN76">
        <v>31387085</v>
      </c>
      <c r="BO76" t="s">
        <v>74</v>
      </c>
      <c r="BP76" t="s">
        <v>74</v>
      </c>
      <c r="BQ76" t="s">
        <v>74</v>
      </c>
      <c r="BR76" t="s">
        <v>106</v>
      </c>
      <c r="BS76" t="s">
        <v>1357</v>
      </c>
      <c r="BT76" t="str">
        <f>HYPERLINK("https%3A%2F%2Fwww.webofscience.com%2Fwos%2Fwoscc%2Ffull-record%2FWOS:000505953700002","View Full Record in Web of Science")</f>
        <v>View Full Record in Web of Science</v>
      </c>
    </row>
    <row r="77" spans="1:72" x14ac:dyDescent="0.25">
      <c r="A77" t="s">
        <v>72</v>
      </c>
      <c r="B77" t="s">
        <v>1358</v>
      </c>
      <c r="C77" t="s">
        <v>74</v>
      </c>
      <c r="D77" t="s">
        <v>74</v>
      </c>
      <c r="E77" t="s">
        <v>74</v>
      </c>
      <c r="F77" t="s">
        <v>1359</v>
      </c>
      <c r="G77" t="s">
        <v>74</v>
      </c>
      <c r="H77" t="s">
        <v>74</v>
      </c>
      <c r="I77" t="s">
        <v>1360</v>
      </c>
      <c r="J77" t="s">
        <v>77</v>
      </c>
      <c r="K77" t="s">
        <v>74</v>
      </c>
      <c r="L77" t="s">
        <v>74</v>
      </c>
      <c r="M77" t="s">
        <v>78</v>
      </c>
      <c r="N77" t="s">
        <v>79</v>
      </c>
      <c r="O77" t="s">
        <v>74</v>
      </c>
      <c r="P77" t="s">
        <v>74</v>
      </c>
      <c r="Q77" t="s">
        <v>74</v>
      </c>
      <c r="R77" t="s">
        <v>74</v>
      </c>
      <c r="S77" t="s">
        <v>74</v>
      </c>
      <c r="T77" t="s">
        <v>1361</v>
      </c>
      <c r="U77" t="s">
        <v>1362</v>
      </c>
      <c r="V77" t="s">
        <v>1363</v>
      </c>
      <c r="W77" t="s">
        <v>1364</v>
      </c>
      <c r="X77" t="s">
        <v>1365</v>
      </c>
      <c r="Y77" t="s">
        <v>1366</v>
      </c>
      <c r="Z77" t="s">
        <v>1367</v>
      </c>
      <c r="AA77" t="s">
        <v>74</v>
      </c>
      <c r="AB77" t="s">
        <v>1368</v>
      </c>
      <c r="AC77" t="s">
        <v>1369</v>
      </c>
      <c r="AD77" t="s">
        <v>607</v>
      </c>
      <c r="AE77" t="s">
        <v>1370</v>
      </c>
      <c r="AF77" t="s">
        <v>74</v>
      </c>
      <c r="AG77">
        <v>25</v>
      </c>
      <c r="AH77">
        <v>50</v>
      </c>
      <c r="AI77">
        <v>51</v>
      </c>
      <c r="AJ77">
        <v>0</v>
      </c>
      <c r="AK77">
        <v>23</v>
      </c>
      <c r="AL77" t="s">
        <v>92</v>
      </c>
      <c r="AM77" t="s">
        <v>93</v>
      </c>
      <c r="AN77" t="s">
        <v>94</v>
      </c>
      <c r="AO77" t="s">
        <v>95</v>
      </c>
      <c r="AP77" t="s">
        <v>96</v>
      </c>
      <c r="AQ77" t="s">
        <v>74</v>
      </c>
      <c r="AR77" t="s">
        <v>97</v>
      </c>
      <c r="AS77" t="s">
        <v>98</v>
      </c>
      <c r="AT77" t="s">
        <v>176</v>
      </c>
      <c r="AU77">
        <v>2019</v>
      </c>
      <c r="AV77">
        <v>64</v>
      </c>
      <c r="AW77">
        <v>17</v>
      </c>
      <c r="AX77" t="s">
        <v>74</v>
      </c>
      <c r="AY77" t="s">
        <v>74</v>
      </c>
      <c r="AZ77" t="s">
        <v>74</v>
      </c>
      <c r="BA77" t="s">
        <v>74</v>
      </c>
      <c r="BB77" t="s">
        <v>74</v>
      </c>
      <c r="BC77" t="s">
        <v>74</v>
      </c>
      <c r="BD77">
        <v>175016</v>
      </c>
      <c r="BE77" t="s">
        <v>1371</v>
      </c>
      <c r="BF77" t="str">
        <f>HYPERLINK("http://dx.doi.org/10.1088/1361-6560/ab31e3","http://dx.doi.org/10.1088/1361-6560/ab31e3")</f>
        <v>http://dx.doi.org/10.1088/1361-6560/ab31e3</v>
      </c>
      <c r="BG77" t="s">
        <v>74</v>
      </c>
      <c r="BH77" t="s">
        <v>74</v>
      </c>
      <c r="BI77">
        <v>8</v>
      </c>
      <c r="BJ77" t="s">
        <v>101</v>
      </c>
      <c r="BK77" t="s">
        <v>102</v>
      </c>
      <c r="BL77" t="s">
        <v>103</v>
      </c>
      <c r="BM77" t="s">
        <v>178</v>
      </c>
      <c r="BN77">
        <v>31300623</v>
      </c>
      <c r="BO77" t="s">
        <v>420</v>
      </c>
      <c r="BP77" t="s">
        <v>74</v>
      </c>
      <c r="BQ77" t="s">
        <v>74</v>
      </c>
      <c r="BR77" t="s">
        <v>106</v>
      </c>
      <c r="BS77" t="s">
        <v>1372</v>
      </c>
      <c r="BT77" t="str">
        <f>HYPERLINK("https%3A%2F%2Fwww.webofscience.com%2Fwos%2Fwoscc%2Ffull-record%2FWOS:000484728400001","View Full Record in Web of Science")</f>
        <v>View Full Record in Web of Science</v>
      </c>
    </row>
    <row r="78" spans="1:72" x14ac:dyDescent="0.25">
      <c r="A78" t="s">
        <v>72</v>
      </c>
      <c r="B78" t="s">
        <v>1373</v>
      </c>
      <c r="C78" t="s">
        <v>74</v>
      </c>
      <c r="D78" t="s">
        <v>74</v>
      </c>
      <c r="E78" t="s">
        <v>74</v>
      </c>
      <c r="F78" t="s">
        <v>1374</v>
      </c>
      <c r="G78" t="s">
        <v>74</v>
      </c>
      <c r="H78" t="s">
        <v>74</v>
      </c>
      <c r="I78" t="s">
        <v>1375</v>
      </c>
      <c r="J78" t="s">
        <v>77</v>
      </c>
      <c r="K78" t="s">
        <v>74</v>
      </c>
      <c r="L78" t="s">
        <v>74</v>
      </c>
      <c r="M78" t="s">
        <v>78</v>
      </c>
      <c r="N78" t="s">
        <v>79</v>
      </c>
      <c r="O78" t="s">
        <v>74</v>
      </c>
      <c r="P78" t="s">
        <v>74</v>
      </c>
      <c r="Q78" t="s">
        <v>74</v>
      </c>
      <c r="R78" t="s">
        <v>74</v>
      </c>
      <c r="S78" t="s">
        <v>74</v>
      </c>
      <c r="T78" t="s">
        <v>1376</v>
      </c>
      <c r="U78" t="s">
        <v>1377</v>
      </c>
      <c r="V78" t="s">
        <v>1378</v>
      </c>
      <c r="W78" t="s">
        <v>1379</v>
      </c>
      <c r="X78" t="s">
        <v>1380</v>
      </c>
      <c r="Y78" t="s">
        <v>1381</v>
      </c>
      <c r="Z78" t="s">
        <v>1382</v>
      </c>
      <c r="AA78" t="s">
        <v>1383</v>
      </c>
      <c r="AB78" t="s">
        <v>1384</v>
      </c>
      <c r="AC78" t="s">
        <v>1385</v>
      </c>
      <c r="AD78" t="s">
        <v>1386</v>
      </c>
      <c r="AE78" t="s">
        <v>1387</v>
      </c>
      <c r="AF78" t="s">
        <v>74</v>
      </c>
      <c r="AG78">
        <v>10</v>
      </c>
      <c r="AH78">
        <v>3</v>
      </c>
      <c r="AI78">
        <v>3</v>
      </c>
      <c r="AJ78">
        <v>0</v>
      </c>
      <c r="AK78">
        <v>2</v>
      </c>
      <c r="AL78" t="s">
        <v>92</v>
      </c>
      <c r="AM78" t="s">
        <v>93</v>
      </c>
      <c r="AN78" t="s">
        <v>94</v>
      </c>
      <c r="AO78" t="s">
        <v>95</v>
      </c>
      <c r="AP78" t="s">
        <v>96</v>
      </c>
      <c r="AQ78" t="s">
        <v>74</v>
      </c>
      <c r="AR78" t="s">
        <v>97</v>
      </c>
      <c r="AS78" t="s">
        <v>98</v>
      </c>
      <c r="AT78" t="s">
        <v>176</v>
      </c>
      <c r="AU78">
        <v>2019</v>
      </c>
      <c r="AV78">
        <v>64</v>
      </c>
      <c r="AW78">
        <v>18</v>
      </c>
      <c r="AX78" t="s">
        <v>74</v>
      </c>
      <c r="AY78" t="s">
        <v>74</v>
      </c>
      <c r="AZ78" t="s">
        <v>74</v>
      </c>
      <c r="BA78" t="s">
        <v>74</v>
      </c>
      <c r="BB78" t="s">
        <v>74</v>
      </c>
      <c r="BC78" t="s">
        <v>74</v>
      </c>
      <c r="BD78" t="s">
        <v>1388</v>
      </c>
      <c r="BE78" t="s">
        <v>1389</v>
      </c>
      <c r="BF78" t="str">
        <f>HYPERLINK("http://dx.doi.org/10.1088/1361-6560/ab3bb9","http://dx.doi.org/10.1088/1361-6560/ab3bb9")</f>
        <v>http://dx.doi.org/10.1088/1361-6560/ab3bb9</v>
      </c>
      <c r="BG78" t="s">
        <v>74</v>
      </c>
      <c r="BH78" t="s">
        <v>74</v>
      </c>
      <c r="BI78">
        <v>7</v>
      </c>
      <c r="BJ78" t="s">
        <v>101</v>
      </c>
      <c r="BK78" t="s">
        <v>102</v>
      </c>
      <c r="BL78" t="s">
        <v>103</v>
      </c>
      <c r="BM78" t="s">
        <v>1390</v>
      </c>
      <c r="BN78">
        <v>31416056</v>
      </c>
      <c r="BO78" t="s">
        <v>420</v>
      </c>
      <c r="BP78" t="s">
        <v>74</v>
      </c>
      <c r="BQ78" t="s">
        <v>74</v>
      </c>
      <c r="BR78" t="s">
        <v>106</v>
      </c>
      <c r="BS78" t="s">
        <v>1391</v>
      </c>
      <c r="BT78" t="str">
        <f>HYPERLINK("https%3A%2F%2Fwww.webofscience.com%2Fwos%2Fwoscc%2Ffull-record%2FWOS:000486373800001","View Full Record in Web of Science")</f>
        <v>View Full Record in Web of Science</v>
      </c>
    </row>
    <row r="79" spans="1:72" x14ac:dyDescent="0.25">
      <c r="A79" t="s">
        <v>72</v>
      </c>
      <c r="B79" t="s">
        <v>1392</v>
      </c>
      <c r="C79" t="s">
        <v>74</v>
      </c>
      <c r="D79" t="s">
        <v>74</v>
      </c>
      <c r="E79" t="s">
        <v>74</v>
      </c>
      <c r="F79" t="s">
        <v>1393</v>
      </c>
      <c r="G79" t="s">
        <v>74</v>
      </c>
      <c r="H79" t="s">
        <v>74</v>
      </c>
      <c r="I79" t="s">
        <v>1394</v>
      </c>
      <c r="J79" t="s">
        <v>77</v>
      </c>
      <c r="K79" t="s">
        <v>74</v>
      </c>
      <c r="L79" t="s">
        <v>74</v>
      </c>
      <c r="M79" t="s">
        <v>78</v>
      </c>
      <c r="N79" t="s">
        <v>79</v>
      </c>
      <c r="O79" t="s">
        <v>74</v>
      </c>
      <c r="P79" t="s">
        <v>74</v>
      </c>
      <c r="Q79" t="s">
        <v>74</v>
      </c>
      <c r="R79" t="s">
        <v>74</v>
      </c>
      <c r="S79" t="s">
        <v>74</v>
      </c>
      <c r="T79" t="s">
        <v>1395</v>
      </c>
      <c r="U79" t="s">
        <v>1396</v>
      </c>
      <c r="V79" t="s">
        <v>1397</v>
      </c>
      <c r="W79" t="s">
        <v>1398</v>
      </c>
      <c r="X79" t="s">
        <v>1399</v>
      </c>
      <c r="Y79" t="s">
        <v>1400</v>
      </c>
      <c r="Z79" t="s">
        <v>1401</v>
      </c>
      <c r="AA79" t="s">
        <v>1402</v>
      </c>
      <c r="AB79" t="s">
        <v>1403</v>
      </c>
      <c r="AC79" t="s">
        <v>1404</v>
      </c>
      <c r="AD79" t="s">
        <v>1405</v>
      </c>
      <c r="AE79" t="s">
        <v>1406</v>
      </c>
      <c r="AF79" t="s">
        <v>74</v>
      </c>
      <c r="AG79">
        <v>22</v>
      </c>
      <c r="AH79">
        <v>1</v>
      </c>
      <c r="AI79">
        <v>1</v>
      </c>
      <c r="AJ79">
        <v>0</v>
      </c>
      <c r="AK79">
        <v>3</v>
      </c>
      <c r="AL79" t="s">
        <v>157</v>
      </c>
      <c r="AM79" t="s">
        <v>93</v>
      </c>
      <c r="AN79" t="s">
        <v>94</v>
      </c>
      <c r="AO79" t="s">
        <v>95</v>
      </c>
      <c r="AP79" t="s">
        <v>96</v>
      </c>
      <c r="AQ79" t="s">
        <v>74</v>
      </c>
      <c r="AR79" t="s">
        <v>97</v>
      </c>
      <c r="AS79" t="s">
        <v>98</v>
      </c>
      <c r="AT79" t="s">
        <v>196</v>
      </c>
      <c r="AU79">
        <v>2019</v>
      </c>
      <c r="AV79">
        <v>64</v>
      </c>
      <c r="AW79">
        <v>16</v>
      </c>
      <c r="AX79" t="s">
        <v>74</v>
      </c>
      <c r="AY79" t="s">
        <v>74</v>
      </c>
      <c r="AZ79" t="s">
        <v>74</v>
      </c>
      <c r="BA79" t="s">
        <v>74</v>
      </c>
      <c r="BB79" t="s">
        <v>74</v>
      </c>
      <c r="BC79" t="s">
        <v>74</v>
      </c>
      <c r="BD79">
        <v>165005</v>
      </c>
      <c r="BE79" t="s">
        <v>1407</v>
      </c>
      <c r="BF79" t="str">
        <f>HYPERLINK("http://dx.doi.org/10.1088/1361-6560/ab2ef5","http://dx.doi.org/10.1088/1361-6560/ab2ef5")</f>
        <v>http://dx.doi.org/10.1088/1361-6560/ab2ef5</v>
      </c>
      <c r="BG79" t="s">
        <v>74</v>
      </c>
      <c r="BH79" t="s">
        <v>74</v>
      </c>
      <c r="BI79">
        <v>9</v>
      </c>
      <c r="BJ79" t="s">
        <v>101</v>
      </c>
      <c r="BK79" t="s">
        <v>102</v>
      </c>
      <c r="BL79" t="s">
        <v>103</v>
      </c>
      <c r="BM79" t="s">
        <v>1076</v>
      </c>
      <c r="BN79">
        <v>31269480</v>
      </c>
      <c r="BO79" t="s">
        <v>74</v>
      </c>
      <c r="BP79" t="s">
        <v>74</v>
      </c>
      <c r="BQ79" t="s">
        <v>74</v>
      </c>
      <c r="BR79" t="s">
        <v>106</v>
      </c>
      <c r="BS79" t="s">
        <v>1408</v>
      </c>
      <c r="BT79" t="str">
        <f>HYPERLINK("https%3A%2F%2Fwww.webofscience.com%2Fwos%2Fwoscc%2Ffull-record%2FWOS:000481852600005","View Full Record in Web of Science")</f>
        <v>View Full Record in Web of Science</v>
      </c>
    </row>
    <row r="80" spans="1:72" x14ac:dyDescent="0.25">
      <c r="A80" t="s">
        <v>72</v>
      </c>
      <c r="B80" t="s">
        <v>1409</v>
      </c>
      <c r="C80" t="s">
        <v>74</v>
      </c>
      <c r="D80" t="s">
        <v>74</v>
      </c>
      <c r="E80" t="s">
        <v>74</v>
      </c>
      <c r="F80" t="s">
        <v>1410</v>
      </c>
      <c r="G80" t="s">
        <v>74</v>
      </c>
      <c r="H80" t="s">
        <v>74</v>
      </c>
      <c r="I80" t="s">
        <v>1411</v>
      </c>
      <c r="J80" t="s">
        <v>77</v>
      </c>
      <c r="K80" t="s">
        <v>74</v>
      </c>
      <c r="L80" t="s">
        <v>74</v>
      </c>
      <c r="M80" t="s">
        <v>78</v>
      </c>
      <c r="N80" t="s">
        <v>79</v>
      </c>
      <c r="O80" t="s">
        <v>74</v>
      </c>
      <c r="P80" t="s">
        <v>74</v>
      </c>
      <c r="Q80" t="s">
        <v>74</v>
      </c>
      <c r="R80" t="s">
        <v>74</v>
      </c>
      <c r="S80" t="s">
        <v>74</v>
      </c>
      <c r="T80" t="s">
        <v>1412</v>
      </c>
      <c r="U80" t="s">
        <v>1413</v>
      </c>
      <c r="V80" t="s">
        <v>1414</v>
      </c>
      <c r="W80" t="s">
        <v>1415</v>
      </c>
      <c r="X80" t="s">
        <v>1416</v>
      </c>
      <c r="Y80" t="s">
        <v>1417</v>
      </c>
      <c r="Z80" t="s">
        <v>1418</v>
      </c>
      <c r="AA80" t="s">
        <v>74</v>
      </c>
      <c r="AB80" t="s">
        <v>1419</v>
      </c>
      <c r="AC80" t="s">
        <v>74</v>
      </c>
      <c r="AD80" t="s">
        <v>74</v>
      </c>
      <c r="AE80" t="s">
        <v>74</v>
      </c>
      <c r="AF80" t="s">
        <v>74</v>
      </c>
      <c r="AG80">
        <v>40</v>
      </c>
      <c r="AH80">
        <v>3</v>
      </c>
      <c r="AI80">
        <v>3</v>
      </c>
      <c r="AJ80">
        <v>0</v>
      </c>
      <c r="AK80">
        <v>3</v>
      </c>
      <c r="AL80" t="s">
        <v>92</v>
      </c>
      <c r="AM80" t="s">
        <v>93</v>
      </c>
      <c r="AN80" t="s">
        <v>94</v>
      </c>
      <c r="AO80" t="s">
        <v>95</v>
      </c>
      <c r="AP80" t="s">
        <v>96</v>
      </c>
      <c r="AQ80" t="s">
        <v>74</v>
      </c>
      <c r="AR80" t="s">
        <v>97</v>
      </c>
      <c r="AS80" t="s">
        <v>98</v>
      </c>
      <c r="AT80" t="s">
        <v>196</v>
      </c>
      <c r="AU80">
        <v>2019</v>
      </c>
      <c r="AV80">
        <v>64</v>
      </c>
      <c r="AW80">
        <v>16</v>
      </c>
      <c r="AX80" t="s">
        <v>74</v>
      </c>
      <c r="AY80" t="s">
        <v>74</v>
      </c>
      <c r="AZ80" t="s">
        <v>74</v>
      </c>
      <c r="BA80" t="s">
        <v>74</v>
      </c>
      <c r="BB80" t="s">
        <v>74</v>
      </c>
      <c r="BC80" t="s">
        <v>74</v>
      </c>
      <c r="BD80" t="s">
        <v>1420</v>
      </c>
      <c r="BE80" t="s">
        <v>1421</v>
      </c>
      <c r="BF80" t="str">
        <f>HYPERLINK("http://dx.doi.org/10.1088/1361-6560/ab1e17","http://dx.doi.org/10.1088/1361-6560/ab1e17")</f>
        <v>http://dx.doi.org/10.1088/1361-6560/ab1e17</v>
      </c>
      <c r="BG80" t="s">
        <v>74</v>
      </c>
      <c r="BH80" t="s">
        <v>74</v>
      </c>
      <c r="BI80">
        <v>10</v>
      </c>
      <c r="BJ80" t="s">
        <v>101</v>
      </c>
      <c r="BK80" t="s">
        <v>102</v>
      </c>
      <c r="BL80" t="s">
        <v>103</v>
      </c>
      <c r="BM80" t="s">
        <v>1422</v>
      </c>
      <c r="BN80">
        <v>31039550</v>
      </c>
      <c r="BO80" t="s">
        <v>74</v>
      </c>
      <c r="BP80" t="s">
        <v>74</v>
      </c>
      <c r="BQ80" t="s">
        <v>74</v>
      </c>
      <c r="BR80" t="s">
        <v>106</v>
      </c>
      <c r="BS80" t="s">
        <v>1423</v>
      </c>
      <c r="BT80" t="str">
        <f>HYPERLINK("https%3A%2F%2Fwww.webofscience.com%2Fwos%2Fwoscc%2Ffull-record%2FWOS:000481852400001","View Full Record in Web of Science")</f>
        <v>View Full Record in Web of Science</v>
      </c>
    </row>
    <row r="81" spans="1:72" x14ac:dyDescent="0.25">
      <c r="A81" t="s">
        <v>72</v>
      </c>
      <c r="B81" t="s">
        <v>1424</v>
      </c>
      <c r="C81" t="s">
        <v>74</v>
      </c>
      <c r="D81" t="s">
        <v>74</v>
      </c>
      <c r="E81" t="s">
        <v>74</v>
      </c>
      <c r="F81" t="s">
        <v>1425</v>
      </c>
      <c r="G81" t="s">
        <v>74</v>
      </c>
      <c r="H81" t="s">
        <v>74</v>
      </c>
      <c r="I81" t="s">
        <v>1426</v>
      </c>
      <c r="J81" t="s">
        <v>77</v>
      </c>
      <c r="K81" t="s">
        <v>74</v>
      </c>
      <c r="L81" t="s">
        <v>74</v>
      </c>
      <c r="M81" t="s">
        <v>78</v>
      </c>
      <c r="N81" t="s">
        <v>79</v>
      </c>
      <c r="O81" t="s">
        <v>74</v>
      </c>
      <c r="P81" t="s">
        <v>74</v>
      </c>
      <c r="Q81" t="s">
        <v>74</v>
      </c>
      <c r="R81" t="s">
        <v>74</v>
      </c>
      <c r="S81" t="s">
        <v>74</v>
      </c>
      <c r="T81" t="s">
        <v>1427</v>
      </c>
      <c r="U81" t="s">
        <v>1428</v>
      </c>
      <c r="V81" t="s">
        <v>1429</v>
      </c>
      <c r="W81" t="s">
        <v>1430</v>
      </c>
      <c r="X81" t="s">
        <v>1431</v>
      </c>
      <c r="Y81" t="s">
        <v>1432</v>
      </c>
      <c r="Z81" t="s">
        <v>1433</v>
      </c>
      <c r="AA81" t="s">
        <v>1434</v>
      </c>
      <c r="AB81" t="s">
        <v>1435</v>
      </c>
      <c r="AC81" t="s">
        <v>1436</v>
      </c>
      <c r="AD81" t="s">
        <v>1437</v>
      </c>
      <c r="AE81" t="s">
        <v>1438</v>
      </c>
      <c r="AF81" t="s">
        <v>74</v>
      </c>
      <c r="AG81">
        <v>28</v>
      </c>
      <c r="AH81">
        <v>14</v>
      </c>
      <c r="AI81">
        <v>14</v>
      </c>
      <c r="AJ81">
        <v>0</v>
      </c>
      <c r="AK81">
        <v>30</v>
      </c>
      <c r="AL81" t="s">
        <v>92</v>
      </c>
      <c r="AM81" t="s">
        <v>93</v>
      </c>
      <c r="AN81" t="s">
        <v>94</v>
      </c>
      <c r="AO81" t="s">
        <v>95</v>
      </c>
      <c r="AP81" t="s">
        <v>96</v>
      </c>
      <c r="AQ81" t="s">
        <v>74</v>
      </c>
      <c r="AR81" t="s">
        <v>97</v>
      </c>
      <c r="AS81" t="s">
        <v>98</v>
      </c>
      <c r="AT81" t="s">
        <v>196</v>
      </c>
      <c r="AU81">
        <v>2019</v>
      </c>
      <c r="AV81">
        <v>64</v>
      </c>
      <c r="AW81">
        <v>15</v>
      </c>
      <c r="AX81" t="s">
        <v>74</v>
      </c>
      <c r="AY81" t="s">
        <v>74</v>
      </c>
      <c r="AZ81" t="s">
        <v>74</v>
      </c>
      <c r="BA81" t="s">
        <v>74</v>
      </c>
      <c r="BB81" t="s">
        <v>74</v>
      </c>
      <c r="BC81" t="s">
        <v>74</v>
      </c>
      <c r="BD81">
        <v>155009</v>
      </c>
      <c r="BE81" t="s">
        <v>1439</v>
      </c>
      <c r="BF81" t="str">
        <f>HYPERLINK("http://dx.doi.org/10.1088/1361-6560/ab2ca4","http://dx.doi.org/10.1088/1361-6560/ab2ca4")</f>
        <v>http://dx.doi.org/10.1088/1361-6560/ab2ca4</v>
      </c>
      <c r="BG81" t="s">
        <v>74</v>
      </c>
      <c r="BH81" t="s">
        <v>74</v>
      </c>
      <c r="BI81">
        <v>12</v>
      </c>
      <c r="BJ81" t="s">
        <v>101</v>
      </c>
      <c r="BK81" t="s">
        <v>102</v>
      </c>
      <c r="BL81" t="s">
        <v>103</v>
      </c>
      <c r="BM81" t="s">
        <v>198</v>
      </c>
      <c r="BN81">
        <v>31239424</v>
      </c>
      <c r="BO81" t="s">
        <v>105</v>
      </c>
      <c r="BP81" t="s">
        <v>74</v>
      </c>
      <c r="BQ81" t="s">
        <v>74</v>
      </c>
      <c r="BR81" t="s">
        <v>106</v>
      </c>
      <c r="BS81" t="s">
        <v>1440</v>
      </c>
      <c r="BT81" t="str">
        <f>HYPERLINK("https%3A%2F%2Fwww.webofscience.com%2Fwos%2Fwoscc%2Ffull-record%2FWOS:000480292700004","View Full Record in Web of Science")</f>
        <v>View Full Record in Web of Science</v>
      </c>
    </row>
    <row r="82" spans="1:72" x14ac:dyDescent="0.25">
      <c r="A82" t="s">
        <v>72</v>
      </c>
      <c r="B82" t="s">
        <v>1441</v>
      </c>
      <c r="C82" t="s">
        <v>74</v>
      </c>
      <c r="D82" t="s">
        <v>74</v>
      </c>
      <c r="E82" t="s">
        <v>74</v>
      </c>
      <c r="F82" t="s">
        <v>1442</v>
      </c>
      <c r="G82" t="s">
        <v>74</v>
      </c>
      <c r="H82" t="s">
        <v>74</v>
      </c>
      <c r="I82" t="s">
        <v>1443</v>
      </c>
      <c r="J82" t="s">
        <v>77</v>
      </c>
      <c r="K82" t="s">
        <v>74</v>
      </c>
      <c r="L82" t="s">
        <v>74</v>
      </c>
      <c r="M82" t="s">
        <v>78</v>
      </c>
      <c r="N82" t="s">
        <v>79</v>
      </c>
      <c r="O82" t="s">
        <v>74</v>
      </c>
      <c r="P82" t="s">
        <v>74</v>
      </c>
      <c r="Q82" t="s">
        <v>74</v>
      </c>
      <c r="R82" t="s">
        <v>74</v>
      </c>
      <c r="S82" t="s">
        <v>74</v>
      </c>
      <c r="T82" t="s">
        <v>1444</v>
      </c>
      <c r="U82" t="s">
        <v>1445</v>
      </c>
      <c r="V82" t="s">
        <v>1446</v>
      </c>
      <c r="W82" t="s">
        <v>1447</v>
      </c>
      <c r="X82" t="s">
        <v>1448</v>
      </c>
      <c r="Y82" t="s">
        <v>1449</v>
      </c>
      <c r="Z82" t="s">
        <v>1450</v>
      </c>
      <c r="AA82" t="s">
        <v>1451</v>
      </c>
      <c r="AB82" t="s">
        <v>74</v>
      </c>
      <c r="AC82" t="s">
        <v>1452</v>
      </c>
      <c r="AD82" t="s">
        <v>1453</v>
      </c>
      <c r="AE82" t="s">
        <v>1454</v>
      </c>
      <c r="AF82" t="s">
        <v>74</v>
      </c>
      <c r="AG82">
        <v>48</v>
      </c>
      <c r="AH82">
        <v>6</v>
      </c>
      <c r="AI82">
        <v>7</v>
      </c>
      <c r="AJ82">
        <v>0</v>
      </c>
      <c r="AK82">
        <v>15</v>
      </c>
      <c r="AL82" t="s">
        <v>92</v>
      </c>
      <c r="AM82" t="s">
        <v>93</v>
      </c>
      <c r="AN82" t="s">
        <v>94</v>
      </c>
      <c r="AO82" t="s">
        <v>95</v>
      </c>
      <c r="AP82" t="s">
        <v>96</v>
      </c>
      <c r="AQ82" t="s">
        <v>74</v>
      </c>
      <c r="AR82" t="s">
        <v>97</v>
      </c>
      <c r="AS82" t="s">
        <v>98</v>
      </c>
      <c r="AT82" t="s">
        <v>196</v>
      </c>
      <c r="AU82">
        <v>2019</v>
      </c>
      <c r="AV82">
        <v>64</v>
      </c>
      <c r="AW82">
        <v>15</v>
      </c>
      <c r="AX82" t="s">
        <v>74</v>
      </c>
      <c r="AY82" t="s">
        <v>74</v>
      </c>
      <c r="AZ82" t="s">
        <v>74</v>
      </c>
      <c r="BA82" t="s">
        <v>74</v>
      </c>
      <c r="BB82" t="s">
        <v>74</v>
      </c>
      <c r="BC82" t="s">
        <v>74</v>
      </c>
      <c r="BD82">
        <v>155017</v>
      </c>
      <c r="BE82" t="s">
        <v>1455</v>
      </c>
      <c r="BF82" t="str">
        <f>HYPERLINK("http://dx.doi.org/10.1088/1361-6560/ab2c85","http://dx.doi.org/10.1088/1361-6560/ab2c85")</f>
        <v>http://dx.doi.org/10.1088/1361-6560/ab2c85</v>
      </c>
      <c r="BG82" t="s">
        <v>74</v>
      </c>
      <c r="BH82" t="s">
        <v>74</v>
      </c>
      <c r="BI82">
        <v>20</v>
      </c>
      <c r="BJ82" t="s">
        <v>101</v>
      </c>
      <c r="BK82" t="s">
        <v>102</v>
      </c>
      <c r="BL82" t="s">
        <v>103</v>
      </c>
      <c r="BM82" t="s">
        <v>198</v>
      </c>
      <c r="BN82">
        <v>31239414</v>
      </c>
      <c r="BO82" t="s">
        <v>74</v>
      </c>
      <c r="BP82" t="s">
        <v>74</v>
      </c>
      <c r="BQ82" t="s">
        <v>74</v>
      </c>
      <c r="BR82" t="s">
        <v>106</v>
      </c>
      <c r="BS82" t="s">
        <v>1456</v>
      </c>
      <c r="BT82" t="str">
        <f>HYPERLINK("https%3A%2F%2Fwww.webofscience.com%2Fwos%2Fwoscc%2Ffull-record%2FWOS:000480292700012","View Full Record in Web of Science")</f>
        <v>View Full Record in Web of Science</v>
      </c>
    </row>
    <row r="83" spans="1:72" x14ac:dyDescent="0.25">
      <c r="A83" t="s">
        <v>72</v>
      </c>
      <c r="B83" t="s">
        <v>1457</v>
      </c>
      <c r="C83" t="s">
        <v>74</v>
      </c>
      <c r="D83" t="s">
        <v>74</v>
      </c>
      <c r="E83" t="s">
        <v>74</v>
      </c>
      <c r="F83" t="s">
        <v>1458</v>
      </c>
      <c r="G83" t="s">
        <v>74</v>
      </c>
      <c r="H83" t="s">
        <v>74</v>
      </c>
      <c r="I83" t="s">
        <v>1459</v>
      </c>
      <c r="J83" t="s">
        <v>77</v>
      </c>
      <c r="K83" t="s">
        <v>74</v>
      </c>
      <c r="L83" t="s">
        <v>74</v>
      </c>
      <c r="M83" t="s">
        <v>78</v>
      </c>
      <c r="N83" t="s">
        <v>79</v>
      </c>
      <c r="O83" t="s">
        <v>74</v>
      </c>
      <c r="P83" t="s">
        <v>74</v>
      </c>
      <c r="Q83" t="s">
        <v>74</v>
      </c>
      <c r="R83" t="s">
        <v>74</v>
      </c>
      <c r="S83" t="s">
        <v>74</v>
      </c>
      <c r="T83" t="s">
        <v>1460</v>
      </c>
      <c r="U83" t="s">
        <v>1461</v>
      </c>
      <c r="V83" t="s">
        <v>1462</v>
      </c>
      <c r="W83" t="s">
        <v>1463</v>
      </c>
      <c r="X83" t="s">
        <v>1464</v>
      </c>
      <c r="Y83" t="s">
        <v>1465</v>
      </c>
      <c r="Z83" t="s">
        <v>1466</v>
      </c>
      <c r="AA83" t="s">
        <v>1467</v>
      </c>
      <c r="AB83" t="s">
        <v>1468</v>
      </c>
      <c r="AC83" t="s">
        <v>1469</v>
      </c>
      <c r="AD83" t="s">
        <v>1470</v>
      </c>
      <c r="AE83" t="s">
        <v>1471</v>
      </c>
      <c r="AF83" t="s">
        <v>74</v>
      </c>
      <c r="AG83">
        <v>45</v>
      </c>
      <c r="AH83">
        <v>27</v>
      </c>
      <c r="AI83">
        <v>31</v>
      </c>
      <c r="AJ83">
        <v>0</v>
      </c>
      <c r="AK83">
        <v>13</v>
      </c>
      <c r="AL83" t="s">
        <v>92</v>
      </c>
      <c r="AM83" t="s">
        <v>93</v>
      </c>
      <c r="AN83" t="s">
        <v>94</v>
      </c>
      <c r="AO83" t="s">
        <v>95</v>
      </c>
      <c r="AP83" t="s">
        <v>96</v>
      </c>
      <c r="AQ83" t="s">
        <v>74</v>
      </c>
      <c r="AR83" t="s">
        <v>97</v>
      </c>
      <c r="AS83" t="s">
        <v>98</v>
      </c>
      <c r="AT83" t="s">
        <v>214</v>
      </c>
      <c r="AU83">
        <v>2019</v>
      </c>
      <c r="AV83">
        <v>64</v>
      </c>
      <c r="AW83">
        <v>14</v>
      </c>
      <c r="AX83" t="s">
        <v>74</v>
      </c>
      <c r="AY83" t="s">
        <v>74</v>
      </c>
      <c r="AZ83" t="s">
        <v>74</v>
      </c>
      <c r="BA83" t="s">
        <v>74</v>
      </c>
      <c r="BB83" t="s">
        <v>74</v>
      </c>
      <c r="BC83" t="s">
        <v>74</v>
      </c>
      <c r="BD83">
        <v>145001</v>
      </c>
      <c r="BE83" t="s">
        <v>1472</v>
      </c>
      <c r="BF83" t="str">
        <f>HYPERLINK("http://dx.doi.org/10.1088/1361-6560/ab2b0e","http://dx.doi.org/10.1088/1361-6560/ab2b0e")</f>
        <v>http://dx.doi.org/10.1088/1361-6560/ab2b0e</v>
      </c>
      <c r="BG83" t="s">
        <v>74</v>
      </c>
      <c r="BH83" t="s">
        <v>74</v>
      </c>
      <c r="BI83">
        <v>16</v>
      </c>
      <c r="BJ83" t="s">
        <v>101</v>
      </c>
      <c r="BK83" t="s">
        <v>102</v>
      </c>
      <c r="BL83" t="s">
        <v>103</v>
      </c>
      <c r="BM83" t="s">
        <v>529</v>
      </c>
      <c r="BN83">
        <v>31216514</v>
      </c>
      <c r="BO83" t="s">
        <v>74</v>
      </c>
      <c r="BP83" t="s">
        <v>74</v>
      </c>
      <c r="BQ83" t="s">
        <v>74</v>
      </c>
      <c r="BR83" t="s">
        <v>106</v>
      </c>
      <c r="BS83" t="s">
        <v>1473</v>
      </c>
      <c r="BT83" t="str">
        <f>HYPERLINK("https%3A%2F%2Fwww.webofscience.com%2Fwos%2Fwoscc%2Ffull-record%2FWOS:000475378800001","View Full Record in Web of Science")</f>
        <v>View Full Record in Web of Science</v>
      </c>
    </row>
    <row r="84" spans="1:72" x14ac:dyDescent="0.25">
      <c r="A84" t="s">
        <v>72</v>
      </c>
      <c r="B84" t="s">
        <v>1474</v>
      </c>
      <c r="C84" t="s">
        <v>74</v>
      </c>
      <c r="D84" t="s">
        <v>74</v>
      </c>
      <c r="E84" t="s">
        <v>74</v>
      </c>
      <c r="F84" t="s">
        <v>1475</v>
      </c>
      <c r="G84" t="s">
        <v>74</v>
      </c>
      <c r="H84" t="s">
        <v>74</v>
      </c>
      <c r="I84" t="s">
        <v>1476</v>
      </c>
      <c r="J84" t="s">
        <v>77</v>
      </c>
      <c r="K84" t="s">
        <v>74</v>
      </c>
      <c r="L84" t="s">
        <v>74</v>
      </c>
      <c r="M84" t="s">
        <v>78</v>
      </c>
      <c r="N84" t="s">
        <v>79</v>
      </c>
      <c r="O84" t="s">
        <v>74</v>
      </c>
      <c r="P84" t="s">
        <v>74</v>
      </c>
      <c r="Q84" t="s">
        <v>74</v>
      </c>
      <c r="R84" t="s">
        <v>74</v>
      </c>
      <c r="S84" t="s">
        <v>74</v>
      </c>
      <c r="T84" t="s">
        <v>1477</v>
      </c>
      <c r="U84" t="s">
        <v>1478</v>
      </c>
      <c r="V84" t="s">
        <v>1479</v>
      </c>
      <c r="W84" t="s">
        <v>1480</v>
      </c>
      <c r="X84" t="s">
        <v>1481</v>
      </c>
      <c r="Y84" t="s">
        <v>1482</v>
      </c>
      <c r="Z84" t="s">
        <v>1483</v>
      </c>
      <c r="AA84" t="s">
        <v>1484</v>
      </c>
      <c r="AB84" t="s">
        <v>74</v>
      </c>
      <c r="AC84" t="s">
        <v>1485</v>
      </c>
      <c r="AD84" t="s">
        <v>1486</v>
      </c>
      <c r="AE84" t="s">
        <v>1487</v>
      </c>
      <c r="AF84" t="s">
        <v>74</v>
      </c>
      <c r="AG84">
        <v>31</v>
      </c>
      <c r="AH84">
        <v>46</v>
      </c>
      <c r="AI84">
        <v>49</v>
      </c>
      <c r="AJ84">
        <v>0</v>
      </c>
      <c r="AK84">
        <v>44</v>
      </c>
      <c r="AL84" t="s">
        <v>157</v>
      </c>
      <c r="AM84" t="s">
        <v>93</v>
      </c>
      <c r="AN84" t="s">
        <v>94</v>
      </c>
      <c r="AO84" t="s">
        <v>95</v>
      </c>
      <c r="AP84" t="s">
        <v>96</v>
      </c>
      <c r="AQ84" t="s">
        <v>74</v>
      </c>
      <c r="AR84" t="s">
        <v>97</v>
      </c>
      <c r="AS84" t="s">
        <v>98</v>
      </c>
      <c r="AT84" t="s">
        <v>214</v>
      </c>
      <c r="AU84">
        <v>2019</v>
      </c>
      <c r="AV84">
        <v>64</v>
      </c>
      <c r="AW84">
        <v>13</v>
      </c>
      <c r="AX84" t="s">
        <v>74</v>
      </c>
      <c r="AY84" t="s">
        <v>74</v>
      </c>
      <c r="AZ84" t="s">
        <v>74</v>
      </c>
      <c r="BA84" t="s">
        <v>74</v>
      </c>
      <c r="BB84" t="s">
        <v>74</v>
      </c>
      <c r="BC84" t="s">
        <v>74</v>
      </c>
      <c r="BD84">
        <v>135015</v>
      </c>
      <c r="BE84" t="s">
        <v>1488</v>
      </c>
      <c r="BF84" t="str">
        <f>HYPERLINK("http://dx.doi.org/10.1088/1361-6560/ab2757","http://dx.doi.org/10.1088/1361-6560/ab2757")</f>
        <v>http://dx.doi.org/10.1088/1361-6560/ab2757</v>
      </c>
      <c r="BG84" t="s">
        <v>74</v>
      </c>
      <c r="BH84" t="s">
        <v>74</v>
      </c>
      <c r="BI84">
        <v>11</v>
      </c>
      <c r="BJ84" t="s">
        <v>101</v>
      </c>
      <c r="BK84" t="s">
        <v>102</v>
      </c>
      <c r="BL84" t="s">
        <v>103</v>
      </c>
      <c r="BM84" t="s">
        <v>1111</v>
      </c>
      <c r="BN84">
        <v>31167172</v>
      </c>
      <c r="BO84" t="s">
        <v>74</v>
      </c>
      <c r="BP84" t="s">
        <v>74</v>
      </c>
      <c r="BQ84" t="s">
        <v>74</v>
      </c>
      <c r="BR84" t="s">
        <v>106</v>
      </c>
      <c r="BS84" t="s">
        <v>1489</v>
      </c>
      <c r="BT84" t="str">
        <f>HYPERLINK("https%3A%2F%2Fwww.webofscience.com%2Fwos%2Fwoscc%2Ffull-record%2FWOS:000474396800001","View Full Record in Web of Science")</f>
        <v>View Full Record in Web of Science</v>
      </c>
    </row>
    <row r="85" spans="1:72" x14ac:dyDescent="0.25">
      <c r="A85" t="s">
        <v>72</v>
      </c>
      <c r="B85" t="s">
        <v>1490</v>
      </c>
      <c r="C85" t="s">
        <v>74</v>
      </c>
      <c r="D85" t="s">
        <v>74</v>
      </c>
      <c r="E85" t="s">
        <v>74</v>
      </c>
      <c r="F85" t="s">
        <v>1491</v>
      </c>
      <c r="G85" t="s">
        <v>74</v>
      </c>
      <c r="H85" t="s">
        <v>74</v>
      </c>
      <c r="I85" t="s">
        <v>1492</v>
      </c>
      <c r="J85" t="s">
        <v>77</v>
      </c>
      <c r="K85" t="s">
        <v>74</v>
      </c>
      <c r="L85" t="s">
        <v>74</v>
      </c>
      <c r="M85" t="s">
        <v>78</v>
      </c>
      <c r="N85" t="s">
        <v>79</v>
      </c>
      <c r="O85" t="s">
        <v>74</v>
      </c>
      <c r="P85" t="s">
        <v>74</v>
      </c>
      <c r="Q85" t="s">
        <v>74</v>
      </c>
      <c r="R85" t="s">
        <v>74</v>
      </c>
      <c r="S85" t="s">
        <v>74</v>
      </c>
      <c r="T85" t="s">
        <v>1493</v>
      </c>
      <c r="U85" t="s">
        <v>1494</v>
      </c>
      <c r="V85" t="s">
        <v>1495</v>
      </c>
      <c r="W85" t="s">
        <v>1496</v>
      </c>
      <c r="X85" t="s">
        <v>1497</v>
      </c>
      <c r="Y85" t="s">
        <v>1498</v>
      </c>
      <c r="Z85" t="s">
        <v>1499</v>
      </c>
      <c r="AA85" t="s">
        <v>1500</v>
      </c>
      <c r="AB85" t="s">
        <v>1501</v>
      </c>
      <c r="AC85" t="s">
        <v>1502</v>
      </c>
      <c r="AD85" t="s">
        <v>1503</v>
      </c>
      <c r="AE85" t="s">
        <v>1504</v>
      </c>
      <c r="AF85" t="s">
        <v>74</v>
      </c>
      <c r="AG85">
        <v>29</v>
      </c>
      <c r="AH85">
        <v>31</v>
      </c>
      <c r="AI85">
        <v>31</v>
      </c>
      <c r="AJ85">
        <v>4</v>
      </c>
      <c r="AK85">
        <v>22</v>
      </c>
      <c r="AL85" t="s">
        <v>92</v>
      </c>
      <c r="AM85" t="s">
        <v>93</v>
      </c>
      <c r="AN85" t="s">
        <v>94</v>
      </c>
      <c r="AO85" t="s">
        <v>95</v>
      </c>
      <c r="AP85" t="s">
        <v>96</v>
      </c>
      <c r="AQ85" t="s">
        <v>74</v>
      </c>
      <c r="AR85" t="s">
        <v>97</v>
      </c>
      <c r="AS85" t="s">
        <v>98</v>
      </c>
      <c r="AT85" t="s">
        <v>214</v>
      </c>
      <c r="AU85">
        <v>2019</v>
      </c>
      <c r="AV85">
        <v>64</v>
      </c>
      <c r="AW85">
        <v>13</v>
      </c>
      <c r="AX85" t="s">
        <v>74</v>
      </c>
      <c r="AY85" t="s">
        <v>74</v>
      </c>
      <c r="AZ85" t="s">
        <v>74</v>
      </c>
      <c r="BA85" t="s">
        <v>74</v>
      </c>
      <c r="BB85" t="s">
        <v>74</v>
      </c>
      <c r="BC85" t="s">
        <v>74</v>
      </c>
      <c r="BD85">
        <v>135019</v>
      </c>
      <c r="BE85" t="s">
        <v>1505</v>
      </c>
      <c r="BF85" t="str">
        <f>HYPERLINK("http://dx.doi.org/10.1088/1361-6560/ab2072","http://dx.doi.org/10.1088/1361-6560/ab2072")</f>
        <v>http://dx.doi.org/10.1088/1361-6560/ab2072</v>
      </c>
      <c r="BG85" t="s">
        <v>74</v>
      </c>
      <c r="BH85" t="s">
        <v>74</v>
      </c>
      <c r="BI85">
        <v>15</v>
      </c>
      <c r="BJ85" t="s">
        <v>101</v>
      </c>
      <c r="BK85" t="s">
        <v>102</v>
      </c>
      <c r="BL85" t="s">
        <v>103</v>
      </c>
      <c r="BM85" t="s">
        <v>1111</v>
      </c>
      <c r="BN85">
        <v>31071695</v>
      </c>
      <c r="BO85" t="s">
        <v>74</v>
      </c>
      <c r="BP85" t="s">
        <v>74</v>
      </c>
      <c r="BQ85" t="s">
        <v>74</v>
      </c>
      <c r="BR85" t="s">
        <v>106</v>
      </c>
      <c r="BS85" t="s">
        <v>1506</v>
      </c>
      <c r="BT85" t="str">
        <f>HYPERLINK("https%3A%2F%2Fwww.webofscience.com%2Fwos%2Fwoscc%2Ffull-record%2FWOS:000474396800005","View Full Record in Web of Science")</f>
        <v>View Full Record in Web of Science</v>
      </c>
    </row>
    <row r="86" spans="1:72" x14ac:dyDescent="0.25">
      <c r="A86" t="s">
        <v>72</v>
      </c>
      <c r="B86" t="s">
        <v>1507</v>
      </c>
      <c r="C86" t="s">
        <v>74</v>
      </c>
      <c r="D86" t="s">
        <v>74</v>
      </c>
      <c r="E86" t="s">
        <v>74</v>
      </c>
      <c r="F86" t="s">
        <v>1508</v>
      </c>
      <c r="G86" t="s">
        <v>74</v>
      </c>
      <c r="H86" t="s">
        <v>74</v>
      </c>
      <c r="I86" t="s">
        <v>1509</v>
      </c>
      <c r="J86" t="s">
        <v>77</v>
      </c>
      <c r="K86" t="s">
        <v>74</v>
      </c>
      <c r="L86" t="s">
        <v>74</v>
      </c>
      <c r="M86" t="s">
        <v>78</v>
      </c>
      <c r="N86" t="s">
        <v>79</v>
      </c>
      <c r="O86" t="s">
        <v>74</v>
      </c>
      <c r="P86" t="s">
        <v>74</v>
      </c>
      <c r="Q86" t="s">
        <v>74</v>
      </c>
      <c r="R86" t="s">
        <v>74</v>
      </c>
      <c r="S86" t="s">
        <v>74</v>
      </c>
      <c r="T86" t="s">
        <v>1510</v>
      </c>
      <c r="U86" t="s">
        <v>1511</v>
      </c>
      <c r="V86" t="s">
        <v>1512</v>
      </c>
      <c r="W86" t="s">
        <v>1513</v>
      </c>
      <c r="X86" t="s">
        <v>1514</v>
      </c>
      <c r="Y86" t="s">
        <v>1515</v>
      </c>
      <c r="Z86" t="s">
        <v>1516</v>
      </c>
      <c r="AA86" t="s">
        <v>74</v>
      </c>
      <c r="AB86" t="s">
        <v>74</v>
      </c>
      <c r="AC86" t="s">
        <v>74</v>
      </c>
      <c r="AD86" t="s">
        <v>74</v>
      </c>
      <c r="AE86" t="s">
        <v>74</v>
      </c>
      <c r="AF86" t="s">
        <v>74</v>
      </c>
      <c r="AG86">
        <v>28</v>
      </c>
      <c r="AH86">
        <v>31</v>
      </c>
      <c r="AI86">
        <v>31</v>
      </c>
      <c r="AJ86">
        <v>0</v>
      </c>
      <c r="AK86">
        <v>10</v>
      </c>
      <c r="AL86" t="s">
        <v>92</v>
      </c>
      <c r="AM86" t="s">
        <v>93</v>
      </c>
      <c r="AN86" t="s">
        <v>94</v>
      </c>
      <c r="AO86" t="s">
        <v>95</v>
      </c>
      <c r="AP86" t="s">
        <v>96</v>
      </c>
      <c r="AQ86" t="s">
        <v>74</v>
      </c>
      <c r="AR86" t="s">
        <v>97</v>
      </c>
      <c r="AS86" t="s">
        <v>98</v>
      </c>
      <c r="AT86" t="s">
        <v>250</v>
      </c>
      <c r="AU86">
        <v>2019</v>
      </c>
      <c r="AV86">
        <v>64</v>
      </c>
      <c r="AW86">
        <v>12</v>
      </c>
      <c r="AX86" t="s">
        <v>74</v>
      </c>
      <c r="AY86" t="s">
        <v>74</v>
      </c>
      <c r="AZ86" t="s">
        <v>74</v>
      </c>
      <c r="BA86" t="s">
        <v>74</v>
      </c>
      <c r="BB86" t="s">
        <v>74</v>
      </c>
      <c r="BC86" t="s">
        <v>74</v>
      </c>
      <c r="BD86">
        <v>125022</v>
      </c>
      <c r="BE86" t="s">
        <v>1517</v>
      </c>
      <c r="BF86" t="str">
        <f>HYPERLINK("http://dx.doi.org/10.1088/1361-6560/ab2133","http://dx.doi.org/10.1088/1361-6560/ab2133")</f>
        <v>http://dx.doi.org/10.1088/1361-6560/ab2133</v>
      </c>
      <c r="BG86" t="s">
        <v>74</v>
      </c>
      <c r="BH86" t="s">
        <v>74</v>
      </c>
      <c r="BI86">
        <v>8</v>
      </c>
      <c r="BJ86" t="s">
        <v>101</v>
      </c>
      <c r="BK86" t="s">
        <v>102</v>
      </c>
      <c r="BL86" t="s">
        <v>103</v>
      </c>
      <c r="BM86" t="s">
        <v>1518</v>
      </c>
      <c r="BN86">
        <v>31082813</v>
      </c>
      <c r="BO86" t="s">
        <v>74</v>
      </c>
      <c r="BP86" t="s">
        <v>74</v>
      </c>
      <c r="BQ86" t="s">
        <v>74</v>
      </c>
      <c r="BR86" t="s">
        <v>106</v>
      </c>
      <c r="BS86" t="s">
        <v>1519</v>
      </c>
      <c r="BT86" t="str">
        <f>HYPERLINK("https%3A%2F%2Fwww.webofscience.com%2Fwos%2Fwoscc%2Ffull-record%2FWOS:000518929800001","View Full Record in Web of Science")</f>
        <v>View Full Record in Web of Science</v>
      </c>
    </row>
    <row r="87" spans="1:72" x14ac:dyDescent="0.25">
      <c r="A87" t="s">
        <v>72</v>
      </c>
      <c r="B87" t="s">
        <v>1520</v>
      </c>
      <c r="C87" t="s">
        <v>74</v>
      </c>
      <c r="D87" t="s">
        <v>74</v>
      </c>
      <c r="E87" t="s">
        <v>74</v>
      </c>
      <c r="F87" t="s">
        <v>1521</v>
      </c>
      <c r="G87" t="s">
        <v>74</v>
      </c>
      <c r="H87" t="s">
        <v>74</v>
      </c>
      <c r="I87" t="s">
        <v>1522</v>
      </c>
      <c r="J87" t="s">
        <v>77</v>
      </c>
      <c r="K87" t="s">
        <v>74</v>
      </c>
      <c r="L87" t="s">
        <v>74</v>
      </c>
      <c r="M87" t="s">
        <v>78</v>
      </c>
      <c r="N87" t="s">
        <v>79</v>
      </c>
      <c r="O87" t="s">
        <v>74</v>
      </c>
      <c r="P87" t="s">
        <v>74</v>
      </c>
      <c r="Q87" t="s">
        <v>74</v>
      </c>
      <c r="R87" t="s">
        <v>74</v>
      </c>
      <c r="S87" t="s">
        <v>74</v>
      </c>
      <c r="T87" t="s">
        <v>1523</v>
      </c>
      <c r="U87" t="s">
        <v>1524</v>
      </c>
      <c r="V87" t="s">
        <v>1525</v>
      </c>
      <c r="W87" t="s">
        <v>1526</v>
      </c>
      <c r="X87" t="s">
        <v>1527</v>
      </c>
      <c r="Y87" t="s">
        <v>1528</v>
      </c>
      <c r="Z87" t="s">
        <v>1529</v>
      </c>
      <c r="AA87" t="s">
        <v>1530</v>
      </c>
      <c r="AB87" t="s">
        <v>1531</v>
      </c>
      <c r="AC87" t="s">
        <v>1532</v>
      </c>
      <c r="AD87" t="s">
        <v>1532</v>
      </c>
      <c r="AE87" t="s">
        <v>1533</v>
      </c>
      <c r="AF87" t="s">
        <v>74</v>
      </c>
      <c r="AG87">
        <v>37</v>
      </c>
      <c r="AH87">
        <v>11</v>
      </c>
      <c r="AI87">
        <v>12</v>
      </c>
      <c r="AJ87">
        <v>0</v>
      </c>
      <c r="AK87">
        <v>21</v>
      </c>
      <c r="AL87" t="s">
        <v>92</v>
      </c>
      <c r="AM87" t="s">
        <v>93</v>
      </c>
      <c r="AN87" t="s">
        <v>94</v>
      </c>
      <c r="AO87" t="s">
        <v>95</v>
      </c>
      <c r="AP87" t="s">
        <v>96</v>
      </c>
      <c r="AQ87" t="s">
        <v>74</v>
      </c>
      <c r="AR87" t="s">
        <v>97</v>
      </c>
      <c r="AS87" t="s">
        <v>98</v>
      </c>
      <c r="AT87" t="s">
        <v>370</v>
      </c>
      <c r="AU87">
        <v>2019</v>
      </c>
      <c r="AV87">
        <v>64</v>
      </c>
      <c r="AW87">
        <v>10</v>
      </c>
      <c r="AX87" t="s">
        <v>74</v>
      </c>
      <c r="AY87" t="s">
        <v>74</v>
      </c>
      <c r="AZ87" t="s">
        <v>74</v>
      </c>
      <c r="BA87" t="s">
        <v>74</v>
      </c>
      <c r="BB87" t="s">
        <v>74</v>
      </c>
      <c r="BC87" t="s">
        <v>74</v>
      </c>
      <c r="BD87">
        <v>105021</v>
      </c>
      <c r="BE87" t="s">
        <v>1534</v>
      </c>
      <c r="BF87" t="str">
        <f>HYPERLINK("http://dx.doi.org/10.1088/1361-6560/ab1935","http://dx.doi.org/10.1088/1361-6560/ab1935")</f>
        <v>http://dx.doi.org/10.1088/1361-6560/ab1935</v>
      </c>
      <c r="BG87" t="s">
        <v>74</v>
      </c>
      <c r="BH87" t="s">
        <v>74</v>
      </c>
      <c r="BI87">
        <v>12</v>
      </c>
      <c r="BJ87" t="s">
        <v>101</v>
      </c>
      <c r="BK87" t="s">
        <v>102</v>
      </c>
      <c r="BL87" t="s">
        <v>103</v>
      </c>
      <c r="BM87" t="s">
        <v>860</v>
      </c>
      <c r="BN87">
        <v>30986773</v>
      </c>
      <c r="BO87" t="s">
        <v>74</v>
      </c>
      <c r="BP87" t="s">
        <v>74</v>
      </c>
      <c r="BQ87" t="s">
        <v>74</v>
      </c>
      <c r="BR87" t="s">
        <v>106</v>
      </c>
      <c r="BS87" t="s">
        <v>1535</v>
      </c>
      <c r="BT87" t="str">
        <f>HYPERLINK("https%3A%2F%2Fwww.webofscience.com%2Fwos%2Fwoscc%2Ffull-record%2FWOS:000468634900001","View Full Record in Web of Science")</f>
        <v>View Full Record in Web of Science</v>
      </c>
    </row>
    <row r="88" spans="1:72" x14ac:dyDescent="0.25">
      <c r="A88" t="s">
        <v>72</v>
      </c>
      <c r="B88" t="s">
        <v>1536</v>
      </c>
      <c r="C88" t="s">
        <v>74</v>
      </c>
      <c r="D88" t="s">
        <v>74</v>
      </c>
      <c r="E88" t="s">
        <v>74</v>
      </c>
      <c r="F88" t="s">
        <v>1537</v>
      </c>
      <c r="G88" t="s">
        <v>74</v>
      </c>
      <c r="H88" t="s">
        <v>74</v>
      </c>
      <c r="I88" t="s">
        <v>1538</v>
      </c>
      <c r="J88" t="s">
        <v>77</v>
      </c>
      <c r="K88" t="s">
        <v>74</v>
      </c>
      <c r="L88" t="s">
        <v>74</v>
      </c>
      <c r="M88" t="s">
        <v>78</v>
      </c>
      <c r="N88" t="s">
        <v>79</v>
      </c>
      <c r="O88" t="s">
        <v>74</v>
      </c>
      <c r="P88" t="s">
        <v>74</v>
      </c>
      <c r="Q88" t="s">
        <v>74</v>
      </c>
      <c r="R88" t="s">
        <v>74</v>
      </c>
      <c r="S88" t="s">
        <v>74</v>
      </c>
      <c r="T88" t="s">
        <v>1539</v>
      </c>
      <c r="U88" t="s">
        <v>1540</v>
      </c>
      <c r="V88" t="s">
        <v>1541</v>
      </c>
      <c r="W88" t="s">
        <v>1542</v>
      </c>
      <c r="X88" t="s">
        <v>1543</v>
      </c>
      <c r="Y88" t="s">
        <v>1544</v>
      </c>
      <c r="Z88" t="s">
        <v>1545</v>
      </c>
      <c r="AA88" t="s">
        <v>1546</v>
      </c>
      <c r="AB88" t="s">
        <v>1547</v>
      </c>
      <c r="AC88" t="s">
        <v>1548</v>
      </c>
      <c r="AD88" t="s">
        <v>607</v>
      </c>
      <c r="AE88" t="s">
        <v>1549</v>
      </c>
      <c r="AF88" t="s">
        <v>74</v>
      </c>
      <c r="AG88">
        <v>27</v>
      </c>
      <c r="AH88">
        <v>10</v>
      </c>
      <c r="AI88">
        <v>10</v>
      </c>
      <c r="AJ88">
        <v>0</v>
      </c>
      <c r="AK88">
        <v>4</v>
      </c>
      <c r="AL88" t="s">
        <v>92</v>
      </c>
      <c r="AM88" t="s">
        <v>93</v>
      </c>
      <c r="AN88" t="s">
        <v>94</v>
      </c>
      <c r="AO88" t="s">
        <v>95</v>
      </c>
      <c r="AP88" t="s">
        <v>96</v>
      </c>
      <c r="AQ88" t="s">
        <v>74</v>
      </c>
      <c r="AR88" t="s">
        <v>97</v>
      </c>
      <c r="AS88" t="s">
        <v>98</v>
      </c>
      <c r="AT88" t="s">
        <v>370</v>
      </c>
      <c r="AU88">
        <v>2019</v>
      </c>
      <c r="AV88">
        <v>64</v>
      </c>
      <c r="AW88">
        <v>10</v>
      </c>
      <c r="AX88" t="s">
        <v>74</v>
      </c>
      <c r="AY88" t="s">
        <v>74</v>
      </c>
      <c r="AZ88" t="s">
        <v>74</v>
      </c>
      <c r="BA88" t="s">
        <v>74</v>
      </c>
      <c r="BB88" t="s">
        <v>74</v>
      </c>
      <c r="BC88" t="s">
        <v>74</v>
      </c>
      <c r="BD88">
        <v>105024</v>
      </c>
      <c r="BE88" t="s">
        <v>1550</v>
      </c>
      <c r="BF88" t="str">
        <f>HYPERLINK("http://dx.doi.org/10.1088/1361-6560/ab155e","http://dx.doi.org/10.1088/1361-6560/ab155e")</f>
        <v>http://dx.doi.org/10.1088/1361-6560/ab155e</v>
      </c>
      <c r="BG88" t="s">
        <v>74</v>
      </c>
      <c r="BH88" t="s">
        <v>74</v>
      </c>
      <c r="BI88">
        <v>13</v>
      </c>
      <c r="BJ88" t="s">
        <v>101</v>
      </c>
      <c r="BK88" t="s">
        <v>102</v>
      </c>
      <c r="BL88" t="s">
        <v>103</v>
      </c>
      <c r="BM88" t="s">
        <v>860</v>
      </c>
      <c r="BN88">
        <v>30939459</v>
      </c>
      <c r="BO88" t="s">
        <v>105</v>
      </c>
      <c r="BP88" t="s">
        <v>74</v>
      </c>
      <c r="BQ88" t="s">
        <v>74</v>
      </c>
      <c r="BR88" t="s">
        <v>106</v>
      </c>
      <c r="BS88" t="s">
        <v>1551</v>
      </c>
      <c r="BT88" t="str">
        <f>HYPERLINK("https%3A%2F%2Fwww.webofscience.com%2Fwos%2Fwoscc%2Ffull-record%2FWOS:000468634900004","View Full Record in Web of Science")</f>
        <v>View Full Record in Web of Science</v>
      </c>
    </row>
    <row r="89" spans="1:72" x14ac:dyDescent="0.25">
      <c r="A89" t="s">
        <v>72</v>
      </c>
      <c r="B89" t="s">
        <v>1552</v>
      </c>
      <c r="C89" t="s">
        <v>74</v>
      </c>
      <c r="D89" t="s">
        <v>74</v>
      </c>
      <c r="E89" t="s">
        <v>74</v>
      </c>
      <c r="F89" t="s">
        <v>1553</v>
      </c>
      <c r="G89" t="s">
        <v>74</v>
      </c>
      <c r="H89" t="s">
        <v>74</v>
      </c>
      <c r="I89" t="s">
        <v>1554</v>
      </c>
      <c r="J89" t="s">
        <v>77</v>
      </c>
      <c r="K89" t="s">
        <v>74</v>
      </c>
      <c r="L89" t="s">
        <v>74</v>
      </c>
      <c r="M89" t="s">
        <v>78</v>
      </c>
      <c r="N89" t="s">
        <v>79</v>
      </c>
      <c r="O89" t="s">
        <v>74</v>
      </c>
      <c r="P89" t="s">
        <v>74</v>
      </c>
      <c r="Q89" t="s">
        <v>74</v>
      </c>
      <c r="R89" t="s">
        <v>74</v>
      </c>
      <c r="S89" t="s">
        <v>74</v>
      </c>
      <c r="T89" t="s">
        <v>1555</v>
      </c>
      <c r="U89" t="s">
        <v>1556</v>
      </c>
      <c r="V89" t="s">
        <v>1557</v>
      </c>
      <c r="W89" t="s">
        <v>1558</v>
      </c>
      <c r="X89" t="s">
        <v>1559</v>
      </c>
      <c r="Y89" t="s">
        <v>1560</v>
      </c>
      <c r="Z89" t="s">
        <v>1561</v>
      </c>
      <c r="AA89" t="s">
        <v>74</v>
      </c>
      <c r="AB89" t="s">
        <v>74</v>
      </c>
      <c r="AC89" t="s">
        <v>1562</v>
      </c>
      <c r="AD89" t="s">
        <v>1563</v>
      </c>
      <c r="AE89" t="s">
        <v>1564</v>
      </c>
      <c r="AF89" t="s">
        <v>74</v>
      </c>
      <c r="AG89">
        <v>24</v>
      </c>
      <c r="AH89">
        <v>4</v>
      </c>
      <c r="AI89">
        <v>6</v>
      </c>
      <c r="AJ89">
        <v>0</v>
      </c>
      <c r="AK89">
        <v>10</v>
      </c>
      <c r="AL89" t="s">
        <v>92</v>
      </c>
      <c r="AM89" t="s">
        <v>93</v>
      </c>
      <c r="AN89" t="s">
        <v>94</v>
      </c>
      <c r="AO89" t="s">
        <v>95</v>
      </c>
      <c r="AP89" t="s">
        <v>96</v>
      </c>
      <c r="AQ89" t="s">
        <v>74</v>
      </c>
      <c r="AR89" t="s">
        <v>97</v>
      </c>
      <c r="AS89" t="s">
        <v>98</v>
      </c>
      <c r="AT89" t="s">
        <v>370</v>
      </c>
      <c r="AU89">
        <v>2019</v>
      </c>
      <c r="AV89">
        <v>64</v>
      </c>
      <c r="AW89">
        <v>9</v>
      </c>
      <c r="AX89" t="s">
        <v>74</v>
      </c>
      <c r="AY89" t="s">
        <v>74</v>
      </c>
      <c r="AZ89" t="s">
        <v>74</v>
      </c>
      <c r="BA89" t="s">
        <v>74</v>
      </c>
      <c r="BB89" t="s">
        <v>74</v>
      </c>
      <c r="BC89" t="s">
        <v>74</v>
      </c>
      <c r="BD89">
        <v>95015</v>
      </c>
      <c r="BE89" t="s">
        <v>1565</v>
      </c>
      <c r="BF89" t="str">
        <f>HYPERLINK("http://dx.doi.org/10.1088/1361-6560/ab186d","http://dx.doi.org/10.1088/1361-6560/ab186d")</f>
        <v>http://dx.doi.org/10.1088/1361-6560/ab186d</v>
      </c>
      <c r="BG89" t="s">
        <v>74</v>
      </c>
      <c r="BH89" t="s">
        <v>74</v>
      </c>
      <c r="BI89">
        <v>9</v>
      </c>
      <c r="BJ89" t="s">
        <v>101</v>
      </c>
      <c r="BK89" t="s">
        <v>102</v>
      </c>
      <c r="BL89" t="s">
        <v>103</v>
      </c>
      <c r="BM89" t="s">
        <v>372</v>
      </c>
      <c r="BN89">
        <v>30974417</v>
      </c>
      <c r="BO89" t="s">
        <v>74</v>
      </c>
      <c r="BP89" t="s">
        <v>74</v>
      </c>
      <c r="BQ89" t="s">
        <v>74</v>
      </c>
      <c r="BR89" t="s">
        <v>106</v>
      </c>
      <c r="BS89" t="s">
        <v>1566</v>
      </c>
      <c r="BT89" t="str">
        <f>HYPERLINK("https%3A%2F%2Fwww.webofscience.com%2Fwos%2Fwoscc%2Ffull-record%2FWOS:000466572600002","View Full Record in Web of Science")</f>
        <v>View Full Record in Web of Science</v>
      </c>
    </row>
    <row r="90" spans="1:72" x14ac:dyDescent="0.25">
      <c r="A90" t="s">
        <v>72</v>
      </c>
      <c r="B90" t="s">
        <v>1567</v>
      </c>
      <c r="C90" t="s">
        <v>74</v>
      </c>
      <c r="D90" t="s">
        <v>74</v>
      </c>
      <c r="E90" t="s">
        <v>74</v>
      </c>
      <c r="F90" t="s">
        <v>1568</v>
      </c>
      <c r="G90" t="s">
        <v>74</v>
      </c>
      <c r="H90" t="s">
        <v>74</v>
      </c>
      <c r="I90" t="s">
        <v>1569</v>
      </c>
      <c r="J90" t="s">
        <v>77</v>
      </c>
      <c r="K90" t="s">
        <v>74</v>
      </c>
      <c r="L90" t="s">
        <v>74</v>
      </c>
      <c r="M90" t="s">
        <v>78</v>
      </c>
      <c r="N90" t="s">
        <v>79</v>
      </c>
      <c r="O90" t="s">
        <v>74</v>
      </c>
      <c r="P90" t="s">
        <v>74</v>
      </c>
      <c r="Q90" t="s">
        <v>74</v>
      </c>
      <c r="R90" t="s">
        <v>74</v>
      </c>
      <c r="S90" t="s">
        <v>74</v>
      </c>
      <c r="T90" t="s">
        <v>1570</v>
      </c>
      <c r="U90" t="s">
        <v>1571</v>
      </c>
      <c r="V90" t="s">
        <v>1572</v>
      </c>
      <c r="W90" t="s">
        <v>1573</v>
      </c>
      <c r="X90" t="s">
        <v>1574</v>
      </c>
      <c r="Y90" t="s">
        <v>1575</v>
      </c>
      <c r="Z90" t="s">
        <v>1576</v>
      </c>
      <c r="AA90" t="s">
        <v>1577</v>
      </c>
      <c r="AB90" t="s">
        <v>1578</v>
      </c>
      <c r="AC90" t="s">
        <v>74</v>
      </c>
      <c r="AD90" t="s">
        <v>74</v>
      </c>
      <c r="AE90" t="s">
        <v>74</v>
      </c>
      <c r="AF90" t="s">
        <v>74</v>
      </c>
      <c r="AG90">
        <v>18</v>
      </c>
      <c r="AH90">
        <v>6</v>
      </c>
      <c r="AI90">
        <v>7</v>
      </c>
      <c r="AJ90">
        <v>0</v>
      </c>
      <c r="AK90">
        <v>3</v>
      </c>
      <c r="AL90" t="s">
        <v>92</v>
      </c>
      <c r="AM90" t="s">
        <v>93</v>
      </c>
      <c r="AN90" t="s">
        <v>94</v>
      </c>
      <c r="AO90" t="s">
        <v>95</v>
      </c>
      <c r="AP90" t="s">
        <v>96</v>
      </c>
      <c r="AQ90" t="s">
        <v>74</v>
      </c>
      <c r="AR90" t="s">
        <v>97</v>
      </c>
      <c r="AS90" t="s">
        <v>98</v>
      </c>
      <c r="AT90" t="s">
        <v>436</v>
      </c>
      <c r="AU90">
        <v>2019</v>
      </c>
      <c r="AV90">
        <v>64</v>
      </c>
      <c r="AW90">
        <v>6</v>
      </c>
      <c r="AX90" t="s">
        <v>74</v>
      </c>
      <c r="AY90" t="s">
        <v>74</v>
      </c>
      <c r="AZ90" t="s">
        <v>74</v>
      </c>
      <c r="BA90" t="s">
        <v>74</v>
      </c>
      <c r="BB90" t="s">
        <v>74</v>
      </c>
      <c r="BC90" t="s">
        <v>74</v>
      </c>
      <c r="BD90">
        <v>65001</v>
      </c>
      <c r="BE90" t="s">
        <v>1579</v>
      </c>
      <c r="BF90" t="str">
        <f>HYPERLINK("http://dx.doi.org/10.1088/1361-6560/ab02cd","http://dx.doi.org/10.1088/1361-6560/ab02cd")</f>
        <v>http://dx.doi.org/10.1088/1361-6560/ab02cd</v>
      </c>
      <c r="BG90" t="s">
        <v>74</v>
      </c>
      <c r="BH90" t="s">
        <v>74</v>
      </c>
      <c r="BI90">
        <v>13</v>
      </c>
      <c r="BJ90" t="s">
        <v>101</v>
      </c>
      <c r="BK90" t="s">
        <v>102</v>
      </c>
      <c r="BL90" t="s">
        <v>103</v>
      </c>
      <c r="BM90" t="s">
        <v>1580</v>
      </c>
      <c r="BN90">
        <v>30695762</v>
      </c>
      <c r="BO90" t="s">
        <v>105</v>
      </c>
      <c r="BP90" t="s">
        <v>74</v>
      </c>
      <c r="BQ90" t="s">
        <v>74</v>
      </c>
      <c r="BR90" t="s">
        <v>106</v>
      </c>
      <c r="BS90" t="s">
        <v>1581</v>
      </c>
      <c r="BT90" t="str">
        <f>HYPERLINK("https%3A%2F%2Fwww.webofscience.com%2Fwos%2Fwoscc%2Ffull-record%2FWOS:000460822700001","View Full Record in Web of Science")</f>
        <v>View Full Record in Web of Science</v>
      </c>
    </row>
    <row r="91" spans="1:72" x14ac:dyDescent="0.25">
      <c r="A91" t="s">
        <v>72</v>
      </c>
      <c r="B91" t="s">
        <v>1582</v>
      </c>
      <c r="C91" t="s">
        <v>74</v>
      </c>
      <c r="D91" t="s">
        <v>74</v>
      </c>
      <c r="E91" t="s">
        <v>74</v>
      </c>
      <c r="F91" t="s">
        <v>1583</v>
      </c>
      <c r="G91" t="s">
        <v>74</v>
      </c>
      <c r="H91" t="s">
        <v>74</v>
      </c>
      <c r="I91" t="s">
        <v>1584</v>
      </c>
      <c r="J91" t="s">
        <v>77</v>
      </c>
      <c r="K91" t="s">
        <v>74</v>
      </c>
      <c r="L91" t="s">
        <v>74</v>
      </c>
      <c r="M91" t="s">
        <v>78</v>
      </c>
      <c r="N91" t="s">
        <v>79</v>
      </c>
      <c r="O91" t="s">
        <v>74</v>
      </c>
      <c r="P91" t="s">
        <v>74</v>
      </c>
      <c r="Q91" t="s">
        <v>74</v>
      </c>
      <c r="R91" t="s">
        <v>74</v>
      </c>
      <c r="S91" t="s">
        <v>74</v>
      </c>
      <c r="T91" t="s">
        <v>1585</v>
      </c>
      <c r="U91" t="s">
        <v>1586</v>
      </c>
      <c r="V91" t="s">
        <v>1587</v>
      </c>
      <c r="W91" t="s">
        <v>1588</v>
      </c>
      <c r="X91" t="s">
        <v>1589</v>
      </c>
      <c r="Y91" t="s">
        <v>1590</v>
      </c>
      <c r="Z91" t="s">
        <v>1591</v>
      </c>
      <c r="AA91" t="s">
        <v>1592</v>
      </c>
      <c r="AB91" t="s">
        <v>1593</v>
      </c>
      <c r="AC91" t="s">
        <v>1594</v>
      </c>
      <c r="AD91" t="s">
        <v>416</v>
      </c>
      <c r="AE91" t="s">
        <v>1595</v>
      </c>
      <c r="AF91" t="s">
        <v>74</v>
      </c>
      <c r="AG91">
        <v>66</v>
      </c>
      <c r="AH91">
        <v>16</v>
      </c>
      <c r="AI91">
        <v>16</v>
      </c>
      <c r="AJ91">
        <v>0</v>
      </c>
      <c r="AK91">
        <v>9</v>
      </c>
      <c r="AL91" t="s">
        <v>92</v>
      </c>
      <c r="AM91" t="s">
        <v>93</v>
      </c>
      <c r="AN91" t="s">
        <v>94</v>
      </c>
      <c r="AO91" t="s">
        <v>95</v>
      </c>
      <c r="AP91" t="s">
        <v>96</v>
      </c>
      <c r="AQ91" t="s">
        <v>74</v>
      </c>
      <c r="AR91" t="s">
        <v>97</v>
      </c>
      <c r="AS91" t="s">
        <v>98</v>
      </c>
      <c r="AT91" t="s">
        <v>471</v>
      </c>
      <c r="AU91">
        <v>2019</v>
      </c>
      <c r="AV91">
        <v>64</v>
      </c>
      <c r="AW91">
        <v>1</v>
      </c>
      <c r="AX91" t="s">
        <v>74</v>
      </c>
      <c r="AY91" t="s">
        <v>74</v>
      </c>
      <c r="AZ91" t="s">
        <v>74</v>
      </c>
      <c r="BA91" t="s">
        <v>74</v>
      </c>
      <c r="BB91" t="s">
        <v>74</v>
      </c>
      <c r="BC91" t="s">
        <v>74</v>
      </c>
      <c r="BD91">
        <v>15008</v>
      </c>
      <c r="BE91" t="s">
        <v>1596</v>
      </c>
      <c r="BF91" t="str">
        <f>HYPERLINK("http://dx.doi.org/10.1088/1361-6560/aaf5df","http://dx.doi.org/10.1088/1361-6560/aaf5df")</f>
        <v>http://dx.doi.org/10.1088/1361-6560/aaf5df</v>
      </c>
      <c r="BG91" t="s">
        <v>74</v>
      </c>
      <c r="BH91" t="s">
        <v>74</v>
      </c>
      <c r="BI91">
        <v>13</v>
      </c>
      <c r="BJ91" t="s">
        <v>101</v>
      </c>
      <c r="BK91" t="s">
        <v>102</v>
      </c>
      <c r="BL91" t="s">
        <v>103</v>
      </c>
      <c r="BM91" t="s">
        <v>1597</v>
      </c>
      <c r="BN91">
        <v>30523805</v>
      </c>
      <c r="BO91" t="s">
        <v>74</v>
      </c>
      <c r="BP91" t="s">
        <v>74</v>
      </c>
      <c r="BQ91" t="s">
        <v>74</v>
      </c>
      <c r="BR91" t="s">
        <v>106</v>
      </c>
      <c r="BS91" t="s">
        <v>1598</v>
      </c>
      <c r="BT91" t="str">
        <f>HYPERLINK("https%3A%2F%2Fwww.webofscience.com%2Fwos%2Fwoscc%2Ffull-record%2FWOS:000454239200001","View Full Record in Web of Science")</f>
        <v>View Full Record in Web of Science</v>
      </c>
    </row>
    <row r="92" spans="1:72" x14ac:dyDescent="0.25">
      <c r="A92" t="s">
        <v>72</v>
      </c>
      <c r="B92" t="s">
        <v>1599</v>
      </c>
      <c r="C92" t="s">
        <v>74</v>
      </c>
      <c r="D92" t="s">
        <v>74</v>
      </c>
      <c r="E92" t="s">
        <v>74</v>
      </c>
      <c r="F92" t="s">
        <v>1600</v>
      </c>
      <c r="G92" t="s">
        <v>74</v>
      </c>
      <c r="H92" t="s">
        <v>74</v>
      </c>
      <c r="I92" t="s">
        <v>1601</v>
      </c>
      <c r="J92" t="s">
        <v>77</v>
      </c>
      <c r="K92" t="s">
        <v>74</v>
      </c>
      <c r="L92" t="s">
        <v>74</v>
      </c>
      <c r="M92" t="s">
        <v>78</v>
      </c>
      <c r="N92" t="s">
        <v>79</v>
      </c>
      <c r="O92" t="s">
        <v>74</v>
      </c>
      <c r="P92" t="s">
        <v>74</v>
      </c>
      <c r="Q92" t="s">
        <v>74</v>
      </c>
      <c r="R92" t="s">
        <v>74</v>
      </c>
      <c r="S92" t="s">
        <v>74</v>
      </c>
      <c r="T92" t="s">
        <v>1602</v>
      </c>
      <c r="U92" t="s">
        <v>1603</v>
      </c>
      <c r="V92" t="s">
        <v>1604</v>
      </c>
      <c r="W92" t="s">
        <v>1605</v>
      </c>
      <c r="X92" t="s">
        <v>1606</v>
      </c>
      <c r="Y92" t="s">
        <v>1607</v>
      </c>
      <c r="Z92" t="s">
        <v>1561</v>
      </c>
      <c r="AA92" t="s">
        <v>74</v>
      </c>
      <c r="AB92" t="s">
        <v>74</v>
      </c>
      <c r="AC92" t="s">
        <v>1608</v>
      </c>
      <c r="AD92" t="s">
        <v>1609</v>
      </c>
      <c r="AE92" t="s">
        <v>1610</v>
      </c>
      <c r="AF92" t="s">
        <v>74</v>
      </c>
      <c r="AG92">
        <v>38</v>
      </c>
      <c r="AH92">
        <v>12</v>
      </c>
      <c r="AI92">
        <v>13</v>
      </c>
      <c r="AJ92">
        <v>0</v>
      </c>
      <c r="AK92">
        <v>14</v>
      </c>
      <c r="AL92" t="s">
        <v>92</v>
      </c>
      <c r="AM92" t="s">
        <v>93</v>
      </c>
      <c r="AN92" t="s">
        <v>94</v>
      </c>
      <c r="AO92" t="s">
        <v>95</v>
      </c>
      <c r="AP92" t="s">
        <v>96</v>
      </c>
      <c r="AQ92" t="s">
        <v>74</v>
      </c>
      <c r="AR92" t="s">
        <v>97</v>
      </c>
      <c r="AS92" t="s">
        <v>98</v>
      </c>
      <c r="AT92" t="s">
        <v>99</v>
      </c>
      <c r="AU92">
        <v>2019</v>
      </c>
      <c r="AV92">
        <v>64</v>
      </c>
      <c r="AW92">
        <v>24</v>
      </c>
      <c r="AX92" t="s">
        <v>74</v>
      </c>
      <c r="AY92" t="s">
        <v>74</v>
      </c>
      <c r="AZ92" t="s">
        <v>74</v>
      </c>
      <c r="BA92" t="s">
        <v>74</v>
      </c>
      <c r="BB92" t="s">
        <v>74</v>
      </c>
      <c r="BC92" t="s">
        <v>74</v>
      </c>
      <c r="BD92">
        <v>245014</v>
      </c>
      <c r="BE92" t="s">
        <v>1611</v>
      </c>
      <c r="BF92" t="str">
        <f>HYPERLINK("http://dx.doi.org/10.1088/1361-6560/ab59a4","http://dx.doi.org/10.1088/1361-6560/ab59a4")</f>
        <v>http://dx.doi.org/10.1088/1361-6560/ab59a4</v>
      </c>
      <c r="BG92" t="s">
        <v>74</v>
      </c>
      <c r="BH92" t="s">
        <v>74</v>
      </c>
      <c r="BI92">
        <v>11</v>
      </c>
      <c r="BJ92" t="s">
        <v>101</v>
      </c>
      <c r="BK92" t="s">
        <v>102</v>
      </c>
      <c r="BL92" t="s">
        <v>103</v>
      </c>
      <c r="BM92" t="s">
        <v>1612</v>
      </c>
      <c r="BN92">
        <v>31747654</v>
      </c>
      <c r="BO92" t="s">
        <v>105</v>
      </c>
      <c r="BP92" t="s">
        <v>74</v>
      </c>
      <c r="BQ92" t="s">
        <v>74</v>
      </c>
      <c r="BR92" t="s">
        <v>106</v>
      </c>
      <c r="BS92" t="s">
        <v>1613</v>
      </c>
      <c r="BT92" t="str">
        <f>HYPERLINK("https%3A%2F%2Fwww.webofscience.com%2Fwos%2Fwoscc%2Ffull-record%2FWOS:000513010200001","View Full Record in Web of Science")</f>
        <v>View Full Record in Web of Science</v>
      </c>
    </row>
    <row r="93" spans="1:72" x14ac:dyDescent="0.25">
      <c r="A93" t="s">
        <v>72</v>
      </c>
      <c r="B93" t="s">
        <v>1614</v>
      </c>
      <c r="C93" t="s">
        <v>74</v>
      </c>
      <c r="D93" t="s">
        <v>74</v>
      </c>
      <c r="E93" t="s">
        <v>74</v>
      </c>
      <c r="F93" t="s">
        <v>1615</v>
      </c>
      <c r="G93" t="s">
        <v>74</v>
      </c>
      <c r="H93" t="s">
        <v>74</v>
      </c>
      <c r="I93" t="s">
        <v>1616</v>
      </c>
      <c r="J93" t="s">
        <v>77</v>
      </c>
      <c r="K93" t="s">
        <v>74</v>
      </c>
      <c r="L93" t="s">
        <v>74</v>
      </c>
      <c r="M93" t="s">
        <v>78</v>
      </c>
      <c r="N93" t="s">
        <v>79</v>
      </c>
      <c r="O93" t="s">
        <v>74</v>
      </c>
      <c r="P93" t="s">
        <v>74</v>
      </c>
      <c r="Q93" t="s">
        <v>74</v>
      </c>
      <c r="R93" t="s">
        <v>74</v>
      </c>
      <c r="S93" t="s">
        <v>74</v>
      </c>
      <c r="T93" t="s">
        <v>1617</v>
      </c>
      <c r="U93" t="s">
        <v>1618</v>
      </c>
      <c r="V93" t="s">
        <v>1619</v>
      </c>
      <c r="W93" t="s">
        <v>1620</v>
      </c>
      <c r="X93" t="s">
        <v>463</v>
      </c>
      <c r="Y93" t="s">
        <v>733</v>
      </c>
      <c r="Z93" t="s">
        <v>734</v>
      </c>
      <c r="AA93" t="s">
        <v>1621</v>
      </c>
      <c r="AB93" t="s">
        <v>1622</v>
      </c>
      <c r="AC93" t="s">
        <v>737</v>
      </c>
      <c r="AD93" t="s">
        <v>738</v>
      </c>
      <c r="AE93" t="s">
        <v>1623</v>
      </c>
      <c r="AF93" t="s">
        <v>74</v>
      </c>
      <c r="AG93">
        <v>25</v>
      </c>
      <c r="AH93">
        <v>123</v>
      </c>
      <c r="AI93">
        <v>132</v>
      </c>
      <c r="AJ93">
        <v>3</v>
      </c>
      <c r="AK93">
        <v>38</v>
      </c>
      <c r="AL93" t="s">
        <v>92</v>
      </c>
      <c r="AM93" t="s">
        <v>93</v>
      </c>
      <c r="AN93" t="s">
        <v>94</v>
      </c>
      <c r="AO93" t="s">
        <v>95</v>
      </c>
      <c r="AP93" t="s">
        <v>96</v>
      </c>
      <c r="AQ93" t="s">
        <v>74</v>
      </c>
      <c r="AR93" t="s">
        <v>97</v>
      </c>
      <c r="AS93" t="s">
        <v>98</v>
      </c>
      <c r="AT93" t="s">
        <v>137</v>
      </c>
      <c r="AU93">
        <v>2019</v>
      </c>
      <c r="AV93">
        <v>64</v>
      </c>
      <c r="AW93">
        <v>21</v>
      </c>
      <c r="AX93" t="s">
        <v>74</v>
      </c>
      <c r="AY93" t="s">
        <v>74</v>
      </c>
      <c r="AZ93" t="s">
        <v>74</v>
      </c>
      <c r="BA93" t="s">
        <v>74</v>
      </c>
      <c r="BB93" t="s">
        <v>74</v>
      </c>
      <c r="BC93" t="s">
        <v>74</v>
      </c>
      <c r="BD93">
        <v>215016</v>
      </c>
      <c r="BE93" t="s">
        <v>1624</v>
      </c>
      <c r="BF93" t="str">
        <f>HYPERLINK("http://dx.doi.org/10.1088/1361-6560/ab4eb7","http://dx.doi.org/10.1088/1361-6560/ab4eb7")</f>
        <v>http://dx.doi.org/10.1088/1361-6560/ab4eb7</v>
      </c>
      <c r="BG93" t="s">
        <v>74</v>
      </c>
      <c r="BH93" t="s">
        <v>74</v>
      </c>
      <c r="BI93">
        <v>10</v>
      </c>
      <c r="BJ93" t="s">
        <v>101</v>
      </c>
      <c r="BK93" t="s">
        <v>102</v>
      </c>
      <c r="BL93" t="s">
        <v>103</v>
      </c>
      <c r="BM93" t="s">
        <v>1625</v>
      </c>
      <c r="BN93">
        <v>31622962</v>
      </c>
      <c r="BO93" t="s">
        <v>105</v>
      </c>
      <c r="BP93" t="s">
        <v>74</v>
      </c>
      <c r="BQ93" t="s">
        <v>74</v>
      </c>
      <c r="BR93" t="s">
        <v>106</v>
      </c>
      <c r="BS93" t="s">
        <v>1626</v>
      </c>
      <c r="BT93" t="str">
        <f>HYPERLINK("https%3A%2F%2Fwww.webofscience.com%2Fwos%2Fwoscc%2Ffull-record%2FWOS:000494858500001","View Full Record in Web of Science")</f>
        <v>View Full Record in Web of Science</v>
      </c>
    </row>
    <row r="94" spans="1:72" x14ac:dyDescent="0.25">
      <c r="A94" t="s">
        <v>72</v>
      </c>
      <c r="B94" t="s">
        <v>1627</v>
      </c>
      <c r="C94" t="s">
        <v>74</v>
      </c>
      <c r="D94" t="s">
        <v>74</v>
      </c>
      <c r="E94" t="s">
        <v>74</v>
      </c>
      <c r="F94" t="s">
        <v>1628</v>
      </c>
      <c r="G94" t="s">
        <v>74</v>
      </c>
      <c r="H94" t="s">
        <v>74</v>
      </c>
      <c r="I94" t="s">
        <v>1629</v>
      </c>
      <c r="J94" t="s">
        <v>77</v>
      </c>
      <c r="K94" t="s">
        <v>74</v>
      </c>
      <c r="L94" t="s">
        <v>74</v>
      </c>
      <c r="M94" t="s">
        <v>78</v>
      </c>
      <c r="N94" t="s">
        <v>79</v>
      </c>
      <c r="O94" t="s">
        <v>74</v>
      </c>
      <c r="P94" t="s">
        <v>74</v>
      </c>
      <c r="Q94" t="s">
        <v>74</v>
      </c>
      <c r="R94" t="s">
        <v>74</v>
      </c>
      <c r="S94" t="s">
        <v>74</v>
      </c>
      <c r="T94" t="s">
        <v>1630</v>
      </c>
      <c r="U94" t="s">
        <v>1631</v>
      </c>
      <c r="V94" t="s">
        <v>1632</v>
      </c>
      <c r="W94" t="s">
        <v>1633</v>
      </c>
      <c r="X94" t="s">
        <v>74</v>
      </c>
      <c r="Y94" t="s">
        <v>1634</v>
      </c>
      <c r="Z94" t="s">
        <v>1635</v>
      </c>
      <c r="AA94" t="s">
        <v>74</v>
      </c>
      <c r="AB94" t="s">
        <v>74</v>
      </c>
      <c r="AC94" t="s">
        <v>74</v>
      </c>
      <c r="AD94" t="s">
        <v>74</v>
      </c>
      <c r="AE94" t="s">
        <v>74</v>
      </c>
      <c r="AF94" t="s">
        <v>74</v>
      </c>
      <c r="AG94">
        <v>36</v>
      </c>
      <c r="AH94">
        <v>33</v>
      </c>
      <c r="AI94">
        <v>34</v>
      </c>
      <c r="AJ94">
        <v>0</v>
      </c>
      <c r="AK94">
        <v>7</v>
      </c>
      <c r="AL94" t="s">
        <v>92</v>
      </c>
      <c r="AM94" t="s">
        <v>93</v>
      </c>
      <c r="AN94" t="s">
        <v>94</v>
      </c>
      <c r="AO94" t="s">
        <v>95</v>
      </c>
      <c r="AP94" t="s">
        <v>96</v>
      </c>
      <c r="AQ94" t="s">
        <v>74</v>
      </c>
      <c r="AR94" t="s">
        <v>97</v>
      </c>
      <c r="AS94" t="s">
        <v>98</v>
      </c>
      <c r="AT94" t="s">
        <v>137</v>
      </c>
      <c r="AU94">
        <v>2019</v>
      </c>
      <c r="AV94">
        <v>64</v>
      </c>
      <c r="AW94">
        <v>21</v>
      </c>
      <c r="AX94" t="s">
        <v>74</v>
      </c>
      <c r="AY94" t="s">
        <v>74</v>
      </c>
      <c r="AZ94" t="s">
        <v>74</v>
      </c>
      <c r="BA94" t="s">
        <v>74</v>
      </c>
      <c r="BB94" t="s">
        <v>74</v>
      </c>
      <c r="BC94" t="s">
        <v>74</v>
      </c>
      <c r="BD94">
        <v>215005</v>
      </c>
      <c r="BE94" t="s">
        <v>1636</v>
      </c>
      <c r="BF94" t="str">
        <f>HYPERLINK("http://dx.doi.org/10.1088/1361-6560/ab3f6a","http://dx.doi.org/10.1088/1361-6560/ab3f6a")</f>
        <v>http://dx.doi.org/10.1088/1361-6560/ab3f6a</v>
      </c>
      <c r="BG94" t="s">
        <v>74</v>
      </c>
      <c r="BH94" t="s">
        <v>74</v>
      </c>
      <c r="BI94">
        <v>12</v>
      </c>
      <c r="BJ94" t="s">
        <v>101</v>
      </c>
      <c r="BK94" t="s">
        <v>102</v>
      </c>
      <c r="BL94" t="s">
        <v>103</v>
      </c>
      <c r="BM94" t="s">
        <v>708</v>
      </c>
      <c r="BN94">
        <v>31469105</v>
      </c>
      <c r="BO94" t="s">
        <v>74</v>
      </c>
      <c r="BP94" t="s">
        <v>74</v>
      </c>
      <c r="BQ94" t="s">
        <v>74</v>
      </c>
      <c r="BR94" t="s">
        <v>106</v>
      </c>
      <c r="BS94" t="s">
        <v>1637</v>
      </c>
      <c r="BT94" t="str">
        <f>HYPERLINK("https%3A%2F%2Fwww.webofscience.com%2Fwos%2Fwoscc%2Ffull-record%2FWOS:000518764400005","View Full Record in Web of Science")</f>
        <v>View Full Record in Web of Science</v>
      </c>
    </row>
    <row r="95" spans="1:72" x14ac:dyDescent="0.25">
      <c r="A95" t="s">
        <v>72</v>
      </c>
      <c r="B95" t="s">
        <v>1638</v>
      </c>
      <c r="C95" t="s">
        <v>74</v>
      </c>
      <c r="D95" t="s">
        <v>74</v>
      </c>
      <c r="E95" t="s">
        <v>74</v>
      </c>
      <c r="F95" t="s">
        <v>1639</v>
      </c>
      <c r="G95" t="s">
        <v>74</v>
      </c>
      <c r="H95" t="s">
        <v>74</v>
      </c>
      <c r="I95" t="s">
        <v>1640</v>
      </c>
      <c r="J95" t="s">
        <v>77</v>
      </c>
      <c r="K95" t="s">
        <v>74</v>
      </c>
      <c r="L95" t="s">
        <v>74</v>
      </c>
      <c r="M95" t="s">
        <v>78</v>
      </c>
      <c r="N95" t="s">
        <v>79</v>
      </c>
      <c r="O95" t="s">
        <v>74</v>
      </c>
      <c r="P95" t="s">
        <v>74</v>
      </c>
      <c r="Q95" t="s">
        <v>74</v>
      </c>
      <c r="R95" t="s">
        <v>74</v>
      </c>
      <c r="S95" t="s">
        <v>74</v>
      </c>
      <c r="T95" t="s">
        <v>1641</v>
      </c>
      <c r="U95" t="s">
        <v>1642</v>
      </c>
      <c r="V95" t="s">
        <v>1643</v>
      </c>
      <c r="W95" t="s">
        <v>1644</v>
      </c>
      <c r="X95" t="s">
        <v>1645</v>
      </c>
      <c r="Y95" t="s">
        <v>1646</v>
      </c>
      <c r="Z95" t="s">
        <v>1647</v>
      </c>
      <c r="AA95" t="s">
        <v>1648</v>
      </c>
      <c r="AB95" t="s">
        <v>1649</v>
      </c>
      <c r="AC95" t="s">
        <v>74</v>
      </c>
      <c r="AD95" t="s">
        <v>74</v>
      </c>
      <c r="AE95" t="s">
        <v>74</v>
      </c>
      <c r="AF95" t="s">
        <v>74</v>
      </c>
      <c r="AG95">
        <v>45</v>
      </c>
      <c r="AH95">
        <v>2</v>
      </c>
      <c r="AI95">
        <v>2</v>
      </c>
      <c r="AJ95">
        <v>0</v>
      </c>
      <c r="AK95">
        <v>10</v>
      </c>
      <c r="AL95" t="s">
        <v>157</v>
      </c>
      <c r="AM95" t="s">
        <v>93</v>
      </c>
      <c r="AN95" t="s">
        <v>94</v>
      </c>
      <c r="AO95" t="s">
        <v>95</v>
      </c>
      <c r="AP95" t="s">
        <v>96</v>
      </c>
      <c r="AQ95" t="s">
        <v>74</v>
      </c>
      <c r="AR95" t="s">
        <v>97</v>
      </c>
      <c r="AS95" t="s">
        <v>98</v>
      </c>
      <c r="AT95" t="s">
        <v>137</v>
      </c>
      <c r="AU95">
        <v>2019</v>
      </c>
      <c r="AV95">
        <v>64</v>
      </c>
      <c r="AW95">
        <v>22</v>
      </c>
      <c r="AX95" t="s">
        <v>74</v>
      </c>
      <c r="AY95" t="s">
        <v>74</v>
      </c>
      <c r="AZ95" t="s">
        <v>74</v>
      </c>
      <c r="BA95" t="s">
        <v>74</v>
      </c>
      <c r="BB95" t="s">
        <v>74</v>
      </c>
      <c r="BC95" t="s">
        <v>74</v>
      </c>
      <c r="BD95">
        <v>225002</v>
      </c>
      <c r="BE95" t="s">
        <v>1650</v>
      </c>
      <c r="BF95" t="str">
        <f>HYPERLINK("http://dx.doi.org/10.1088/1361-6560/ab4e51","http://dx.doi.org/10.1088/1361-6560/ab4e51")</f>
        <v>http://dx.doi.org/10.1088/1361-6560/ab4e51</v>
      </c>
      <c r="BG95" t="s">
        <v>74</v>
      </c>
      <c r="BH95" t="s">
        <v>74</v>
      </c>
      <c r="BI95">
        <v>12</v>
      </c>
      <c r="BJ95" t="s">
        <v>101</v>
      </c>
      <c r="BK95" t="s">
        <v>102</v>
      </c>
      <c r="BL95" t="s">
        <v>103</v>
      </c>
      <c r="BM95" t="s">
        <v>1651</v>
      </c>
      <c r="BN95">
        <v>31618719</v>
      </c>
      <c r="BO95" t="s">
        <v>74</v>
      </c>
      <c r="BP95" t="s">
        <v>74</v>
      </c>
      <c r="BQ95" t="s">
        <v>74</v>
      </c>
      <c r="BR95" t="s">
        <v>106</v>
      </c>
      <c r="BS95" t="s">
        <v>1652</v>
      </c>
      <c r="BT95" t="str">
        <f>HYPERLINK("https%3A%2F%2Fwww.webofscience.com%2Fwos%2Fwoscc%2Ffull-record%2FWOS:000499921800001","View Full Record in Web of Science")</f>
        <v>View Full Record in Web of Science</v>
      </c>
    </row>
    <row r="96" spans="1:72" x14ac:dyDescent="0.25">
      <c r="A96" t="s">
        <v>72</v>
      </c>
      <c r="B96" t="s">
        <v>1653</v>
      </c>
      <c r="C96" t="s">
        <v>74</v>
      </c>
      <c r="D96" t="s">
        <v>74</v>
      </c>
      <c r="E96" t="s">
        <v>74</v>
      </c>
      <c r="F96" t="s">
        <v>1654</v>
      </c>
      <c r="G96" t="s">
        <v>74</v>
      </c>
      <c r="H96" t="s">
        <v>74</v>
      </c>
      <c r="I96" t="s">
        <v>1655</v>
      </c>
      <c r="J96" t="s">
        <v>77</v>
      </c>
      <c r="K96" t="s">
        <v>74</v>
      </c>
      <c r="L96" t="s">
        <v>74</v>
      </c>
      <c r="M96" t="s">
        <v>78</v>
      </c>
      <c r="N96" t="s">
        <v>79</v>
      </c>
      <c r="O96" t="s">
        <v>74</v>
      </c>
      <c r="P96" t="s">
        <v>74</v>
      </c>
      <c r="Q96" t="s">
        <v>74</v>
      </c>
      <c r="R96" t="s">
        <v>74</v>
      </c>
      <c r="S96" t="s">
        <v>74</v>
      </c>
      <c r="T96" t="s">
        <v>1656</v>
      </c>
      <c r="U96" t="s">
        <v>1657</v>
      </c>
      <c r="V96" t="s">
        <v>1658</v>
      </c>
      <c r="W96" t="s">
        <v>1659</v>
      </c>
      <c r="X96" t="s">
        <v>1660</v>
      </c>
      <c r="Y96" t="s">
        <v>1661</v>
      </c>
      <c r="Z96" t="s">
        <v>1662</v>
      </c>
      <c r="AA96" t="s">
        <v>1663</v>
      </c>
      <c r="AB96" t="s">
        <v>1664</v>
      </c>
      <c r="AC96" t="s">
        <v>74</v>
      </c>
      <c r="AD96" t="s">
        <v>74</v>
      </c>
      <c r="AE96" t="s">
        <v>74</v>
      </c>
      <c r="AF96" t="s">
        <v>74</v>
      </c>
      <c r="AG96">
        <v>29</v>
      </c>
      <c r="AH96">
        <v>5</v>
      </c>
      <c r="AI96">
        <v>5</v>
      </c>
      <c r="AJ96">
        <v>0</v>
      </c>
      <c r="AK96">
        <v>2</v>
      </c>
      <c r="AL96" t="s">
        <v>92</v>
      </c>
      <c r="AM96" t="s">
        <v>93</v>
      </c>
      <c r="AN96" t="s">
        <v>94</v>
      </c>
      <c r="AO96" t="s">
        <v>95</v>
      </c>
      <c r="AP96" t="s">
        <v>96</v>
      </c>
      <c r="AQ96" t="s">
        <v>74</v>
      </c>
      <c r="AR96" t="s">
        <v>97</v>
      </c>
      <c r="AS96" t="s">
        <v>98</v>
      </c>
      <c r="AT96" t="s">
        <v>509</v>
      </c>
      <c r="AU96">
        <v>2019</v>
      </c>
      <c r="AV96">
        <v>64</v>
      </c>
      <c r="AW96">
        <v>20</v>
      </c>
      <c r="AX96" t="s">
        <v>74</v>
      </c>
      <c r="AY96" t="s">
        <v>74</v>
      </c>
      <c r="AZ96" t="s">
        <v>74</v>
      </c>
      <c r="BA96" t="s">
        <v>74</v>
      </c>
      <c r="BB96" t="s">
        <v>74</v>
      </c>
      <c r="BC96" t="s">
        <v>74</v>
      </c>
      <c r="BD96">
        <v>205013</v>
      </c>
      <c r="BE96" t="s">
        <v>1665</v>
      </c>
      <c r="BF96" t="str">
        <f>HYPERLINK("http://dx.doi.org/10.1088/1361-6560/ab4495","http://dx.doi.org/10.1088/1361-6560/ab4495")</f>
        <v>http://dx.doi.org/10.1088/1361-6560/ab4495</v>
      </c>
      <c r="BG96" t="s">
        <v>74</v>
      </c>
      <c r="BH96" t="s">
        <v>74</v>
      </c>
      <c r="BI96">
        <v>15</v>
      </c>
      <c r="BJ96" t="s">
        <v>101</v>
      </c>
      <c r="BK96" t="s">
        <v>102</v>
      </c>
      <c r="BL96" t="s">
        <v>103</v>
      </c>
      <c r="BM96" t="s">
        <v>741</v>
      </c>
      <c r="BN96">
        <v>31631886</v>
      </c>
      <c r="BO96" t="s">
        <v>74</v>
      </c>
      <c r="BP96" t="s">
        <v>74</v>
      </c>
      <c r="BQ96" t="s">
        <v>74</v>
      </c>
      <c r="BR96" t="s">
        <v>106</v>
      </c>
      <c r="BS96" t="s">
        <v>1666</v>
      </c>
      <c r="BT96" t="str">
        <f>HYPERLINK("https%3A%2F%2Fwww.webofscience.com%2Fwos%2Fwoscc%2Ffull-record%2FWOS:000500247900013","View Full Record in Web of Science")</f>
        <v>View Full Record in Web of Science</v>
      </c>
    </row>
    <row r="97" spans="1:72" x14ac:dyDescent="0.25">
      <c r="A97" t="s">
        <v>72</v>
      </c>
      <c r="B97" t="s">
        <v>1667</v>
      </c>
      <c r="C97" t="s">
        <v>74</v>
      </c>
      <c r="D97" t="s">
        <v>74</v>
      </c>
      <c r="E97" t="s">
        <v>74</v>
      </c>
      <c r="F97" t="s">
        <v>1668</v>
      </c>
      <c r="G97" t="s">
        <v>74</v>
      </c>
      <c r="H97" t="s">
        <v>74</v>
      </c>
      <c r="I97" t="s">
        <v>1669</v>
      </c>
      <c r="J97" t="s">
        <v>77</v>
      </c>
      <c r="K97" t="s">
        <v>74</v>
      </c>
      <c r="L97" t="s">
        <v>74</v>
      </c>
      <c r="M97" t="s">
        <v>78</v>
      </c>
      <c r="N97" t="s">
        <v>79</v>
      </c>
      <c r="O97" t="s">
        <v>74</v>
      </c>
      <c r="P97" t="s">
        <v>74</v>
      </c>
      <c r="Q97" t="s">
        <v>74</v>
      </c>
      <c r="R97" t="s">
        <v>74</v>
      </c>
      <c r="S97" t="s">
        <v>74</v>
      </c>
      <c r="T97" t="s">
        <v>1670</v>
      </c>
      <c r="U97" t="s">
        <v>1671</v>
      </c>
      <c r="V97" t="s">
        <v>1672</v>
      </c>
      <c r="W97" t="s">
        <v>1673</v>
      </c>
      <c r="X97" t="s">
        <v>1674</v>
      </c>
      <c r="Y97" t="s">
        <v>1675</v>
      </c>
      <c r="Z97" t="s">
        <v>1676</v>
      </c>
      <c r="AA97" t="s">
        <v>1677</v>
      </c>
      <c r="AB97" t="s">
        <v>1678</v>
      </c>
      <c r="AC97" t="s">
        <v>1679</v>
      </c>
      <c r="AD97" t="s">
        <v>1680</v>
      </c>
      <c r="AE97" t="s">
        <v>1681</v>
      </c>
      <c r="AF97" t="s">
        <v>74</v>
      </c>
      <c r="AG97">
        <v>20</v>
      </c>
      <c r="AH97">
        <v>3</v>
      </c>
      <c r="AI97">
        <v>5</v>
      </c>
      <c r="AJ97">
        <v>0</v>
      </c>
      <c r="AK97">
        <v>1</v>
      </c>
      <c r="AL97" t="s">
        <v>92</v>
      </c>
      <c r="AM97" t="s">
        <v>93</v>
      </c>
      <c r="AN97" t="s">
        <v>94</v>
      </c>
      <c r="AO97" t="s">
        <v>95</v>
      </c>
      <c r="AP97" t="s">
        <v>96</v>
      </c>
      <c r="AQ97" t="s">
        <v>74</v>
      </c>
      <c r="AR97" t="s">
        <v>97</v>
      </c>
      <c r="AS97" t="s">
        <v>98</v>
      </c>
      <c r="AT97" t="s">
        <v>509</v>
      </c>
      <c r="AU97">
        <v>2019</v>
      </c>
      <c r="AV97">
        <v>64</v>
      </c>
      <c r="AW97">
        <v>20</v>
      </c>
      <c r="AX97" t="s">
        <v>74</v>
      </c>
      <c r="AY97" t="s">
        <v>74</v>
      </c>
      <c r="AZ97" t="s">
        <v>74</v>
      </c>
      <c r="BA97" t="s">
        <v>74</v>
      </c>
      <c r="BB97" t="s">
        <v>74</v>
      </c>
      <c r="BC97" t="s">
        <v>74</v>
      </c>
      <c r="BD97">
        <v>205007</v>
      </c>
      <c r="BE97" t="s">
        <v>1682</v>
      </c>
      <c r="BF97" t="str">
        <f>HYPERLINK("http://dx.doi.org/10.1088/1361-6560/ab4460","http://dx.doi.org/10.1088/1361-6560/ab4460")</f>
        <v>http://dx.doi.org/10.1088/1361-6560/ab4460</v>
      </c>
      <c r="BG97" t="s">
        <v>74</v>
      </c>
      <c r="BH97" t="s">
        <v>74</v>
      </c>
      <c r="BI97">
        <v>8</v>
      </c>
      <c r="BJ97" t="s">
        <v>101</v>
      </c>
      <c r="BK97" t="s">
        <v>102</v>
      </c>
      <c r="BL97" t="s">
        <v>103</v>
      </c>
      <c r="BM97" t="s">
        <v>741</v>
      </c>
      <c r="BN97">
        <v>31519004</v>
      </c>
      <c r="BO97" t="s">
        <v>74</v>
      </c>
      <c r="BP97" t="s">
        <v>74</v>
      </c>
      <c r="BQ97" t="s">
        <v>74</v>
      </c>
      <c r="BR97" t="s">
        <v>106</v>
      </c>
      <c r="BS97" t="s">
        <v>1683</v>
      </c>
      <c r="BT97" t="str">
        <f>HYPERLINK("https%3A%2F%2Fwww.webofscience.com%2Fwos%2Fwoscc%2Ffull-record%2FWOS:000500247900007","View Full Record in Web of Science")</f>
        <v>View Full Record in Web of Science</v>
      </c>
    </row>
    <row r="98" spans="1:72" x14ac:dyDescent="0.25">
      <c r="A98" t="s">
        <v>72</v>
      </c>
      <c r="B98" t="s">
        <v>1684</v>
      </c>
      <c r="C98" t="s">
        <v>74</v>
      </c>
      <c r="D98" t="s">
        <v>74</v>
      </c>
      <c r="E98" t="s">
        <v>74</v>
      </c>
      <c r="F98" t="s">
        <v>1685</v>
      </c>
      <c r="G98" t="s">
        <v>74</v>
      </c>
      <c r="H98" t="s">
        <v>74</v>
      </c>
      <c r="I98" t="s">
        <v>1686</v>
      </c>
      <c r="J98" t="s">
        <v>77</v>
      </c>
      <c r="K98" t="s">
        <v>74</v>
      </c>
      <c r="L98" t="s">
        <v>74</v>
      </c>
      <c r="M98" t="s">
        <v>78</v>
      </c>
      <c r="N98" t="s">
        <v>79</v>
      </c>
      <c r="O98" t="s">
        <v>74</v>
      </c>
      <c r="P98" t="s">
        <v>74</v>
      </c>
      <c r="Q98" t="s">
        <v>74</v>
      </c>
      <c r="R98" t="s">
        <v>74</v>
      </c>
      <c r="S98" t="s">
        <v>74</v>
      </c>
      <c r="T98" t="s">
        <v>1687</v>
      </c>
      <c r="U98" t="s">
        <v>1688</v>
      </c>
      <c r="V98" t="s">
        <v>1689</v>
      </c>
      <c r="W98" t="s">
        <v>1690</v>
      </c>
      <c r="X98" t="s">
        <v>1691</v>
      </c>
      <c r="Y98" t="s">
        <v>1692</v>
      </c>
      <c r="Z98" t="s">
        <v>1693</v>
      </c>
      <c r="AA98" t="s">
        <v>1694</v>
      </c>
      <c r="AB98" t="s">
        <v>1695</v>
      </c>
      <c r="AC98" t="s">
        <v>1696</v>
      </c>
      <c r="AD98" t="s">
        <v>1697</v>
      </c>
      <c r="AE98" t="s">
        <v>1698</v>
      </c>
      <c r="AF98" t="s">
        <v>74</v>
      </c>
      <c r="AG98">
        <v>40</v>
      </c>
      <c r="AH98">
        <v>35</v>
      </c>
      <c r="AI98">
        <v>37</v>
      </c>
      <c r="AJ98">
        <v>1</v>
      </c>
      <c r="AK98">
        <v>79</v>
      </c>
      <c r="AL98" t="s">
        <v>92</v>
      </c>
      <c r="AM98" t="s">
        <v>93</v>
      </c>
      <c r="AN98" t="s">
        <v>94</v>
      </c>
      <c r="AO98" t="s">
        <v>95</v>
      </c>
      <c r="AP98" t="s">
        <v>96</v>
      </c>
      <c r="AQ98" t="s">
        <v>74</v>
      </c>
      <c r="AR98" t="s">
        <v>97</v>
      </c>
      <c r="AS98" t="s">
        <v>98</v>
      </c>
      <c r="AT98" t="s">
        <v>509</v>
      </c>
      <c r="AU98">
        <v>2019</v>
      </c>
      <c r="AV98">
        <v>64</v>
      </c>
      <c r="AW98">
        <v>19</v>
      </c>
      <c r="AX98" t="s">
        <v>74</v>
      </c>
      <c r="AY98" t="s">
        <v>74</v>
      </c>
      <c r="AZ98" t="s">
        <v>74</v>
      </c>
      <c r="BA98" t="s">
        <v>74</v>
      </c>
      <c r="BB98" t="s">
        <v>74</v>
      </c>
      <c r="BC98" t="s">
        <v>74</v>
      </c>
      <c r="BD98">
        <v>195007</v>
      </c>
      <c r="BE98" t="s">
        <v>1699</v>
      </c>
      <c r="BF98" t="str">
        <f>HYPERLINK("http://dx.doi.org/10.1088/1361-6560/ab2154","http://dx.doi.org/10.1088/1361-6560/ab2154")</f>
        <v>http://dx.doi.org/10.1088/1361-6560/ab2154</v>
      </c>
      <c r="BG98" t="s">
        <v>74</v>
      </c>
      <c r="BH98" t="s">
        <v>74</v>
      </c>
      <c r="BI98">
        <v>11</v>
      </c>
      <c r="BJ98" t="s">
        <v>101</v>
      </c>
      <c r="BK98" t="s">
        <v>102</v>
      </c>
      <c r="BL98" t="s">
        <v>103</v>
      </c>
      <c r="BM98" t="s">
        <v>723</v>
      </c>
      <c r="BN98">
        <v>31082811</v>
      </c>
      <c r="BO98" t="s">
        <v>74</v>
      </c>
      <c r="BP98" t="s">
        <v>74</v>
      </c>
      <c r="BQ98" t="s">
        <v>74</v>
      </c>
      <c r="BR98" t="s">
        <v>106</v>
      </c>
      <c r="BS98" t="s">
        <v>1700</v>
      </c>
      <c r="BT98" t="str">
        <f>HYPERLINK("https%3A%2F%2Fwww.webofscience.com%2Fwos%2Fwoscc%2Ffull-record%2FWOS:000505953700001","View Full Record in Web of Science")</f>
        <v>View Full Record in Web of Science</v>
      </c>
    </row>
    <row r="99" spans="1:72" x14ac:dyDescent="0.25">
      <c r="A99" t="s">
        <v>72</v>
      </c>
      <c r="B99" t="s">
        <v>1701</v>
      </c>
      <c r="C99" t="s">
        <v>74</v>
      </c>
      <c r="D99" t="s">
        <v>74</v>
      </c>
      <c r="E99" t="s">
        <v>74</v>
      </c>
      <c r="F99" t="s">
        <v>1702</v>
      </c>
      <c r="G99" t="s">
        <v>74</v>
      </c>
      <c r="H99" t="s">
        <v>74</v>
      </c>
      <c r="I99" t="s">
        <v>1703</v>
      </c>
      <c r="J99" t="s">
        <v>77</v>
      </c>
      <c r="K99" t="s">
        <v>74</v>
      </c>
      <c r="L99" t="s">
        <v>74</v>
      </c>
      <c r="M99" t="s">
        <v>78</v>
      </c>
      <c r="N99" t="s">
        <v>79</v>
      </c>
      <c r="O99" t="s">
        <v>74</v>
      </c>
      <c r="P99" t="s">
        <v>74</v>
      </c>
      <c r="Q99" t="s">
        <v>74</v>
      </c>
      <c r="R99" t="s">
        <v>74</v>
      </c>
      <c r="S99" t="s">
        <v>74</v>
      </c>
      <c r="T99" t="s">
        <v>1704</v>
      </c>
      <c r="U99" t="s">
        <v>1705</v>
      </c>
      <c r="V99" t="s">
        <v>1706</v>
      </c>
      <c r="W99" t="s">
        <v>1707</v>
      </c>
      <c r="X99" t="s">
        <v>1708</v>
      </c>
      <c r="Y99" t="s">
        <v>1709</v>
      </c>
      <c r="Z99" t="s">
        <v>1710</v>
      </c>
      <c r="AA99" t="s">
        <v>74</v>
      </c>
      <c r="AB99" t="s">
        <v>1711</v>
      </c>
      <c r="AC99" t="s">
        <v>1712</v>
      </c>
      <c r="AD99" t="s">
        <v>1713</v>
      </c>
      <c r="AE99" t="s">
        <v>1714</v>
      </c>
      <c r="AF99" t="s">
        <v>74</v>
      </c>
      <c r="AG99">
        <v>37</v>
      </c>
      <c r="AH99">
        <v>11</v>
      </c>
      <c r="AI99">
        <v>11</v>
      </c>
      <c r="AJ99">
        <v>0</v>
      </c>
      <c r="AK99">
        <v>3</v>
      </c>
      <c r="AL99" t="s">
        <v>157</v>
      </c>
      <c r="AM99" t="s">
        <v>93</v>
      </c>
      <c r="AN99" t="s">
        <v>94</v>
      </c>
      <c r="AO99" t="s">
        <v>95</v>
      </c>
      <c r="AP99" t="s">
        <v>96</v>
      </c>
      <c r="AQ99" t="s">
        <v>74</v>
      </c>
      <c r="AR99" t="s">
        <v>97</v>
      </c>
      <c r="AS99" t="s">
        <v>98</v>
      </c>
      <c r="AT99" t="s">
        <v>176</v>
      </c>
      <c r="AU99">
        <v>2019</v>
      </c>
      <c r="AV99">
        <v>64</v>
      </c>
      <c r="AW99">
        <v>18</v>
      </c>
      <c r="AX99" t="s">
        <v>74</v>
      </c>
      <c r="AY99" t="s">
        <v>74</v>
      </c>
      <c r="AZ99" t="s">
        <v>74</v>
      </c>
      <c r="BA99" t="s">
        <v>74</v>
      </c>
      <c r="BB99" t="s">
        <v>74</v>
      </c>
      <c r="BC99" t="s">
        <v>74</v>
      </c>
      <c r="BD99">
        <v>185008</v>
      </c>
      <c r="BE99" t="s">
        <v>1715</v>
      </c>
      <c r="BF99" t="str">
        <f>HYPERLINK("http://dx.doi.org/10.1088/1361-6560/ab3e99","http://dx.doi.org/10.1088/1361-6560/ab3e99")</f>
        <v>http://dx.doi.org/10.1088/1361-6560/ab3e99</v>
      </c>
      <c r="BG99" t="s">
        <v>74</v>
      </c>
      <c r="BH99" t="s">
        <v>74</v>
      </c>
      <c r="BI99">
        <v>9</v>
      </c>
      <c r="BJ99" t="s">
        <v>101</v>
      </c>
      <c r="BK99" t="s">
        <v>102</v>
      </c>
      <c r="BL99" t="s">
        <v>103</v>
      </c>
      <c r="BM99" t="s">
        <v>1058</v>
      </c>
      <c r="BN99">
        <v>31461412</v>
      </c>
      <c r="BO99" t="s">
        <v>74</v>
      </c>
      <c r="BP99" t="s">
        <v>74</v>
      </c>
      <c r="BQ99" t="s">
        <v>74</v>
      </c>
      <c r="BR99" t="s">
        <v>106</v>
      </c>
      <c r="BS99" t="s">
        <v>1716</v>
      </c>
      <c r="BT99" t="str">
        <f>HYPERLINK("https%3A%2F%2Fwww.webofscience.com%2Fwos%2Fwoscc%2Ffull-record%2FWOS:000486374400002","View Full Record in Web of Science")</f>
        <v>View Full Record in Web of Science</v>
      </c>
    </row>
    <row r="100" spans="1:72" x14ac:dyDescent="0.25">
      <c r="A100" t="s">
        <v>72</v>
      </c>
      <c r="B100" t="s">
        <v>1717</v>
      </c>
      <c r="C100" t="s">
        <v>74</v>
      </c>
      <c r="D100" t="s">
        <v>74</v>
      </c>
      <c r="E100" t="s">
        <v>74</v>
      </c>
      <c r="F100" t="s">
        <v>1718</v>
      </c>
      <c r="G100" t="s">
        <v>74</v>
      </c>
      <c r="H100" t="s">
        <v>74</v>
      </c>
      <c r="I100" t="s">
        <v>1719</v>
      </c>
      <c r="J100" t="s">
        <v>77</v>
      </c>
      <c r="K100" t="s">
        <v>74</v>
      </c>
      <c r="L100" t="s">
        <v>74</v>
      </c>
      <c r="M100" t="s">
        <v>78</v>
      </c>
      <c r="N100" t="s">
        <v>79</v>
      </c>
      <c r="O100" t="s">
        <v>74</v>
      </c>
      <c r="P100" t="s">
        <v>74</v>
      </c>
      <c r="Q100" t="s">
        <v>74</v>
      </c>
      <c r="R100" t="s">
        <v>74</v>
      </c>
      <c r="S100" t="s">
        <v>74</v>
      </c>
      <c r="T100" t="s">
        <v>1720</v>
      </c>
      <c r="U100" t="s">
        <v>1721</v>
      </c>
      <c r="V100" t="s">
        <v>1722</v>
      </c>
      <c r="W100" t="s">
        <v>1723</v>
      </c>
      <c r="X100" t="s">
        <v>1724</v>
      </c>
      <c r="Y100" t="s">
        <v>1725</v>
      </c>
      <c r="Z100" t="s">
        <v>1726</v>
      </c>
      <c r="AA100" t="s">
        <v>1727</v>
      </c>
      <c r="AB100" t="s">
        <v>1728</v>
      </c>
      <c r="AC100" t="s">
        <v>74</v>
      </c>
      <c r="AD100" t="s">
        <v>74</v>
      </c>
      <c r="AE100" t="s">
        <v>74</v>
      </c>
      <c r="AF100" t="s">
        <v>74</v>
      </c>
      <c r="AG100">
        <v>25</v>
      </c>
      <c r="AH100">
        <v>31</v>
      </c>
      <c r="AI100">
        <v>32</v>
      </c>
      <c r="AJ100">
        <v>1</v>
      </c>
      <c r="AK100">
        <v>10</v>
      </c>
      <c r="AL100" t="s">
        <v>92</v>
      </c>
      <c r="AM100" t="s">
        <v>93</v>
      </c>
      <c r="AN100" t="s">
        <v>94</v>
      </c>
      <c r="AO100" t="s">
        <v>95</v>
      </c>
      <c r="AP100" t="s">
        <v>96</v>
      </c>
      <c r="AQ100" t="s">
        <v>74</v>
      </c>
      <c r="AR100" t="s">
        <v>97</v>
      </c>
      <c r="AS100" t="s">
        <v>98</v>
      </c>
      <c r="AT100" t="s">
        <v>176</v>
      </c>
      <c r="AU100">
        <v>2019</v>
      </c>
      <c r="AV100">
        <v>64</v>
      </c>
      <c r="AW100">
        <v>17</v>
      </c>
      <c r="AX100" t="s">
        <v>74</v>
      </c>
      <c r="AY100" t="s">
        <v>74</v>
      </c>
      <c r="AZ100" t="s">
        <v>74</v>
      </c>
      <c r="BA100" t="s">
        <v>74</v>
      </c>
      <c r="BB100" t="s">
        <v>74</v>
      </c>
      <c r="BC100" t="s">
        <v>74</v>
      </c>
      <c r="BD100">
        <v>175007</v>
      </c>
      <c r="BE100" t="s">
        <v>1729</v>
      </c>
      <c r="BF100" t="str">
        <f>HYPERLINK("http://dx.doi.org/10.1088/1361-6560/ab2f5f","http://dx.doi.org/10.1088/1361-6560/ab2f5f")</f>
        <v>http://dx.doi.org/10.1088/1361-6560/ab2f5f</v>
      </c>
      <c r="BG100" t="s">
        <v>74</v>
      </c>
      <c r="BH100" t="s">
        <v>74</v>
      </c>
      <c r="BI100">
        <v>13</v>
      </c>
      <c r="BJ100" t="s">
        <v>101</v>
      </c>
      <c r="BK100" t="s">
        <v>102</v>
      </c>
      <c r="BL100" t="s">
        <v>103</v>
      </c>
      <c r="BM100" t="s">
        <v>776</v>
      </c>
      <c r="BN100">
        <v>31272087</v>
      </c>
      <c r="BO100" t="s">
        <v>270</v>
      </c>
      <c r="BP100" t="s">
        <v>74</v>
      </c>
      <c r="BQ100" t="s">
        <v>74</v>
      </c>
      <c r="BR100" t="s">
        <v>106</v>
      </c>
      <c r="BS100" t="s">
        <v>1730</v>
      </c>
      <c r="BT100" t="str">
        <f>HYPERLINK("https%3A%2F%2Fwww.webofscience.com%2Fwos%2Fwoscc%2Ffull-record%2FWOS:000483095200007","View Full Record in Web of Science")</f>
        <v>View Full Record in Web of Science</v>
      </c>
    </row>
    <row r="101" spans="1:72" x14ac:dyDescent="0.25">
      <c r="A101" t="s">
        <v>72</v>
      </c>
      <c r="B101" t="s">
        <v>1731</v>
      </c>
      <c r="C101" t="s">
        <v>74</v>
      </c>
      <c r="D101" t="s">
        <v>74</v>
      </c>
      <c r="E101" t="s">
        <v>74</v>
      </c>
      <c r="F101" t="s">
        <v>1732</v>
      </c>
      <c r="G101" t="s">
        <v>74</v>
      </c>
      <c r="H101" t="s">
        <v>74</v>
      </c>
      <c r="I101" t="s">
        <v>1733</v>
      </c>
      <c r="J101" t="s">
        <v>77</v>
      </c>
      <c r="K101" t="s">
        <v>74</v>
      </c>
      <c r="L101" t="s">
        <v>74</v>
      </c>
      <c r="M101" t="s">
        <v>78</v>
      </c>
      <c r="N101" t="s">
        <v>79</v>
      </c>
      <c r="O101" t="s">
        <v>74</v>
      </c>
      <c r="P101" t="s">
        <v>74</v>
      </c>
      <c r="Q101" t="s">
        <v>74</v>
      </c>
      <c r="R101" t="s">
        <v>74</v>
      </c>
      <c r="S101" t="s">
        <v>74</v>
      </c>
      <c r="T101" t="s">
        <v>1734</v>
      </c>
      <c r="U101" t="s">
        <v>1735</v>
      </c>
      <c r="V101" t="s">
        <v>1736</v>
      </c>
      <c r="W101" t="s">
        <v>1737</v>
      </c>
      <c r="X101" t="s">
        <v>1738</v>
      </c>
      <c r="Y101" t="s">
        <v>1739</v>
      </c>
      <c r="Z101" t="s">
        <v>1740</v>
      </c>
      <c r="AA101" t="s">
        <v>1741</v>
      </c>
      <c r="AB101" t="s">
        <v>1742</v>
      </c>
      <c r="AC101" t="s">
        <v>1743</v>
      </c>
      <c r="AD101" t="s">
        <v>1744</v>
      </c>
      <c r="AE101" t="s">
        <v>1745</v>
      </c>
      <c r="AF101" t="s">
        <v>74</v>
      </c>
      <c r="AG101">
        <v>50</v>
      </c>
      <c r="AH101">
        <v>4</v>
      </c>
      <c r="AI101">
        <v>4</v>
      </c>
      <c r="AJ101">
        <v>0</v>
      </c>
      <c r="AK101">
        <v>11</v>
      </c>
      <c r="AL101" t="s">
        <v>92</v>
      </c>
      <c r="AM101" t="s">
        <v>93</v>
      </c>
      <c r="AN101" t="s">
        <v>94</v>
      </c>
      <c r="AO101" t="s">
        <v>95</v>
      </c>
      <c r="AP101" t="s">
        <v>96</v>
      </c>
      <c r="AQ101" t="s">
        <v>74</v>
      </c>
      <c r="AR101" t="s">
        <v>97</v>
      </c>
      <c r="AS101" t="s">
        <v>98</v>
      </c>
      <c r="AT101" t="s">
        <v>196</v>
      </c>
      <c r="AU101">
        <v>2019</v>
      </c>
      <c r="AV101">
        <v>64</v>
      </c>
      <c r="AW101">
        <v>16</v>
      </c>
      <c r="AX101" t="s">
        <v>74</v>
      </c>
      <c r="AY101" t="s">
        <v>74</v>
      </c>
      <c r="AZ101" t="s">
        <v>74</v>
      </c>
      <c r="BA101" t="s">
        <v>74</v>
      </c>
      <c r="BB101" t="s">
        <v>74</v>
      </c>
      <c r="BC101" t="s">
        <v>74</v>
      </c>
      <c r="BD101">
        <v>165006</v>
      </c>
      <c r="BE101" t="s">
        <v>1746</v>
      </c>
      <c r="BF101" t="str">
        <f>HYPERLINK("http://dx.doi.org/10.1088/1361-6560/ab2db5","http://dx.doi.org/10.1088/1361-6560/ab2db5")</f>
        <v>http://dx.doi.org/10.1088/1361-6560/ab2db5</v>
      </c>
      <c r="BG101" t="s">
        <v>74</v>
      </c>
      <c r="BH101" t="s">
        <v>74</v>
      </c>
      <c r="BI101">
        <v>13</v>
      </c>
      <c r="BJ101" t="s">
        <v>101</v>
      </c>
      <c r="BK101" t="s">
        <v>102</v>
      </c>
      <c r="BL101" t="s">
        <v>103</v>
      </c>
      <c r="BM101" t="s">
        <v>1076</v>
      </c>
      <c r="BN101">
        <v>31252426</v>
      </c>
      <c r="BO101" t="s">
        <v>74</v>
      </c>
      <c r="BP101" t="s">
        <v>74</v>
      </c>
      <c r="BQ101" t="s">
        <v>74</v>
      </c>
      <c r="BR101" t="s">
        <v>106</v>
      </c>
      <c r="BS101" t="s">
        <v>1747</v>
      </c>
      <c r="BT101" t="str">
        <f>HYPERLINK("https%3A%2F%2Fwww.webofscience.com%2Fwos%2Fwoscc%2Ffull-record%2FWOS:000481852600006","View Full Record in Web of Science")</f>
        <v>View Full Record in Web of Science</v>
      </c>
    </row>
    <row r="102" spans="1:72" x14ac:dyDescent="0.25">
      <c r="A102" t="s">
        <v>72</v>
      </c>
      <c r="B102" t="s">
        <v>1748</v>
      </c>
      <c r="C102" t="s">
        <v>74</v>
      </c>
      <c r="D102" t="s">
        <v>74</v>
      </c>
      <c r="E102" t="s">
        <v>74</v>
      </c>
      <c r="F102" t="s">
        <v>1749</v>
      </c>
      <c r="G102" t="s">
        <v>74</v>
      </c>
      <c r="H102" t="s">
        <v>74</v>
      </c>
      <c r="I102" t="s">
        <v>1750</v>
      </c>
      <c r="J102" t="s">
        <v>77</v>
      </c>
      <c r="K102" t="s">
        <v>74</v>
      </c>
      <c r="L102" t="s">
        <v>74</v>
      </c>
      <c r="M102" t="s">
        <v>78</v>
      </c>
      <c r="N102" t="s">
        <v>79</v>
      </c>
      <c r="O102" t="s">
        <v>74</v>
      </c>
      <c r="P102" t="s">
        <v>74</v>
      </c>
      <c r="Q102" t="s">
        <v>74</v>
      </c>
      <c r="R102" t="s">
        <v>74</v>
      </c>
      <c r="S102" t="s">
        <v>74</v>
      </c>
      <c r="T102" t="s">
        <v>1751</v>
      </c>
      <c r="U102" t="s">
        <v>1752</v>
      </c>
      <c r="V102" t="s">
        <v>1753</v>
      </c>
      <c r="W102" t="s">
        <v>1754</v>
      </c>
      <c r="X102" t="s">
        <v>1755</v>
      </c>
      <c r="Y102" t="s">
        <v>1756</v>
      </c>
      <c r="Z102" t="s">
        <v>1757</v>
      </c>
      <c r="AA102" t="s">
        <v>74</v>
      </c>
      <c r="AB102" t="s">
        <v>1758</v>
      </c>
      <c r="AC102" t="s">
        <v>1759</v>
      </c>
      <c r="AD102" t="s">
        <v>1760</v>
      </c>
      <c r="AE102" t="s">
        <v>1761</v>
      </c>
      <c r="AF102" t="s">
        <v>74</v>
      </c>
      <c r="AG102">
        <v>32</v>
      </c>
      <c r="AH102">
        <v>48</v>
      </c>
      <c r="AI102">
        <v>48</v>
      </c>
      <c r="AJ102">
        <v>0</v>
      </c>
      <c r="AK102">
        <v>7</v>
      </c>
      <c r="AL102" t="s">
        <v>92</v>
      </c>
      <c r="AM102" t="s">
        <v>93</v>
      </c>
      <c r="AN102" t="s">
        <v>94</v>
      </c>
      <c r="AO102" t="s">
        <v>95</v>
      </c>
      <c r="AP102" t="s">
        <v>96</v>
      </c>
      <c r="AQ102" t="s">
        <v>74</v>
      </c>
      <c r="AR102" t="s">
        <v>97</v>
      </c>
      <c r="AS102" t="s">
        <v>98</v>
      </c>
      <c r="AT102" t="s">
        <v>196</v>
      </c>
      <c r="AU102">
        <v>2019</v>
      </c>
      <c r="AV102">
        <v>64</v>
      </c>
      <c r="AW102">
        <v>15</v>
      </c>
      <c r="AX102" t="s">
        <v>74</v>
      </c>
      <c r="AY102" t="s">
        <v>74</v>
      </c>
      <c r="AZ102" t="s">
        <v>74</v>
      </c>
      <c r="BA102" t="s">
        <v>74</v>
      </c>
      <c r="BB102" t="s">
        <v>74</v>
      </c>
      <c r="BC102" t="s">
        <v>74</v>
      </c>
      <c r="BD102" t="s">
        <v>1762</v>
      </c>
      <c r="BE102" t="s">
        <v>1763</v>
      </c>
      <c r="BF102" t="str">
        <f>HYPERLINK("http://dx.doi.org/10.1088/1361-6560/ab2667","http://dx.doi.org/10.1088/1361-6560/ab2667")</f>
        <v>http://dx.doi.org/10.1088/1361-6560/ab2667</v>
      </c>
      <c r="BG102" t="s">
        <v>74</v>
      </c>
      <c r="BH102" t="s">
        <v>74</v>
      </c>
      <c r="BI102">
        <v>7</v>
      </c>
      <c r="BJ102" t="s">
        <v>101</v>
      </c>
      <c r="BK102" t="s">
        <v>102</v>
      </c>
      <c r="BL102" t="s">
        <v>103</v>
      </c>
      <c r="BM102" t="s">
        <v>1764</v>
      </c>
      <c r="BN102">
        <v>31158831</v>
      </c>
      <c r="BO102" t="s">
        <v>74</v>
      </c>
      <c r="BP102" t="s">
        <v>74</v>
      </c>
      <c r="BQ102" t="s">
        <v>74</v>
      </c>
      <c r="BR102" t="s">
        <v>106</v>
      </c>
      <c r="BS102" t="s">
        <v>1765</v>
      </c>
      <c r="BT102" t="str">
        <f>HYPERLINK("https%3A%2F%2Fwww.webofscience.com%2Fwos%2Fwoscc%2Ffull-record%2FWOS:000478620700002","View Full Record in Web of Science")</f>
        <v>View Full Record in Web of Science</v>
      </c>
    </row>
    <row r="103" spans="1:72" x14ac:dyDescent="0.25">
      <c r="A103" t="s">
        <v>72</v>
      </c>
      <c r="B103" t="s">
        <v>1766</v>
      </c>
      <c r="C103" t="s">
        <v>74</v>
      </c>
      <c r="D103" t="s">
        <v>74</v>
      </c>
      <c r="E103" t="s">
        <v>74</v>
      </c>
      <c r="F103" t="s">
        <v>1767</v>
      </c>
      <c r="G103" t="s">
        <v>74</v>
      </c>
      <c r="H103" t="s">
        <v>74</v>
      </c>
      <c r="I103" t="s">
        <v>1768</v>
      </c>
      <c r="J103" t="s">
        <v>77</v>
      </c>
      <c r="K103" t="s">
        <v>74</v>
      </c>
      <c r="L103" t="s">
        <v>74</v>
      </c>
      <c r="M103" t="s">
        <v>78</v>
      </c>
      <c r="N103" t="s">
        <v>79</v>
      </c>
      <c r="O103" t="s">
        <v>74</v>
      </c>
      <c r="P103" t="s">
        <v>74</v>
      </c>
      <c r="Q103" t="s">
        <v>74</v>
      </c>
      <c r="R103" t="s">
        <v>74</v>
      </c>
      <c r="S103" t="s">
        <v>74</v>
      </c>
      <c r="T103" t="s">
        <v>1769</v>
      </c>
      <c r="U103" t="s">
        <v>1770</v>
      </c>
      <c r="V103" t="s">
        <v>1771</v>
      </c>
      <c r="W103" t="s">
        <v>1772</v>
      </c>
      <c r="X103" t="s">
        <v>1773</v>
      </c>
      <c r="Y103" t="s">
        <v>1774</v>
      </c>
      <c r="Z103" t="s">
        <v>1775</v>
      </c>
      <c r="AA103" t="s">
        <v>1776</v>
      </c>
      <c r="AB103" t="s">
        <v>1777</v>
      </c>
      <c r="AC103" t="s">
        <v>1778</v>
      </c>
      <c r="AD103" t="s">
        <v>1779</v>
      </c>
      <c r="AE103" t="s">
        <v>1780</v>
      </c>
      <c r="AF103" t="s">
        <v>74</v>
      </c>
      <c r="AG103">
        <v>37</v>
      </c>
      <c r="AH103">
        <v>72</v>
      </c>
      <c r="AI103">
        <v>75</v>
      </c>
      <c r="AJ103">
        <v>3</v>
      </c>
      <c r="AK103">
        <v>32</v>
      </c>
      <c r="AL103" t="s">
        <v>92</v>
      </c>
      <c r="AM103" t="s">
        <v>93</v>
      </c>
      <c r="AN103" t="s">
        <v>94</v>
      </c>
      <c r="AO103" t="s">
        <v>95</v>
      </c>
      <c r="AP103" t="s">
        <v>96</v>
      </c>
      <c r="AQ103" t="s">
        <v>74</v>
      </c>
      <c r="AR103" t="s">
        <v>97</v>
      </c>
      <c r="AS103" t="s">
        <v>98</v>
      </c>
      <c r="AT103" t="s">
        <v>196</v>
      </c>
      <c r="AU103">
        <v>2019</v>
      </c>
      <c r="AV103">
        <v>64</v>
      </c>
      <c r="AW103">
        <v>15</v>
      </c>
      <c r="AX103" t="s">
        <v>74</v>
      </c>
      <c r="AY103" t="s">
        <v>74</v>
      </c>
      <c r="AZ103" t="s">
        <v>74</v>
      </c>
      <c r="BA103" t="s">
        <v>74</v>
      </c>
      <c r="BB103" t="s">
        <v>74</v>
      </c>
      <c r="BC103" t="s">
        <v>74</v>
      </c>
      <c r="BD103">
        <v>155008</v>
      </c>
      <c r="BE103" t="s">
        <v>1781</v>
      </c>
      <c r="BF103" t="str">
        <f>HYPERLINK("http://dx.doi.org/10.1088/1361-6560/ab2cb0","http://dx.doi.org/10.1088/1361-6560/ab2cb0")</f>
        <v>http://dx.doi.org/10.1088/1361-6560/ab2cb0</v>
      </c>
      <c r="BG103" t="s">
        <v>74</v>
      </c>
      <c r="BH103" t="s">
        <v>74</v>
      </c>
      <c r="BI103">
        <v>16</v>
      </c>
      <c r="BJ103" t="s">
        <v>101</v>
      </c>
      <c r="BK103" t="s">
        <v>102</v>
      </c>
      <c r="BL103" t="s">
        <v>103</v>
      </c>
      <c r="BM103" t="s">
        <v>198</v>
      </c>
      <c r="BN103">
        <v>31239430</v>
      </c>
      <c r="BO103" t="s">
        <v>759</v>
      </c>
      <c r="BP103" t="s">
        <v>74</v>
      </c>
      <c r="BQ103" t="s">
        <v>74</v>
      </c>
      <c r="BR103" t="s">
        <v>106</v>
      </c>
      <c r="BS103" t="s">
        <v>1782</v>
      </c>
      <c r="BT103" t="str">
        <f>HYPERLINK("https%3A%2F%2Fwww.webofscience.com%2Fwos%2Fwoscc%2Ffull-record%2FWOS:000480292700003","View Full Record in Web of Science")</f>
        <v>View Full Record in Web of Science</v>
      </c>
    </row>
    <row r="104" spans="1:72" x14ac:dyDescent="0.25">
      <c r="A104" t="s">
        <v>72</v>
      </c>
      <c r="B104" t="s">
        <v>1783</v>
      </c>
      <c r="C104" t="s">
        <v>74</v>
      </c>
      <c r="D104" t="s">
        <v>74</v>
      </c>
      <c r="E104" t="s">
        <v>74</v>
      </c>
      <c r="F104" t="s">
        <v>1784</v>
      </c>
      <c r="G104" t="s">
        <v>74</v>
      </c>
      <c r="H104" t="s">
        <v>74</v>
      </c>
      <c r="I104" t="s">
        <v>1785</v>
      </c>
      <c r="J104" t="s">
        <v>77</v>
      </c>
      <c r="K104" t="s">
        <v>74</v>
      </c>
      <c r="L104" t="s">
        <v>74</v>
      </c>
      <c r="M104" t="s">
        <v>78</v>
      </c>
      <c r="N104" t="s">
        <v>79</v>
      </c>
      <c r="O104" t="s">
        <v>74</v>
      </c>
      <c r="P104" t="s">
        <v>74</v>
      </c>
      <c r="Q104" t="s">
        <v>74</v>
      </c>
      <c r="R104" t="s">
        <v>74</v>
      </c>
      <c r="S104" t="s">
        <v>74</v>
      </c>
      <c r="T104" t="s">
        <v>1786</v>
      </c>
      <c r="U104" t="s">
        <v>1787</v>
      </c>
      <c r="V104" t="s">
        <v>1788</v>
      </c>
      <c r="W104" t="s">
        <v>1789</v>
      </c>
      <c r="X104" t="s">
        <v>1790</v>
      </c>
      <c r="Y104" t="s">
        <v>1791</v>
      </c>
      <c r="Z104" t="s">
        <v>1792</v>
      </c>
      <c r="AA104" t="s">
        <v>1793</v>
      </c>
      <c r="AB104" t="s">
        <v>1794</v>
      </c>
      <c r="AC104" t="s">
        <v>1795</v>
      </c>
      <c r="AD104" t="s">
        <v>1796</v>
      </c>
      <c r="AE104" t="s">
        <v>1797</v>
      </c>
      <c r="AF104" t="s">
        <v>74</v>
      </c>
      <c r="AG104">
        <v>31</v>
      </c>
      <c r="AH104">
        <v>36</v>
      </c>
      <c r="AI104">
        <v>43</v>
      </c>
      <c r="AJ104">
        <v>1</v>
      </c>
      <c r="AK104">
        <v>11</v>
      </c>
      <c r="AL104" t="s">
        <v>92</v>
      </c>
      <c r="AM104" t="s">
        <v>93</v>
      </c>
      <c r="AN104" t="s">
        <v>94</v>
      </c>
      <c r="AO104" t="s">
        <v>95</v>
      </c>
      <c r="AP104" t="s">
        <v>96</v>
      </c>
      <c r="AQ104" t="s">
        <v>74</v>
      </c>
      <c r="AR104" t="s">
        <v>97</v>
      </c>
      <c r="AS104" t="s">
        <v>98</v>
      </c>
      <c r="AT104" t="s">
        <v>214</v>
      </c>
      <c r="AU104">
        <v>2019</v>
      </c>
      <c r="AV104">
        <v>64</v>
      </c>
      <c r="AW104">
        <v>14</v>
      </c>
      <c r="AX104" t="s">
        <v>74</v>
      </c>
      <c r="AY104" t="s">
        <v>74</v>
      </c>
      <c r="AZ104" t="s">
        <v>74</v>
      </c>
      <c r="BA104" t="s">
        <v>74</v>
      </c>
      <c r="BB104" t="s">
        <v>74</v>
      </c>
      <c r="BC104" t="s">
        <v>74</v>
      </c>
      <c r="BD104">
        <v>145009</v>
      </c>
      <c r="BE104" t="s">
        <v>1798</v>
      </c>
      <c r="BF104" t="str">
        <f>HYPERLINK("http://dx.doi.org/10.1088/1361-6560/ab2778","http://dx.doi.org/10.1088/1361-6560/ab2778")</f>
        <v>http://dx.doi.org/10.1088/1361-6560/ab2778</v>
      </c>
      <c r="BG104" t="s">
        <v>74</v>
      </c>
      <c r="BH104" t="s">
        <v>74</v>
      </c>
      <c r="BI104">
        <v>12</v>
      </c>
      <c r="BJ104" t="s">
        <v>101</v>
      </c>
      <c r="BK104" t="s">
        <v>102</v>
      </c>
      <c r="BL104" t="s">
        <v>103</v>
      </c>
      <c r="BM104" t="s">
        <v>233</v>
      </c>
      <c r="BN104">
        <v>31170705</v>
      </c>
      <c r="BO104" t="s">
        <v>74</v>
      </c>
      <c r="BP104" t="s">
        <v>74</v>
      </c>
      <c r="BQ104" t="s">
        <v>74</v>
      </c>
      <c r="BR104" t="s">
        <v>106</v>
      </c>
      <c r="BS104" t="s">
        <v>1799</v>
      </c>
      <c r="BT104" t="str">
        <f>HYPERLINK("https%3A%2F%2Fwww.webofscience.com%2Fwos%2Fwoscc%2Ffull-record%2FWOS:000475775200002","View Full Record in Web of Science")</f>
        <v>View Full Record in Web of Science</v>
      </c>
    </row>
    <row r="105" spans="1:72" x14ac:dyDescent="0.25">
      <c r="A105" t="s">
        <v>72</v>
      </c>
      <c r="B105" t="s">
        <v>1800</v>
      </c>
      <c r="C105" t="s">
        <v>74</v>
      </c>
      <c r="D105" t="s">
        <v>74</v>
      </c>
      <c r="E105" t="s">
        <v>74</v>
      </c>
      <c r="F105" t="s">
        <v>1801</v>
      </c>
      <c r="G105" t="s">
        <v>74</v>
      </c>
      <c r="H105" t="s">
        <v>74</v>
      </c>
      <c r="I105" t="s">
        <v>1802</v>
      </c>
      <c r="J105" t="s">
        <v>77</v>
      </c>
      <c r="K105" t="s">
        <v>74</v>
      </c>
      <c r="L105" t="s">
        <v>74</v>
      </c>
      <c r="M105" t="s">
        <v>78</v>
      </c>
      <c r="N105" t="s">
        <v>79</v>
      </c>
      <c r="O105" t="s">
        <v>74</v>
      </c>
      <c r="P105" t="s">
        <v>74</v>
      </c>
      <c r="Q105" t="s">
        <v>74</v>
      </c>
      <c r="R105" t="s">
        <v>74</v>
      </c>
      <c r="S105" t="s">
        <v>74</v>
      </c>
      <c r="T105" t="s">
        <v>1803</v>
      </c>
      <c r="U105" t="s">
        <v>1804</v>
      </c>
      <c r="V105" t="s">
        <v>1805</v>
      </c>
      <c r="W105" t="s">
        <v>1806</v>
      </c>
      <c r="X105" t="s">
        <v>1807</v>
      </c>
      <c r="Y105" t="s">
        <v>1808</v>
      </c>
      <c r="Z105" t="s">
        <v>1809</v>
      </c>
      <c r="AA105" t="s">
        <v>1810</v>
      </c>
      <c r="AB105" t="s">
        <v>1811</v>
      </c>
      <c r="AC105" t="s">
        <v>74</v>
      </c>
      <c r="AD105" t="s">
        <v>74</v>
      </c>
      <c r="AE105" t="s">
        <v>74</v>
      </c>
      <c r="AF105" t="s">
        <v>74</v>
      </c>
      <c r="AG105">
        <v>37</v>
      </c>
      <c r="AH105">
        <v>9</v>
      </c>
      <c r="AI105">
        <v>9</v>
      </c>
      <c r="AJ105">
        <v>0</v>
      </c>
      <c r="AK105">
        <v>7</v>
      </c>
      <c r="AL105" t="s">
        <v>92</v>
      </c>
      <c r="AM105" t="s">
        <v>93</v>
      </c>
      <c r="AN105" t="s">
        <v>94</v>
      </c>
      <c r="AO105" t="s">
        <v>95</v>
      </c>
      <c r="AP105" t="s">
        <v>96</v>
      </c>
      <c r="AQ105" t="s">
        <v>74</v>
      </c>
      <c r="AR105" t="s">
        <v>97</v>
      </c>
      <c r="AS105" t="s">
        <v>98</v>
      </c>
      <c r="AT105" t="s">
        <v>250</v>
      </c>
      <c r="AU105">
        <v>2019</v>
      </c>
      <c r="AV105">
        <v>64</v>
      </c>
      <c r="AW105">
        <v>11</v>
      </c>
      <c r="AX105" t="s">
        <v>74</v>
      </c>
      <c r="AY105" t="s">
        <v>74</v>
      </c>
      <c r="AZ105" t="s">
        <v>74</v>
      </c>
      <c r="BA105" t="s">
        <v>74</v>
      </c>
      <c r="BB105" t="s">
        <v>74</v>
      </c>
      <c r="BC105" t="s">
        <v>74</v>
      </c>
      <c r="BD105" t="s">
        <v>1812</v>
      </c>
      <c r="BE105" t="s">
        <v>1813</v>
      </c>
      <c r="BF105" t="str">
        <f>HYPERLINK("http://dx.doi.org/10.1088/1361-6560/ab1f26","http://dx.doi.org/10.1088/1361-6560/ab1f26")</f>
        <v>http://dx.doi.org/10.1088/1361-6560/ab1f26</v>
      </c>
      <c r="BG105" t="s">
        <v>74</v>
      </c>
      <c r="BH105" t="s">
        <v>74</v>
      </c>
      <c r="BI105">
        <v>9</v>
      </c>
      <c r="BJ105" t="s">
        <v>101</v>
      </c>
      <c r="BK105" t="s">
        <v>102</v>
      </c>
      <c r="BL105" t="s">
        <v>103</v>
      </c>
      <c r="BM105" t="s">
        <v>1814</v>
      </c>
      <c r="BN105">
        <v>31051491</v>
      </c>
      <c r="BO105" t="s">
        <v>74</v>
      </c>
      <c r="BP105" t="s">
        <v>74</v>
      </c>
      <c r="BQ105" t="s">
        <v>74</v>
      </c>
      <c r="BR105" t="s">
        <v>106</v>
      </c>
      <c r="BS105" t="s">
        <v>1815</v>
      </c>
      <c r="BT105" t="str">
        <f>HYPERLINK("https%3A%2F%2Fwww.webofscience.com%2Fwos%2Fwoscc%2Ffull-record%2FWOS:000470808900001","View Full Record in Web of Science")</f>
        <v>View Full Record in Web of Science</v>
      </c>
    </row>
    <row r="106" spans="1:72" x14ac:dyDescent="0.25">
      <c r="A106" t="s">
        <v>72</v>
      </c>
      <c r="B106" t="s">
        <v>1816</v>
      </c>
      <c r="C106" t="s">
        <v>74</v>
      </c>
      <c r="D106" t="s">
        <v>74</v>
      </c>
      <c r="E106" t="s">
        <v>74</v>
      </c>
      <c r="F106" t="s">
        <v>1817</v>
      </c>
      <c r="G106" t="s">
        <v>74</v>
      </c>
      <c r="H106" t="s">
        <v>74</v>
      </c>
      <c r="I106" t="s">
        <v>1818</v>
      </c>
      <c r="J106" t="s">
        <v>77</v>
      </c>
      <c r="K106" t="s">
        <v>74</v>
      </c>
      <c r="L106" t="s">
        <v>74</v>
      </c>
      <c r="M106" t="s">
        <v>78</v>
      </c>
      <c r="N106" t="s">
        <v>79</v>
      </c>
      <c r="O106" t="s">
        <v>74</v>
      </c>
      <c r="P106" t="s">
        <v>74</v>
      </c>
      <c r="Q106" t="s">
        <v>74</v>
      </c>
      <c r="R106" t="s">
        <v>74</v>
      </c>
      <c r="S106" t="s">
        <v>74</v>
      </c>
      <c r="T106" t="s">
        <v>1819</v>
      </c>
      <c r="U106" t="s">
        <v>1820</v>
      </c>
      <c r="V106" t="s">
        <v>1821</v>
      </c>
      <c r="W106" t="s">
        <v>1822</v>
      </c>
      <c r="X106" t="s">
        <v>1823</v>
      </c>
      <c r="Y106" t="s">
        <v>1824</v>
      </c>
      <c r="Z106" t="s">
        <v>1825</v>
      </c>
      <c r="AA106" t="s">
        <v>1826</v>
      </c>
      <c r="AB106" t="s">
        <v>1827</v>
      </c>
      <c r="AC106" t="s">
        <v>1828</v>
      </c>
      <c r="AD106" t="s">
        <v>1828</v>
      </c>
      <c r="AE106" t="s">
        <v>1829</v>
      </c>
      <c r="AF106" t="s">
        <v>74</v>
      </c>
      <c r="AG106">
        <v>27</v>
      </c>
      <c r="AH106">
        <v>15</v>
      </c>
      <c r="AI106">
        <v>15</v>
      </c>
      <c r="AJ106">
        <v>0</v>
      </c>
      <c r="AK106">
        <v>6</v>
      </c>
      <c r="AL106" t="s">
        <v>92</v>
      </c>
      <c r="AM106" t="s">
        <v>93</v>
      </c>
      <c r="AN106" t="s">
        <v>94</v>
      </c>
      <c r="AO106" t="s">
        <v>95</v>
      </c>
      <c r="AP106" t="s">
        <v>96</v>
      </c>
      <c r="AQ106" t="s">
        <v>74</v>
      </c>
      <c r="AR106" t="s">
        <v>97</v>
      </c>
      <c r="AS106" t="s">
        <v>98</v>
      </c>
      <c r="AT106" t="s">
        <v>250</v>
      </c>
      <c r="AU106">
        <v>2019</v>
      </c>
      <c r="AV106">
        <v>64</v>
      </c>
      <c r="AW106">
        <v>12</v>
      </c>
      <c r="AX106" t="s">
        <v>74</v>
      </c>
      <c r="AY106" t="s">
        <v>74</v>
      </c>
      <c r="AZ106" t="s">
        <v>74</v>
      </c>
      <c r="BA106" t="s">
        <v>74</v>
      </c>
      <c r="BB106" t="s">
        <v>74</v>
      </c>
      <c r="BC106" t="s">
        <v>74</v>
      </c>
      <c r="BD106">
        <v>125024</v>
      </c>
      <c r="BE106" t="s">
        <v>1830</v>
      </c>
      <c r="BF106" t="str">
        <f>HYPERLINK("http://dx.doi.org/10.1088/1361-6560/ab1e9d","http://dx.doi.org/10.1088/1361-6560/ab1e9d")</f>
        <v>http://dx.doi.org/10.1088/1361-6560/ab1e9d</v>
      </c>
      <c r="BG106" t="s">
        <v>74</v>
      </c>
      <c r="BH106" t="s">
        <v>74</v>
      </c>
      <c r="BI106">
        <v>10</v>
      </c>
      <c r="BJ106" t="s">
        <v>101</v>
      </c>
      <c r="BK106" t="s">
        <v>102</v>
      </c>
      <c r="BL106" t="s">
        <v>103</v>
      </c>
      <c r="BM106" t="s">
        <v>1518</v>
      </c>
      <c r="BN106">
        <v>31044743</v>
      </c>
      <c r="BO106" t="s">
        <v>74</v>
      </c>
      <c r="BP106" t="s">
        <v>74</v>
      </c>
      <c r="BQ106" t="s">
        <v>74</v>
      </c>
      <c r="BR106" t="s">
        <v>106</v>
      </c>
      <c r="BS106" t="s">
        <v>1831</v>
      </c>
      <c r="BT106" t="str">
        <f>HYPERLINK("https%3A%2F%2Fwww.webofscience.com%2Fwos%2Fwoscc%2Ffull-record%2FWOS:000518929800003","View Full Record in Web of Science")</f>
        <v>View Full Record in Web of Science</v>
      </c>
    </row>
    <row r="107" spans="1:72" x14ac:dyDescent="0.25">
      <c r="A107" t="s">
        <v>72</v>
      </c>
      <c r="B107" t="s">
        <v>1832</v>
      </c>
      <c r="C107" t="s">
        <v>74</v>
      </c>
      <c r="D107" t="s">
        <v>74</v>
      </c>
      <c r="E107" t="s">
        <v>74</v>
      </c>
      <c r="F107" t="s">
        <v>1833</v>
      </c>
      <c r="G107" t="s">
        <v>74</v>
      </c>
      <c r="H107" t="s">
        <v>74</v>
      </c>
      <c r="I107" t="s">
        <v>1834</v>
      </c>
      <c r="J107" t="s">
        <v>77</v>
      </c>
      <c r="K107" t="s">
        <v>74</v>
      </c>
      <c r="L107" t="s">
        <v>74</v>
      </c>
      <c r="M107" t="s">
        <v>78</v>
      </c>
      <c r="N107" t="s">
        <v>79</v>
      </c>
      <c r="O107" t="s">
        <v>74</v>
      </c>
      <c r="P107" t="s">
        <v>74</v>
      </c>
      <c r="Q107" t="s">
        <v>74</v>
      </c>
      <c r="R107" t="s">
        <v>74</v>
      </c>
      <c r="S107" t="s">
        <v>74</v>
      </c>
      <c r="T107" t="s">
        <v>1835</v>
      </c>
      <c r="U107" t="s">
        <v>1836</v>
      </c>
      <c r="V107" t="s">
        <v>1837</v>
      </c>
      <c r="W107" t="s">
        <v>1838</v>
      </c>
      <c r="X107" t="s">
        <v>1839</v>
      </c>
      <c r="Y107" t="s">
        <v>1840</v>
      </c>
      <c r="Z107" t="s">
        <v>1841</v>
      </c>
      <c r="AA107" t="s">
        <v>1842</v>
      </c>
      <c r="AB107" t="s">
        <v>1843</v>
      </c>
      <c r="AC107" t="s">
        <v>74</v>
      </c>
      <c r="AD107" t="s">
        <v>74</v>
      </c>
      <c r="AE107" t="s">
        <v>74</v>
      </c>
      <c r="AF107" t="s">
        <v>74</v>
      </c>
      <c r="AG107">
        <v>39</v>
      </c>
      <c r="AH107">
        <v>43</v>
      </c>
      <c r="AI107">
        <v>44</v>
      </c>
      <c r="AJ107">
        <v>0</v>
      </c>
      <c r="AK107">
        <v>8</v>
      </c>
      <c r="AL107" t="s">
        <v>92</v>
      </c>
      <c r="AM107" t="s">
        <v>93</v>
      </c>
      <c r="AN107" t="s">
        <v>94</v>
      </c>
      <c r="AO107" t="s">
        <v>95</v>
      </c>
      <c r="AP107" t="s">
        <v>96</v>
      </c>
      <c r="AQ107" t="s">
        <v>74</v>
      </c>
      <c r="AR107" t="s">
        <v>97</v>
      </c>
      <c r="AS107" t="s">
        <v>98</v>
      </c>
      <c r="AT107" t="s">
        <v>370</v>
      </c>
      <c r="AU107">
        <v>2019</v>
      </c>
      <c r="AV107">
        <v>64</v>
      </c>
      <c r="AW107">
        <v>10</v>
      </c>
      <c r="AX107" t="s">
        <v>74</v>
      </c>
      <c r="AY107" t="s">
        <v>74</v>
      </c>
      <c r="AZ107" t="s">
        <v>74</v>
      </c>
      <c r="BA107" t="s">
        <v>74</v>
      </c>
      <c r="BB107" t="s">
        <v>74</v>
      </c>
      <c r="BC107" t="s">
        <v>74</v>
      </c>
      <c r="BD107">
        <v>105016</v>
      </c>
      <c r="BE107" t="s">
        <v>1844</v>
      </c>
      <c r="BF107" t="str">
        <f>HYPERLINK("http://dx.doi.org/10.1088/1361-6560/ab1663","http://dx.doi.org/10.1088/1361-6560/ab1663")</f>
        <v>http://dx.doi.org/10.1088/1361-6560/ab1663</v>
      </c>
      <c r="BG107" t="s">
        <v>74</v>
      </c>
      <c r="BH107" t="s">
        <v>74</v>
      </c>
      <c r="BI107">
        <v>13</v>
      </c>
      <c r="BJ107" t="s">
        <v>101</v>
      </c>
      <c r="BK107" t="s">
        <v>102</v>
      </c>
      <c r="BL107" t="s">
        <v>103</v>
      </c>
      <c r="BM107" t="s">
        <v>1845</v>
      </c>
      <c r="BN107">
        <v>30952143</v>
      </c>
      <c r="BO107" t="s">
        <v>74</v>
      </c>
      <c r="BP107" t="s">
        <v>74</v>
      </c>
      <c r="BQ107" t="s">
        <v>74</v>
      </c>
      <c r="BR107" t="s">
        <v>106</v>
      </c>
      <c r="BS107" t="s">
        <v>1846</v>
      </c>
      <c r="BT107" t="str">
        <f>HYPERLINK("https%3A%2F%2Fwww.webofscience.com%2Fwos%2Fwoscc%2Ffull-record%2FWOS:000468283500001","View Full Record in Web of Science")</f>
        <v>View Full Record in Web of Science</v>
      </c>
    </row>
    <row r="108" spans="1:72" x14ac:dyDescent="0.25">
      <c r="A108" t="s">
        <v>72</v>
      </c>
      <c r="B108" t="s">
        <v>1847</v>
      </c>
      <c r="C108" t="s">
        <v>74</v>
      </c>
      <c r="D108" t="s">
        <v>74</v>
      </c>
      <c r="E108" t="s">
        <v>74</v>
      </c>
      <c r="F108" t="s">
        <v>1848</v>
      </c>
      <c r="G108" t="s">
        <v>74</v>
      </c>
      <c r="H108" t="s">
        <v>74</v>
      </c>
      <c r="I108" t="s">
        <v>1849</v>
      </c>
      <c r="J108" t="s">
        <v>77</v>
      </c>
      <c r="K108" t="s">
        <v>74</v>
      </c>
      <c r="L108" t="s">
        <v>74</v>
      </c>
      <c r="M108" t="s">
        <v>78</v>
      </c>
      <c r="N108" t="s">
        <v>79</v>
      </c>
      <c r="O108" t="s">
        <v>74</v>
      </c>
      <c r="P108" t="s">
        <v>74</v>
      </c>
      <c r="Q108" t="s">
        <v>74</v>
      </c>
      <c r="R108" t="s">
        <v>74</v>
      </c>
      <c r="S108" t="s">
        <v>74</v>
      </c>
      <c r="T108" t="s">
        <v>1850</v>
      </c>
      <c r="U108" t="s">
        <v>1851</v>
      </c>
      <c r="V108" t="s">
        <v>1852</v>
      </c>
      <c r="W108" t="s">
        <v>1853</v>
      </c>
      <c r="X108" t="s">
        <v>1854</v>
      </c>
      <c r="Y108" t="s">
        <v>1855</v>
      </c>
      <c r="Z108" t="s">
        <v>1856</v>
      </c>
      <c r="AA108" t="s">
        <v>1857</v>
      </c>
      <c r="AB108" t="s">
        <v>1858</v>
      </c>
      <c r="AC108" t="s">
        <v>74</v>
      </c>
      <c r="AD108" t="s">
        <v>74</v>
      </c>
      <c r="AE108" t="s">
        <v>74</v>
      </c>
      <c r="AF108" t="s">
        <v>74</v>
      </c>
      <c r="AG108">
        <v>50</v>
      </c>
      <c r="AH108">
        <v>16</v>
      </c>
      <c r="AI108">
        <v>17</v>
      </c>
      <c r="AJ108">
        <v>0</v>
      </c>
      <c r="AK108">
        <v>12</v>
      </c>
      <c r="AL108" t="s">
        <v>92</v>
      </c>
      <c r="AM108" t="s">
        <v>93</v>
      </c>
      <c r="AN108" t="s">
        <v>94</v>
      </c>
      <c r="AO108" t="s">
        <v>95</v>
      </c>
      <c r="AP108" t="s">
        <v>96</v>
      </c>
      <c r="AQ108" t="s">
        <v>74</v>
      </c>
      <c r="AR108" t="s">
        <v>97</v>
      </c>
      <c r="AS108" t="s">
        <v>98</v>
      </c>
      <c r="AT108" t="s">
        <v>436</v>
      </c>
      <c r="AU108">
        <v>2019</v>
      </c>
      <c r="AV108">
        <v>64</v>
      </c>
      <c r="AW108">
        <v>6</v>
      </c>
      <c r="AX108" t="s">
        <v>74</v>
      </c>
      <c r="AY108" t="s">
        <v>74</v>
      </c>
      <c r="AZ108" t="s">
        <v>74</v>
      </c>
      <c r="BA108" t="s">
        <v>74</v>
      </c>
      <c r="BB108" t="s">
        <v>74</v>
      </c>
      <c r="BC108" t="s">
        <v>74</v>
      </c>
      <c r="BD108">
        <v>65019</v>
      </c>
      <c r="BE108" t="s">
        <v>1859</v>
      </c>
      <c r="BF108" t="str">
        <f>HYPERLINK("http://dx.doi.org/10.1088/1361-6560/ab03f5","http://dx.doi.org/10.1088/1361-6560/ab03f5")</f>
        <v>http://dx.doi.org/10.1088/1361-6560/ab03f5</v>
      </c>
      <c r="BG108" t="s">
        <v>74</v>
      </c>
      <c r="BH108" t="s">
        <v>74</v>
      </c>
      <c r="BI108">
        <v>13</v>
      </c>
      <c r="BJ108" t="s">
        <v>101</v>
      </c>
      <c r="BK108" t="s">
        <v>102</v>
      </c>
      <c r="BL108" t="s">
        <v>103</v>
      </c>
      <c r="BM108" t="s">
        <v>1860</v>
      </c>
      <c r="BN108">
        <v>30708366</v>
      </c>
      <c r="BO108" t="s">
        <v>74</v>
      </c>
      <c r="BP108" t="s">
        <v>74</v>
      </c>
      <c r="BQ108" t="s">
        <v>74</v>
      </c>
      <c r="BR108" t="s">
        <v>106</v>
      </c>
      <c r="BS108" t="s">
        <v>1861</v>
      </c>
      <c r="BT108" t="str">
        <f>HYPERLINK("https%3A%2F%2Fwww.webofscience.com%2Fwos%2Fwoscc%2Ffull-record%2FWOS:000461426500004","View Full Record in Web of Science")</f>
        <v>View Full Record in Web of Science</v>
      </c>
    </row>
    <row r="109" spans="1:72" x14ac:dyDescent="0.25">
      <c r="A109" t="s">
        <v>72</v>
      </c>
      <c r="B109" t="s">
        <v>1862</v>
      </c>
      <c r="C109" t="s">
        <v>74</v>
      </c>
      <c r="D109" t="s">
        <v>74</v>
      </c>
      <c r="E109" t="s">
        <v>74</v>
      </c>
      <c r="F109" t="s">
        <v>1863</v>
      </c>
      <c r="G109" t="s">
        <v>74</v>
      </c>
      <c r="H109" t="s">
        <v>74</v>
      </c>
      <c r="I109" t="s">
        <v>1864</v>
      </c>
      <c r="J109" t="s">
        <v>77</v>
      </c>
      <c r="K109" t="s">
        <v>74</v>
      </c>
      <c r="L109" t="s">
        <v>74</v>
      </c>
      <c r="M109" t="s">
        <v>78</v>
      </c>
      <c r="N109" t="s">
        <v>79</v>
      </c>
      <c r="O109" t="s">
        <v>74</v>
      </c>
      <c r="P109" t="s">
        <v>74</v>
      </c>
      <c r="Q109" t="s">
        <v>74</v>
      </c>
      <c r="R109" t="s">
        <v>74</v>
      </c>
      <c r="S109" t="s">
        <v>74</v>
      </c>
      <c r="T109" t="s">
        <v>1865</v>
      </c>
      <c r="U109" t="s">
        <v>1866</v>
      </c>
      <c r="V109" t="s">
        <v>1867</v>
      </c>
      <c r="W109" t="s">
        <v>1868</v>
      </c>
      <c r="X109" t="s">
        <v>1869</v>
      </c>
      <c r="Y109" t="s">
        <v>1870</v>
      </c>
      <c r="Z109" t="s">
        <v>1871</v>
      </c>
      <c r="AA109" t="s">
        <v>1872</v>
      </c>
      <c r="AB109" t="s">
        <v>1873</v>
      </c>
      <c r="AC109" t="s">
        <v>1874</v>
      </c>
      <c r="AD109" t="s">
        <v>1875</v>
      </c>
      <c r="AE109" t="s">
        <v>1876</v>
      </c>
      <c r="AF109" t="s">
        <v>74</v>
      </c>
      <c r="AG109">
        <v>50</v>
      </c>
      <c r="AH109">
        <v>11</v>
      </c>
      <c r="AI109">
        <v>12</v>
      </c>
      <c r="AJ109">
        <v>0</v>
      </c>
      <c r="AK109">
        <v>1</v>
      </c>
      <c r="AL109" t="s">
        <v>92</v>
      </c>
      <c r="AM109" t="s">
        <v>93</v>
      </c>
      <c r="AN109" t="s">
        <v>94</v>
      </c>
      <c r="AO109" t="s">
        <v>95</v>
      </c>
      <c r="AP109" t="s">
        <v>96</v>
      </c>
      <c r="AQ109" t="s">
        <v>74</v>
      </c>
      <c r="AR109" t="s">
        <v>97</v>
      </c>
      <c r="AS109" t="s">
        <v>98</v>
      </c>
      <c r="AT109" t="s">
        <v>436</v>
      </c>
      <c r="AU109">
        <v>2019</v>
      </c>
      <c r="AV109">
        <v>64</v>
      </c>
      <c r="AW109">
        <v>5</v>
      </c>
      <c r="AX109" t="s">
        <v>74</v>
      </c>
      <c r="AY109" t="s">
        <v>74</v>
      </c>
      <c r="AZ109" t="s">
        <v>74</v>
      </c>
      <c r="BA109" t="s">
        <v>74</v>
      </c>
      <c r="BB109" t="s">
        <v>74</v>
      </c>
      <c r="BC109" t="s">
        <v>74</v>
      </c>
      <c r="BD109">
        <v>55013</v>
      </c>
      <c r="BE109" t="s">
        <v>1877</v>
      </c>
      <c r="BF109" t="str">
        <f>HYPERLINK("http://dx.doi.org/10.1088/1361-6560/ab0145","http://dx.doi.org/10.1088/1361-6560/ab0145")</f>
        <v>http://dx.doi.org/10.1088/1361-6560/ab0145</v>
      </c>
      <c r="BG109" t="s">
        <v>74</v>
      </c>
      <c r="BH109" t="s">
        <v>74</v>
      </c>
      <c r="BI109">
        <v>13</v>
      </c>
      <c r="BJ109" t="s">
        <v>101</v>
      </c>
      <c r="BK109" t="s">
        <v>102</v>
      </c>
      <c r="BL109" t="s">
        <v>103</v>
      </c>
      <c r="BM109" t="s">
        <v>1878</v>
      </c>
      <c r="BN109">
        <v>30673634</v>
      </c>
      <c r="BO109" t="s">
        <v>105</v>
      </c>
      <c r="BP109" t="s">
        <v>74</v>
      </c>
      <c r="BQ109" t="s">
        <v>74</v>
      </c>
      <c r="BR109" t="s">
        <v>106</v>
      </c>
      <c r="BS109" t="s">
        <v>1879</v>
      </c>
      <c r="BT109" t="str">
        <f>HYPERLINK("https%3A%2F%2Fwww.webofscience.com%2Fwos%2Fwoscc%2Ffull-record%2FWOS:000460772200001","View Full Record in Web of Science")</f>
        <v>View Full Record in Web of Science</v>
      </c>
    </row>
    <row r="110" spans="1:72" x14ac:dyDescent="0.25">
      <c r="A110" t="s">
        <v>72</v>
      </c>
      <c r="B110" t="s">
        <v>1880</v>
      </c>
      <c r="C110" t="s">
        <v>74</v>
      </c>
      <c r="D110" t="s">
        <v>74</v>
      </c>
      <c r="E110" t="s">
        <v>74</v>
      </c>
      <c r="F110" t="s">
        <v>1881</v>
      </c>
      <c r="G110" t="s">
        <v>74</v>
      </c>
      <c r="H110" t="s">
        <v>74</v>
      </c>
      <c r="I110" t="s">
        <v>1882</v>
      </c>
      <c r="J110" t="s">
        <v>77</v>
      </c>
      <c r="K110" t="s">
        <v>74</v>
      </c>
      <c r="L110" t="s">
        <v>74</v>
      </c>
      <c r="M110" t="s">
        <v>78</v>
      </c>
      <c r="N110" t="s">
        <v>79</v>
      </c>
      <c r="O110" t="s">
        <v>74</v>
      </c>
      <c r="P110" t="s">
        <v>74</v>
      </c>
      <c r="Q110" t="s">
        <v>74</v>
      </c>
      <c r="R110" t="s">
        <v>74</v>
      </c>
      <c r="S110" t="s">
        <v>74</v>
      </c>
      <c r="T110" t="s">
        <v>1883</v>
      </c>
      <c r="U110" t="s">
        <v>1884</v>
      </c>
      <c r="V110" t="s">
        <v>1885</v>
      </c>
      <c r="W110" t="s">
        <v>1886</v>
      </c>
      <c r="X110" t="s">
        <v>1887</v>
      </c>
      <c r="Y110" t="s">
        <v>1888</v>
      </c>
      <c r="Z110" t="s">
        <v>1889</v>
      </c>
      <c r="AA110" t="s">
        <v>74</v>
      </c>
      <c r="AB110" t="s">
        <v>1890</v>
      </c>
      <c r="AC110" t="s">
        <v>1891</v>
      </c>
      <c r="AD110" t="s">
        <v>1891</v>
      </c>
      <c r="AE110" t="s">
        <v>1892</v>
      </c>
      <c r="AF110" t="s">
        <v>74</v>
      </c>
      <c r="AG110">
        <v>31</v>
      </c>
      <c r="AH110">
        <v>13</v>
      </c>
      <c r="AI110">
        <v>13</v>
      </c>
      <c r="AJ110">
        <v>0</v>
      </c>
      <c r="AK110">
        <v>6</v>
      </c>
      <c r="AL110" t="s">
        <v>92</v>
      </c>
      <c r="AM110" t="s">
        <v>93</v>
      </c>
      <c r="AN110" t="s">
        <v>94</v>
      </c>
      <c r="AO110" t="s">
        <v>95</v>
      </c>
      <c r="AP110" t="s">
        <v>96</v>
      </c>
      <c r="AQ110" t="s">
        <v>74</v>
      </c>
      <c r="AR110" t="s">
        <v>97</v>
      </c>
      <c r="AS110" t="s">
        <v>98</v>
      </c>
      <c r="AT110" t="s">
        <v>471</v>
      </c>
      <c r="AU110">
        <v>2019</v>
      </c>
      <c r="AV110">
        <v>64</v>
      </c>
      <c r="AW110">
        <v>1</v>
      </c>
      <c r="AX110" t="s">
        <v>74</v>
      </c>
      <c r="AY110" t="s">
        <v>74</v>
      </c>
      <c r="AZ110" t="s">
        <v>74</v>
      </c>
      <c r="BA110" t="s">
        <v>74</v>
      </c>
      <c r="BB110" t="s">
        <v>74</v>
      </c>
      <c r="BC110" t="s">
        <v>74</v>
      </c>
      <c r="BD110">
        <v>15002</v>
      </c>
      <c r="BE110" t="s">
        <v>1893</v>
      </c>
      <c r="BF110" t="str">
        <f>HYPERLINK("http://dx.doi.org/10.1088/1361-6560/aaf2e8","http://dx.doi.org/10.1088/1361-6560/aaf2e8")</f>
        <v>http://dx.doi.org/10.1088/1361-6560/aaf2e8</v>
      </c>
      <c r="BG110" t="s">
        <v>74</v>
      </c>
      <c r="BH110" t="s">
        <v>74</v>
      </c>
      <c r="BI110">
        <v>15</v>
      </c>
      <c r="BJ110" t="s">
        <v>101</v>
      </c>
      <c r="BK110" t="s">
        <v>102</v>
      </c>
      <c r="BL110" t="s">
        <v>103</v>
      </c>
      <c r="BM110" t="s">
        <v>1894</v>
      </c>
      <c r="BN110">
        <v>30523928</v>
      </c>
      <c r="BO110" t="s">
        <v>74</v>
      </c>
      <c r="BP110" t="s">
        <v>74</v>
      </c>
      <c r="BQ110" t="s">
        <v>74</v>
      </c>
      <c r="BR110" t="s">
        <v>106</v>
      </c>
      <c r="BS110" t="s">
        <v>1895</v>
      </c>
      <c r="BT110" t="str">
        <f>HYPERLINK("https%3A%2F%2Fwww.webofscience.com%2Fwos%2Fwoscc%2Ffull-record%2FWOS:000454221600001","View Full Record in Web of Science")</f>
        <v>View Full Record in Web of Science</v>
      </c>
    </row>
    <row r="111" spans="1:72" x14ac:dyDescent="0.25">
      <c r="A111" t="s">
        <v>72</v>
      </c>
      <c r="B111" t="s">
        <v>1896</v>
      </c>
      <c r="C111" t="s">
        <v>74</v>
      </c>
      <c r="D111" t="s">
        <v>74</v>
      </c>
      <c r="E111" t="s">
        <v>74</v>
      </c>
      <c r="F111" t="s">
        <v>1897</v>
      </c>
      <c r="G111" t="s">
        <v>74</v>
      </c>
      <c r="H111" t="s">
        <v>74</v>
      </c>
      <c r="I111" t="s">
        <v>1898</v>
      </c>
      <c r="J111" t="s">
        <v>77</v>
      </c>
      <c r="K111" t="s">
        <v>74</v>
      </c>
      <c r="L111" t="s">
        <v>74</v>
      </c>
      <c r="M111" t="s">
        <v>78</v>
      </c>
      <c r="N111" t="s">
        <v>79</v>
      </c>
      <c r="O111" t="s">
        <v>74</v>
      </c>
      <c r="P111" t="s">
        <v>74</v>
      </c>
      <c r="Q111" t="s">
        <v>74</v>
      </c>
      <c r="R111" t="s">
        <v>74</v>
      </c>
      <c r="S111" t="s">
        <v>74</v>
      </c>
      <c r="T111" t="s">
        <v>1899</v>
      </c>
      <c r="U111" t="s">
        <v>1900</v>
      </c>
      <c r="V111" t="s">
        <v>1901</v>
      </c>
      <c r="W111" t="s">
        <v>1902</v>
      </c>
      <c r="X111" t="s">
        <v>74</v>
      </c>
      <c r="Y111" t="s">
        <v>1903</v>
      </c>
      <c r="Z111" t="s">
        <v>1904</v>
      </c>
      <c r="AA111" t="s">
        <v>74</v>
      </c>
      <c r="AB111" t="s">
        <v>1905</v>
      </c>
      <c r="AC111" t="s">
        <v>74</v>
      </c>
      <c r="AD111" t="s">
        <v>74</v>
      </c>
      <c r="AE111" t="s">
        <v>74</v>
      </c>
      <c r="AF111" t="s">
        <v>74</v>
      </c>
      <c r="AG111">
        <v>36</v>
      </c>
      <c r="AH111">
        <v>4</v>
      </c>
      <c r="AI111">
        <v>5</v>
      </c>
      <c r="AJ111">
        <v>0</v>
      </c>
      <c r="AK111">
        <v>9</v>
      </c>
      <c r="AL111" t="s">
        <v>92</v>
      </c>
      <c r="AM111" t="s">
        <v>93</v>
      </c>
      <c r="AN111" t="s">
        <v>94</v>
      </c>
      <c r="AO111" t="s">
        <v>95</v>
      </c>
      <c r="AP111" t="s">
        <v>96</v>
      </c>
      <c r="AQ111" t="s">
        <v>74</v>
      </c>
      <c r="AR111" t="s">
        <v>97</v>
      </c>
      <c r="AS111" t="s">
        <v>98</v>
      </c>
      <c r="AT111" t="s">
        <v>99</v>
      </c>
      <c r="AU111">
        <v>2019</v>
      </c>
      <c r="AV111">
        <v>64</v>
      </c>
      <c r="AW111">
        <v>24</v>
      </c>
      <c r="AX111" t="s">
        <v>74</v>
      </c>
      <c r="AY111" t="s">
        <v>74</v>
      </c>
      <c r="AZ111" t="s">
        <v>74</v>
      </c>
      <c r="BA111" t="s">
        <v>74</v>
      </c>
      <c r="BB111" t="s">
        <v>74</v>
      </c>
      <c r="BC111" t="s">
        <v>74</v>
      </c>
      <c r="BD111">
        <v>245007</v>
      </c>
      <c r="BE111" t="s">
        <v>1906</v>
      </c>
      <c r="BF111" t="str">
        <f>HYPERLINK("http://dx.doi.org/10.1088/1361-6560/ab5130","http://dx.doi.org/10.1088/1361-6560/ab5130")</f>
        <v>http://dx.doi.org/10.1088/1361-6560/ab5130</v>
      </c>
      <c r="BG111" t="s">
        <v>74</v>
      </c>
      <c r="BH111" t="s">
        <v>74</v>
      </c>
      <c r="BI111">
        <v>15</v>
      </c>
      <c r="BJ111" t="s">
        <v>101</v>
      </c>
      <c r="BK111" t="s">
        <v>102</v>
      </c>
      <c r="BL111" t="s">
        <v>103</v>
      </c>
      <c r="BM111" t="s">
        <v>104</v>
      </c>
      <c r="BN111">
        <v>31652422</v>
      </c>
      <c r="BO111" t="s">
        <v>140</v>
      </c>
      <c r="BP111" t="s">
        <v>74</v>
      </c>
      <c r="BQ111" t="s">
        <v>74</v>
      </c>
      <c r="BR111" t="s">
        <v>106</v>
      </c>
      <c r="BS111" t="s">
        <v>1907</v>
      </c>
      <c r="BT111" t="str">
        <f>HYPERLINK("https%3A%2F%2Fwww.webofscience.com%2Fwos%2Fwoscc%2Ffull-record%2FWOS:000513009900007","View Full Record in Web of Science")</f>
        <v>View Full Record in Web of Science</v>
      </c>
    </row>
    <row r="112" spans="1:72" x14ac:dyDescent="0.25">
      <c r="A112" t="s">
        <v>72</v>
      </c>
      <c r="B112" t="s">
        <v>1908</v>
      </c>
      <c r="C112" t="s">
        <v>74</v>
      </c>
      <c r="D112" t="s">
        <v>74</v>
      </c>
      <c r="E112" t="s">
        <v>74</v>
      </c>
      <c r="F112" t="s">
        <v>1909</v>
      </c>
      <c r="G112" t="s">
        <v>74</v>
      </c>
      <c r="H112" t="s">
        <v>74</v>
      </c>
      <c r="I112" t="s">
        <v>1910</v>
      </c>
      <c r="J112" t="s">
        <v>77</v>
      </c>
      <c r="K112" t="s">
        <v>74</v>
      </c>
      <c r="L112" t="s">
        <v>74</v>
      </c>
      <c r="M112" t="s">
        <v>78</v>
      </c>
      <c r="N112" t="s">
        <v>79</v>
      </c>
      <c r="O112" t="s">
        <v>74</v>
      </c>
      <c r="P112" t="s">
        <v>74</v>
      </c>
      <c r="Q112" t="s">
        <v>74</v>
      </c>
      <c r="R112" t="s">
        <v>74</v>
      </c>
      <c r="S112" t="s">
        <v>74</v>
      </c>
      <c r="T112" t="s">
        <v>1911</v>
      </c>
      <c r="U112" t="s">
        <v>1912</v>
      </c>
      <c r="V112" t="s">
        <v>1913</v>
      </c>
      <c r="W112" t="s">
        <v>1914</v>
      </c>
      <c r="X112" t="s">
        <v>1915</v>
      </c>
      <c r="Y112" t="s">
        <v>1916</v>
      </c>
      <c r="Z112" t="s">
        <v>1917</v>
      </c>
      <c r="AA112" t="s">
        <v>1918</v>
      </c>
      <c r="AB112" t="s">
        <v>1919</v>
      </c>
      <c r="AC112" t="s">
        <v>74</v>
      </c>
      <c r="AD112" t="s">
        <v>74</v>
      </c>
      <c r="AE112" t="s">
        <v>74</v>
      </c>
      <c r="AF112" t="s">
        <v>74</v>
      </c>
      <c r="AG112">
        <v>41</v>
      </c>
      <c r="AH112">
        <v>1</v>
      </c>
      <c r="AI112">
        <v>1</v>
      </c>
      <c r="AJ112">
        <v>0</v>
      </c>
      <c r="AK112">
        <v>1</v>
      </c>
      <c r="AL112" t="s">
        <v>92</v>
      </c>
      <c r="AM112" t="s">
        <v>93</v>
      </c>
      <c r="AN112" t="s">
        <v>94</v>
      </c>
      <c r="AO112" t="s">
        <v>95</v>
      </c>
      <c r="AP112" t="s">
        <v>96</v>
      </c>
      <c r="AQ112" t="s">
        <v>74</v>
      </c>
      <c r="AR112" t="s">
        <v>97</v>
      </c>
      <c r="AS112" t="s">
        <v>98</v>
      </c>
      <c r="AT112" t="s">
        <v>99</v>
      </c>
      <c r="AU112">
        <v>2019</v>
      </c>
      <c r="AV112">
        <v>64</v>
      </c>
      <c r="AW112">
        <v>23</v>
      </c>
      <c r="AX112" t="s">
        <v>74</v>
      </c>
      <c r="AY112" t="s">
        <v>74</v>
      </c>
      <c r="AZ112" t="s">
        <v>74</v>
      </c>
      <c r="BA112" t="s">
        <v>74</v>
      </c>
      <c r="BB112" t="s">
        <v>74</v>
      </c>
      <c r="BC112" t="s">
        <v>74</v>
      </c>
      <c r="BD112">
        <v>235018</v>
      </c>
      <c r="BE112" t="s">
        <v>1920</v>
      </c>
      <c r="BF112" t="str">
        <f>HYPERLINK("http://dx.doi.org/10.1088/1361-6560/ab36ee","http://dx.doi.org/10.1088/1361-6560/ab36ee")</f>
        <v>http://dx.doi.org/10.1088/1361-6560/ab36ee</v>
      </c>
      <c r="BG112" t="s">
        <v>74</v>
      </c>
      <c r="BH112" t="s">
        <v>74</v>
      </c>
      <c r="BI112">
        <v>12</v>
      </c>
      <c r="BJ112" t="s">
        <v>101</v>
      </c>
      <c r="BK112" t="s">
        <v>102</v>
      </c>
      <c r="BL112" t="s">
        <v>103</v>
      </c>
      <c r="BM112" t="s">
        <v>693</v>
      </c>
      <c r="BN112">
        <v>31362272</v>
      </c>
      <c r="BO112" t="s">
        <v>74</v>
      </c>
      <c r="BP112" t="s">
        <v>74</v>
      </c>
      <c r="BQ112" t="s">
        <v>74</v>
      </c>
      <c r="BR112" t="s">
        <v>106</v>
      </c>
      <c r="BS112" t="s">
        <v>1921</v>
      </c>
      <c r="BT112" t="str">
        <f>HYPERLINK("https%3A%2F%2Fwww.webofscience.com%2Fwos%2Fwoscc%2Ffull-record%2FWOS:000518765200008","View Full Record in Web of Science")</f>
        <v>View Full Record in Web of Science</v>
      </c>
    </row>
    <row r="113" spans="1:72" x14ac:dyDescent="0.25">
      <c r="A113" t="s">
        <v>72</v>
      </c>
      <c r="B113" t="s">
        <v>1922</v>
      </c>
      <c r="C113" t="s">
        <v>74</v>
      </c>
      <c r="D113" t="s">
        <v>74</v>
      </c>
      <c r="E113" t="s">
        <v>74</v>
      </c>
      <c r="F113" t="s">
        <v>1923</v>
      </c>
      <c r="G113" t="s">
        <v>74</v>
      </c>
      <c r="H113" t="s">
        <v>74</v>
      </c>
      <c r="I113" t="s">
        <v>1924</v>
      </c>
      <c r="J113" t="s">
        <v>77</v>
      </c>
      <c r="K113" t="s">
        <v>74</v>
      </c>
      <c r="L113" t="s">
        <v>74</v>
      </c>
      <c r="M113" t="s">
        <v>78</v>
      </c>
      <c r="N113" t="s">
        <v>79</v>
      </c>
      <c r="O113" t="s">
        <v>74</v>
      </c>
      <c r="P113" t="s">
        <v>74</v>
      </c>
      <c r="Q113" t="s">
        <v>74</v>
      </c>
      <c r="R113" t="s">
        <v>74</v>
      </c>
      <c r="S113" t="s">
        <v>74</v>
      </c>
      <c r="T113" t="s">
        <v>1925</v>
      </c>
      <c r="U113" t="s">
        <v>1926</v>
      </c>
      <c r="V113" t="s">
        <v>1927</v>
      </c>
      <c r="W113" t="s">
        <v>1928</v>
      </c>
      <c r="X113" t="s">
        <v>1929</v>
      </c>
      <c r="Y113" t="s">
        <v>1930</v>
      </c>
      <c r="Z113" t="s">
        <v>1931</v>
      </c>
      <c r="AA113" t="s">
        <v>1932</v>
      </c>
      <c r="AB113" t="s">
        <v>1933</v>
      </c>
      <c r="AC113" t="s">
        <v>1934</v>
      </c>
      <c r="AD113" t="s">
        <v>1935</v>
      </c>
      <c r="AE113" t="s">
        <v>1936</v>
      </c>
      <c r="AF113" t="s">
        <v>74</v>
      </c>
      <c r="AG113">
        <v>94</v>
      </c>
      <c r="AH113">
        <v>2</v>
      </c>
      <c r="AI113">
        <v>3</v>
      </c>
      <c r="AJ113">
        <v>0</v>
      </c>
      <c r="AK113">
        <v>18</v>
      </c>
      <c r="AL113" t="s">
        <v>92</v>
      </c>
      <c r="AM113" t="s">
        <v>93</v>
      </c>
      <c r="AN113" t="s">
        <v>94</v>
      </c>
      <c r="AO113" t="s">
        <v>95</v>
      </c>
      <c r="AP113" t="s">
        <v>96</v>
      </c>
      <c r="AQ113" t="s">
        <v>74</v>
      </c>
      <c r="AR113" t="s">
        <v>97</v>
      </c>
      <c r="AS113" t="s">
        <v>98</v>
      </c>
      <c r="AT113" t="s">
        <v>137</v>
      </c>
      <c r="AU113">
        <v>2019</v>
      </c>
      <c r="AV113">
        <v>64</v>
      </c>
      <c r="AW113">
        <v>21</v>
      </c>
      <c r="AX113" t="s">
        <v>74</v>
      </c>
      <c r="AY113" t="s">
        <v>74</v>
      </c>
      <c r="AZ113" t="s">
        <v>74</v>
      </c>
      <c r="BA113" t="s">
        <v>74</v>
      </c>
      <c r="BB113" t="s">
        <v>74</v>
      </c>
      <c r="BC113" t="s">
        <v>74</v>
      </c>
      <c r="BD113">
        <v>215007</v>
      </c>
      <c r="BE113" t="s">
        <v>1937</v>
      </c>
      <c r="BF113" t="str">
        <f>HYPERLINK("http://dx.doi.org/10.1088/1361-6560/ab4917","http://dx.doi.org/10.1088/1361-6560/ab4917")</f>
        <v>http://dx.doi.org/10.1088/1361-6560/ab4917</v>
      </c>
      <c r="BG113" t="s">
        <v>74</v>
      </c>
      <c r="BH113" t="s">
        <v>74</v>
      </c>
      <c r="BI113">
        <v>16</v>
      </c>
      <c r="BJ113" t="s">
        <v>101</v>
      </c>
      <c r="BK113" t="s">
        <v>102</v>
      </c>
      <c r="BL113" t="s">
        <v>103</v>
      </c>
      <c r="BM113" t="s">
        <v>1938</v>
      </c>
      <c r="BN113">
        <v>31570668</v>
      </c>
      <c r="BO113" t="s">
        <v>74</v>
      </c>
      <c r="BP113" t="s">
        <v>74</v>
      </c>
      <c r="BQ113" t="s">
        <v>74</v>
      </c>
      <c r="BR113" t="s">
        <v>106</v>
      </c>
      <c r="BS113" t="s">
        <v>1939</v>
      </c>
      <c r="BT113" t="str">
        <f>HYPERLINK("https%3A%2F%2Fwww.webofscience.com%2Fwos%2Fwoscc%2Ffull-record%2FWOS:000494859300001","View Full Record in Web of Science")</f>
        <v>View Full Record in Web of Science</v>
      </c>
    </row>
    <row r="114" spans="1:72" x14ac:dyDescent="0.25">
      <c r="A114" t="s">
        <v>72</v>
      </c>
      <c r="B114" t="s">
        <v>1940</v>
      </c>
      <c r="C114" t="s">
        <v>74</v>
      </c>
      <c r="D114" t="s">
        <v>74</v>
      </c>
      <c r="E114" t="s">
        <v>74</v>
      </c>
      <c r="F114" t="s">
        <v>1941</v>
      </c>
      <c r="G114" t="s">
        <v>74</v>
      </c>
      <c r="H114" t="s">
        <v>74</v>
      </c>
      <c r="I114" t="s">
        <v>1942</v>
      </c>
      <c r="J114" t="s">
        <v>77</v>
      </c>
      <c r="K114" t="s">
        <v>74</v>
      </c>
      <c r="L114" t="s">
        <v>74</v>
      </c>
      <c r="M114" t="s">
        <v>78</v>
      </c>
      <c r="N114" t="s">
        <v>79</v>
      </c>
      <c r="O114" t="s">
        <v>74</v>
      </c>
      <c r="P114" t="s">
        <v>74</v>
      </c>
      <c r="Q114" t="s">
        <v>74</v>
      </c>
      <c r="R114" t="s">
        <v>74</v>
      </c>
      <c r="S114" t="s">
        <v>74</v>
      </c>
      <c r="T114" t="s">
        <v>1943</v>
      </c>
      <c r="U114" t="s">
        <v>1944</v>
      </c>
      <c r="V114" t="s">
        <v>1945</v>
      </c>
      <c r="W114" t="s">
        <v>1946</v>
      </c>
      <c r="X114" t="s">
        <v>1947</v>
      </c>
      <c r="Y114" t="s">
        <v>1948</v>
      </c>
      <c r="Z114" t="s">
        <v>1949</v>
      </c>
      <c r="AA114" t="s">
        <v>1950</v>
      </c>
      <c r="AB114" t="s">
        <v>1951</v>
      </c>
      <c r="AC114" t="s">
        <v>1952</v>
      </c>
      <c r="AD114" t="s">
        <v>1953</v>
      </c>
      <c r="AE114" t="s">
        <v>1954</v>
      </c>
      <c r="AF114" t="s">
        <v>74</v>
      </c>
      <c r="AG114">
        <v>30</v>
      </c>
      <c r="AH114">
        <v>10</v>
      </c>
      <c r="AI114">
        <v>10</v>
      </c>
      <c r="AJ114">
        <v>0</v>
      </c>
      <c r="AK114">
        <v>5</v>
      </c>
      <c r="AL114" t="s">
        <v>92</v>
      </c>
      <c r="AM114" t="s">
        <v>93</v>
      </c>
      <c r="AN114" t="s">
        <v>94</v>
      </c>
      <c r="AO114" t="s">
        <v>95</v>
      </c>
      <c r="AP114" t="s">
        <v>96</v>
      </c>
      <c r="AQ114" t="s">
        <v>74</v>
      </c>
      <c r="AR114" t="s">
        <v>97</v>
      </c>
      <c r="AS114" t="s">
        <v>98</v>
      </c>
      <c r="AT114" t="s">
        <v>509</v>
      </c>
      <c r="AU114">
        <v>2019</v>
      </c>
      <c r="AV114">
        <v>64</v>
      </c>
      <c r="AW114">
        <v>19</v>
      </c>
      <c r="AX114" t="s">
        <v>74</v>
      </c>
      <c r="AY114" t="s">
        <v>74</v>
      </c>
      <c r="AZ114" t="s">
        <v>74</v>
      </c>
      <c r="BA114" t="s">
        <v>74</v>
      </c>
      <c r="BB114" t="s">
        <v>74</v>
      </c>
      <c r="BC114" t="s">
        <v>74</v>
      </c>
      <c r="BD114">
        <v>195014</v>
      </c>
      <c r="BE114" t="s">
        <v>1955</v>
      </c>
      <c r="BF114" t="str">
        <f>HYPERLINK("http://dx.doi.org/10.1088/1361-6560/ab3d0b","http://dx.doi.org/10.1088/1361-6560/ab3d0b")</f>
        <v>http://dx.doi.org/10.1088/1361-6560/ab3d0b</v>
      </c>
      <c r="BG114" t="s">
        <v>74</v>
      </c>
      <c r="BH114" t="s">
        <v>74</v>
      </c>
      <c r="BI114">
        <v>14</v>
      </c>
      <c r="BJ114" t="s">
        <v>101</v>
      </c>
      <c r="BK114" t="s">
        <v>102</v>
      </c>
      <c r="BL114" t="s">
        <v>103</v>
      </c>
      <c r="BM114" t="s">
        <v>1956</v>
      </c>
      <c r="BN114">
        <v>31430724</v>
      </c>
      <c r="BO114" t="s">
        <v>270</v>
      </c>
      <c r="BP114" t="s">
        <v>74</v>
      </c>
      <c r="BQ114" t="s">
        <v>74</v>
      </c>
      <c r="BR114" t="s">
        <v>106</v>
      </c>
      <c r="BS114" t="s">
        <v>1957</v>
      </c>
      <c r="BT114" t="str">
        <f>HYPERLINK("https%3A%2F%2Fwww.webofscience.com%2Fwos%2Fwoscc%2Ffull-record%2FWOS:000505954900001","View Full Record in Web of Science")</f>
        <v>View Full Record in Web of Science</v>
      </c>
    </row>
    <row r="115" spans="1:72" x14ac:dyDescent="0.25">
      <c r="A115" t="s">
        <v>72</v>
      </c>
      <c r="B115" t="s">
        <v>1958</v>
      </c>
      <c r="C115" t="s">
        <v>74</v>
      </c>
      <c r="D115" t="s">
        <v>74</v>
      </c>
      <c r="E115" t="s">
        <v>74</v>
      </c>
      <c r="F115" t="s">
        <v>1959</v>
      </c>
      <c r="G115" t="s">
        <v>74</v>
      </c>
      <c r="H115" t="s">
        <v>74</v>
      </c>
      <c r="I115" t="s">
        <v>1960</v>
      </c>
      <c r="J115" t="s">
        <v>77</v>
      </c>
      <c r="K115" t="s">
        <v>74</v>
      </c>
      <c r="L115" t="s">
        <v>74</v>
      </c>
      <c r="M115" t="s">
        <v>78</v>
      </c>
      <c r="N115" t="s">
        <v>79</v>
      </c>
      <c r="O115" t="s">
        <v>74</v>
      </c>
      <c r="P115" t="s">
        <v>74</v>
      </c>
      <c r="Q115" t="s">
        <v>74</v>
      </c>
      <c r="R115" t="s">
        <v>74</v>
      </c>
      <c r="S115" t="s">
        <v>74</v>
      </c>
      <c r="T115" t="s">
        <v>1961</v>
      </c>
      <c r="U115" t="s">
        <v>1962</v>
      </c>
      <c r="V115" t="s">
        <v>1963</v>
      </c>
      <c r="W115" t="s">
        <v>1964</v>
      </c>
      <c r="X115" t="s">
        <v>1965</v>
      </c>
      <c r="Y115" t="s">
        <v>1966</v>
      </c>
      <c r="Z115" t="s">
        <v>1967</v>
      </c>
      <c r="AA115" t="s">
        <v>74</v>
      </c>
      <c r="AB115" t="s">
        <v>1968</v>
      </c>
      <c r="AC115" t="s">
        <v>1969</v>
      </c>
      <c r="AD115" t="s">
        <v>1970</v>
      </c>
      <c r="AE115" t="s">
        <v>1971</v>
      </c>
      <c r="AF115" t="s">
        <v>74</v>
      </c>
      <c r="AG115">
        <v>46</v>
      </c>
      <c r="AH115">
        <v>4</v>
      </c>
      <c r="AI115">
        <v>5</v>
      </c>
      <c r="AJ115">
        <v>0</v>
      </c>
      <c r="AK115">
        <v>7</v>
      </c>
      <c r="AL115" t="s">
        <v>92</v>
      </c>
      <c r="AM115" t="s">
        <v>93</v>
      </c>
      <c r="AN115" t="s">
        <v>94</v>
      </c>
      <c r="AO115" t="s">
        <v>95</v>
      </c>
      <c r="AP115" t="s">
        <v>96</v>
      </c>
      <c r="AQ115" t="s">
        <v>74</v>
      </c>
      <c r="AR115" t="s">
        <v>97</v>
      </c>
      <c r="AS115" t="s">
        <v>98</v>
      </c>
      <c r="AT115" t="s">
        <v>176</v>
      </c>
      <c r="AU115">
        <v>2019</v>
      </c>
      <c r="AV115">
        <v>64</v>
      </c>
      <c r="AW115">
        <v>17</v>
      </c>
      <c r="AX115" t="s">
        <v>74</v>
      </c>
      <c r="AY115" t="s">
        <v>74</v>
      </c>
      <c r="AZ115" t="s">
        <v>74</v>
      </c>
      <c r="BA115" t="s">
        <v>74</v>
      </c>
      <c r="BB115" t="s">
        <v>74</v>
      </c>
      <c r="BC115" t="s">
        <v>74</v>
      </c>
      <c r="BD115" t="s">
        <v>1972</v>
      </c>
      <c r="BE115" t="s">
        <v>1973</v>
      </c>
      <c r="BF115" t="str">
        <f>HYPERLINK("http://dx.doi.org/10.1088/1361-6560/ab2f1f","http://dx.doi.org/10.1088/1361-6560/ab2f1f")</f>
        <v>http://dx.doi.org/10.1088/1361-6560/ab2f1f</v>
      </c>
      <c r="BG115" t="s">
        <v>74</v>
      </c>
      <c r="BH115" t="s">
        <v>74</v>
      </c>
      <c r="BI115">
        <v>13</v>
      </c>
      <c r="BJ115" t="s">
        <v>101</v>
      </c>
      <c r="BK115" t="s">
        <v>102</v>
      </c>
      <c r="BL115" t="s">
        <v>103</v>
      </c>
      <c r="BM115" t="s">
        <v>1974</v>
      </c>
      <c r="BN115">
        <v>31269471</v>
      </c>
      <c r="BO115" t="s">
        <v>74</v>
      </c>
      <c r="BP115" t="s">
        <v>74</v>
      </c>
      <c r="BQ115" t="s">
        <v>74</v>
      </c>
      <c r="BR115" t="s">
        <v>106</v>
      </c>
      <c r="BS115" t="s">
        <v>1975</v>
      </c>
      <c r="BT115" t="str">
        <f>HYPERLINK("https%3A%2F%2Fwww.webofscience.com%2Fwos%2Fwoscc%2Ffull-record%2FWOS:000484729500001","View Full Record in Web of Science")</f>
        <v>View Full Record in Web of Science</v>
      </c>
    </row>
    <row r="116" spans="1:72" x14ac:dyDescent="0.25">
      <c r="A116" t="s">
        <v>72</v>
      </c>
      <c r="B116" t="s">
        <v>1976</v>
      </c>
      <c r="C116" t="s">
        <v>74</v>
      </c>
      <c r="D116" t="s">
        <v>74</v>
      </c>
      <c r="E116" t="s">
        <v>74</v>
      </c>
      <c r="F116" t="s">
        <v>1977</v>
      </c>
      <c r="G116" t="s">
        <v>74</v>
      </c>
      <c r="H116" t="s">
        <v>74</v>
      </c>
      <c r="I116" t="s">
        <v>1978</v>
      </c>
      <c r="J116" t="s">
        <v>77</v>
      </c>
      <c r="K116" t="s">
        <v>74</v>
      </c>
      <c r="L116" t="s">
        <v>74</v>
      </c>
      <c r="M116" t="s">
        <v>78</v>
      </c>
      <c r="N116" t="s">
        <v>79</v>
      </c>
      <c r="O116" t="s">
        <v>74</v>
      </c>
      <c r="P116" t="s">
        <v>74</v>
      </c>
      <c r="Q116" t="s">
        <v>74</v>
      </c>
      <c r="R116" t="s">
        <v>74</v>
      </c>
      <c r="S116" t="s">
        <v>74</v>
      </c>
      <c r="T116" t="s">
        <v>1979</v>
      </c>
      <c r="U116" t="s">
        <v>1980</v>
      </c>
      <c r="V116" t="s">
        <v>1981</v>
      </c>
      <c r="W116" t="s">
        <v>1982</v>
      </c>
      <c r="X116" t="s">
        <v>1983</v>
      </c>
      <c r="Y116" t="s">
        <v>1984</v>
      </c>
      <c r="Z116" t="s">
        <v>1985</v>
      </c>
      <c r="AA116" t="s">
        <v>1986</v>
      </c>
      <c r="AB116" t="s">
        <v>1987</v>
      </c>
      <c r="AC116" t="s">
        <v>1988</v>
      </c>
      <c r="AD116" t="s">
        <v>1989</v>
      </c>
      <c r="AE116" t="s">
        <v>1990</v>
      </c>
      <c r="AF116" t="s">
        <v>74</v>
      </c>
      <c r="AG116">
        <v>43</v>
      </c>
      <c r="AH116">
        <v>26</v>
      </c>
      <c r="AI116">
        <v>26</v>
      </c>
      <c r="AJ116">
        <v>0</v>
      </c>
      <c r="AK116">
        <v>14</v>
      </c>
      <c r="AL116" t="s">
        <v>92</v>
      </c>
      <c r="AM116" t="s">
        <v>93</v>
      </c>
      <c r="AN116" t="s">
        <v>94</v>
      </c>
      <c r="AO116" t="s">
        <v>95</v>
      </c>
      <c r="AP116" t="s">
        <v>96</v>
      </c>
      <c r="AQ116" t="s">
        <v>74</v>
      </c>
      <c r="AR116" t="s">
        <v>97</v>
      </c>
      <c r="AS116" t="s">
        <v>98</v>
      </c>
      <c r="AT116" t="s">
        <v>176</v>
      </c>
      <c r="AU116">
        <v>2019</v>
      </c>
      <c r="AV116">
        <v>64</v>
      </c>
      <c r="AW116">
        <v>18</v>
      </c>
      <c r="AX116" t="s">
        <v>74</v>
      </c>
      <c r="AY116" t="s">
        <v>74</v>
      </c>
      <c r="AZ116" t="s">
        <v>74</v>
      </c>
      <c r="BA116" t="s">
        <v>74</v>
      </c>
      <c r="BB116" t="s">
        <v>74</v>
      </c>
      <c r="BC116" t="s">
        <v>74</v>
      </c>
      <c r="BD116">
        <v>185013</v>
      </c>
      <c r="BE116" t="s">
        <v>1991</v>
      </c>
      <c r="BF116" t="str">
        <f>HYPERLINK("http://dx.doi.org/10.1088/1361-6560/ab33e5","http://dx.doi.org/10.1088/1361-6560/ab33e5")</f>
        <v>http://dx.doi.org/10.1088/1361-6560/ab33e5</v>
      </c>
      <c r="BG116" t="s">
        <v>74</v>
      </c>
      <c r="BH116" t="s">
        <v>74</v>
      </c>
      <c r="BI116">
        <v>16</v>
      </c>
      <c r="BJ116" t="s">
        <v>101</v>
      </c>
      <c r="BK116" t="s">
        <v>102</v>
      </c>
      <c r="BL116" t="s">
        <v>103</v>
      </c>
      <c r="BM116" t="s">
        <v>1992</v>
      </c>
      <c r="BN116">
        <v>31323645</v>
      </c>
      <c r="BO116" t="s">
        <v>1993</v>
      </c>
      <c r="BP116" t="s">
        <v>74</v>
      </c>
      <c r="BQ116" t="s">
        <v>74</v>
      </c>
      <c r="BR116" t="s">
        <v>106</v>
      </c>
      <c r="BS116" t="s">
        <v>1994</v>
      </c>
      <c r="BT116" t="str">
        <f>HYPERLINK("https%3A%2F%2Fwww.webofscience.com%2Fwos%2Fwoscc%2Ffull-record%2FWOS:000487116400002","View Full Record in Web of Science")</f>
        <v>View Full Record in Web of Science</v>
      </c>
    </row>
    <row r="117" spans="1:72" x14ac:dyDescent="0.25">
      <c r="A117" t="s">
        <v>72</v>
      </c>
      <c r="B117" t="s">
        <v>1995</v>
      </c>
      <c r="C117" t="s">
        <v>74</v>
      </c>
      <c r="D117" t="s">
        <v>74</v>
      </c>
      <c r="E117" t="s">
        <v>74</v>
      </c>
      <c r="F117" t="s">
        <v>1996</v>
      </c>
      <c r="G117" t="s">
        <v>74</v>
      </c>
      <c r="H117" t="s">
        <v>74</v>
      </c>
      <c r="I117" t="s">
        <v>1997</v>
      </c>
      <c r="J117" t="s">
        <v>77</v>
      </c>
      <c r="K117" t="s">
        <v>74</v>
      </c>
      <c r="L117" t="s">
        <v>74</v>
      </c>
      <c r="M117" t="s">
        <v>78</v>
      </c>
      <c r="N117" t="s">
        <v>79</v>
      </c>
      <c r="O117" t="s">
        <v>74</v>
      </c>
      <c r="P117" t="s">
        <v>74</v>
      </c>
      <c r="Q117" t="s">
        <v>74</v>
      </c>
      <c r="R117" t="s">
        <v>74</v>
      </c>
      <c r="S117" t="s">
        <v>74</v>
      </c>
      <c r="T117" t="s">
        <v>1998</v>
      </c>
      <c r="U117" t="s">
        <v>1999</v>
      </c>
      <c r="V117" t="s">
        <v>2000</v>
      </c>
      <c r="W117" t="s">
        <v>2001</v>
      </c>
      <c r="X117" t="s">
        <v>2002</v>
      </c>
      <c r="Y117" t="s">
        <v>2003</v>
      </c>
      <c r="Z117" t="s">
        <v>2004</v>
      </c>
      <c r="AA117" t="s">
        <v>2005</v>
      </c>
      <c r="AB117" t="s">
        <v>2006</v>
      </c>
      <c r="AC117" t="s">
        <v>2007</v>
      </c>
      <c r="AD117" t="s">
        <v>2008</v>
      </c>
      <c r="AE117" t="s">
        <v>2009</v>
      </c>
      <c r="AF117" t="s">
        <v>74</v>
      </c>
      <c r="AG117">
        <v>43</v>
      </c>
      <c r="AH117">
        <v>26</v>
      </c>
      <c r="AI117">
        <v>26</v>
      </c>
      <c r="AJ117">
        <v>0</v>
      </c>
      <c r="AK117">
        <v>9</v>
      </c>
      <c r="AL117" t="s">
        <v>92</v>
      </c>
      <c r="AM117" t="s">
        <v>93</v>
      </c>
      <c r="AN117" t="s">
        <v>94</v>
      </c>
      <c r="AO117" t="s">
        <v>95</v>
      </c>
      <c r="AP117" t="s">
        <v>96</v>
      </c>
      <c r="AQ117" t="s">
        <v>74</v>
      </c>
      <c r="AR117" t="s">
        <v>97</v>
      </c>
      <c r="AS117" t="s">
        <v>98</v>
      </c>
      <c r="AT117" t="s">
        <v>176</v>
      </c>
      <c r="AU117">
        <v>2019</v>
      </c>
      <c r="AV117">
        <v>64</v>
      </c>
      <c r="AW117">
        <v>17</v>
      </c>
      <c r="AX117" t="s">
        <v>74</v>
      </c>
      <c r="AY117" t="s">
        <v>74</v>
      </c>
      <c r="AZ117" t="s">
        <v>74</v>
      </c>
      <c r="BA117" t="s">
        <v>74</v>
      </c>
      <c r="BB117" t="s">
        <v>74</v>
      </c>
      <c r="BC117" t="s">
        <v>74</v>
      </c>
      <c r="BD117">
        <v>175006</v>
      </c>
      <c r="BE117" t="s">
        <v>2010</v>
      </c>
      <c r="BF117" t="str">
        <f>HYPERLINK("http://dx.doi.org/10.1088/1361-6560/ab3039","http://dx.doi.org/10.1088/1361-6560/ab3039")</f>
        <v>http://dx.doi.org/10.1088/1361-6560/ab3039</v>
      </c>
      <c r="BG117" t="s">
        <v>74</v>
      </c>
      <c r="BH117" t="s">
        <v>74</v>
      </c>
      <c r="BI117">
        <v>12</v>
      </c>
      <c r="BJ117" t="s">
        <v>101</v>
      </c>
      <c r="BK117" t="s">
        <v>102</v>
      </c>
      <c r="BL117" t="s">
        <v>103</v>
      </c>
      <c r="BM117" t="s">
        <v>776</v>
      </c>
      <c r="BN117">
        <v>31287093</v>
      </c>
      <c r="BO117" t="s">
        <v>74</v>
      </c>
      <c r="BP117" t="s">
        <v>74</v>
      </c>
      <c r="BQ117" t="s">
        <v>74</v>
      </c>
      <c r="BR117" t="s">
        <v>106</v>
      </c>
      <c r="BS117" t="s">
        <v>2011</v>
      </c>
      <c r="BT117" t="str">
        <f>HYPERLINK("https%3A%2F%2Fwww.webofscience.com%2Fwos%2Fwoscc%2Ffull-record%2FWOS:000483095200006","View Full Record in Web of Science")</f>
        <v>View Full Record in Web of Science</v>
      </c>
    </row>
    <row r="118" spans="1:72" x14ac:dyDescent="0.25">
      <c r="A118" t="s">
        <v>72</v>
      </c>
      <c r="B118" t="s">
        <v>2012</v>
      </c>
      <c r="C118" t="s">
        <v>74</v>
      </c>
      <c r="D118" t="s">
        <v>74</v>
      </c>
      <c r="E118" t="s">
        <v>74</v>
      </c>
      <c r="F118" t="s">
        <v>2013</v>
      </c>
      <c r="G118" t="s">
        <v>74</v>
      </c>
      <c r="H118" t="s">
        <v>74</v>
      </c>
      <c r="I118" t="s">
        <v>2014</v>
      </c>
      <c r="J118" t="s">
        <v>77</v>
      </c>
      <c r="K118" t="s">
        <v>74</v>
      </c>
      <c r="L118" t="s">
        <v>74</v>
      </c>
      <c r="M118" t="s">
        <v>78</v>
      </c>
      <c r="N118" t="s">
        <v>79</v>
      </c>
      <c r="O118" t="s">
        <v>74</v>
      </c>
      <c r="P118" t="s">
        <v>74</v>
      </c>
      <c r="Q118" t="s">
        <v>74</v>
      </c>
      <c r="R118" t="s">
        <v>74</v>
      </c>
      <c r="S118" t="s">
        <v>74</v>
      </c>
      <c r="T118" t="s">
        <v>2015</v>
      </c>
      <c r="U118" t="s">
        <v>2016</v>
      </c>
      <c r="V118" t="s">
        <v>2017</v>
      </c>
      <c r="W118" t="s">
        <v>2018</v>
      </c>
      <c r="X118" t="s">
        <v>2019</v>
      </c>
      <c r="Y118" t="s">
        <v>2020</v>
      </c>
      <c r="Z118" t="s">
        <v>2021</v>
      </c>
      <c r="AA118" t="s">
        <v>2022</v>
      </c>
      <c r="AB118" t="s">
        <v>74</v>
      </c>
      <c r="AC118" t="s">
        <v>2023</v>
      </c>
      <c r="AD118" t="s">
        <v>607</v>
      </c>
      <c r="AE118" t="s">
        <v>2024</v>
      </c>
      <c r="AF118" t="s">
        <v>74</v>
      </c>
      <c r="AG118">
        <v>30</v>
      </c>
      <c r="AH118">
        <v>28</v>
      </c>
      <c r="AI118">
        <v>29</v>
      </c>
      <c r="AJ118">
        <v>0</v>
      </c>
      <c r="AK118">
        <v>10</v>
      </c>
      <c r="AL118" t="s">
        <v>92</v>
      </c>
      <c r="AM118" t="s">
        <v>93</v>
      </c>
      <c r="AN118" t="s">
        <v>94</v>
      </c>
      <c r="AO118" t="s">
        <v>95</v>
      </c>
      <c r="AP118" t="s">
        <v>96</v>
      </c>
      <c r="AQ118" t="s">
        <v>74</v>
      </c>
      <c r="AR118" t="s">
        <v>97</v>
      </c>
      <c r="AS118" t="s">
        <v>98</v>
      </c>
      <c r="AT118" t="s">
        <v>196</v>
      </c>
      <c r="AU118">
        <v>2019</v>
      </c>
      <c r="AV118">
        <v>64</v>
      </c>
      <c r="AW118">
        <v>15</v>
      </c>
      <c r="AX118" t="s">
        <v>74</v>
      </c>
      <c r="AY118" t="s">
        <v>74</v>
      </c>
      <c r="AZ118" t="s">
        <v>74</v>
      </c>
      <c r="BA118" t="s">
        <v>74</v>
      </c>
      <c r="BB118" t="s">
        <v>74</v>
      </c>
      <c r="BC118" t="s">
        <v>74</v>
      </c>
      <c r="BD118" t="s">
        <v>2025</v>
      </c>
      <c r="BE118" t="s">
        <v>2026</v>
      </c>
      <c r="BF118" t="str">
        <f>HYPERLINK("http://dx.doi.org/10.1088/1361-6560/ab1c37","http://dx.doi.org/10.1088/1361-6560/ab1c37")</f>
        <v>http://dx.doi.org/10.1088/1361-6560/ab1c37</v>
      </c>
      <c r="BG118" t="s">
        <v>74</v>
      </c>
      <c r="BH118" t="s">
        <v>74</v>
      </c>
      <c r="BI118">
        <v>10</v>
      </c>
      <c r="BJ118" t="s">
        <v>101</v>
      </c>
      <c r="BK118" t="s">
        <v>102</v>
      </c>
      <c r="BL118" t="s">
        <v>103</v>
      </c>
      <c r="BM118" t="s">
        <v>2027</v>
      </c>
      <c r="BN118">
        <v>31018180</v>
      </c>
      <c r="BO118" t="s">
        <v>795</v>
      </c>
      <c r="BP118" t="s">
        <v>74</v>
      </c>
      <c r="BQ118" t="s">
        <v>74</v>
      </c>
      <c r="BR118" t="s">
        <v>106</v>
      </c>
      <c r="BS118" t="s">
        <v>2028</v>
      </c>
      <c r="BT118" t="str">
        <f>HYPERLINK("https%3A%2F%2Fwww.webofscience.com%2Fwos%2Fwoscc%2Ffull-record%2FWOS:000480292100001","View Full Record in Web of Science")</f>
        <v>View Full Record in Web of Science</v>
      </c>
    </row>
    <row r="119" spans="1:72" x14ac:dyDescent="0.25">
      <c r="A119" t="s">
        <v>72</v>
      </c>
      <c r="B119" t="s">
        <v>2029</v>
      </c>
      <c r="C119" t="s">
        <v>74</v>
      </c>
      <c r="D119" t="s">
        <v>74</v>
      </c>
      <c r="E119" t="s">
        <v>74</v>
      </c>
      <c r="F119" t="s">
        <v>2030</v>
      </c>
      <c r="G119" t="s">
        <v>74</v>
      </c>
      <c r="H119" t="s">
        <v>74</v>
      </c>
      <c r="I119" t="s">
        <v>2031</v>
      </c>
      <c r="J119" t="s">
        <v>77</v>
      </c>
      <c r="K119" t="s">
        <v>74</v>
      </c>
      <c r="L119" t="s">
        <v>74</v>
      </c>
      <c r="M119" t="s">
        <v>78</v>
      </c>
      <c r="N119" t="s">
        <v>79</v>
      </c>
      <c r="O119" t="s">
        <v>74</v>
      </c>
      <c r="P119" t="s">
        <v>74</v>
      </c>
      <c r="Q119" t="s">
        <v>74</v>
      </c>
      <c r="R119" t="s">
        <v>74</v>
      </c>
      <c r="S119" t="s">
        <v>74</v>
      </c>
      <c r="T119" t="s">
        <v>2032</v>
      </c>
      <c r="U119" t="s">
        <v>2033</v>
      </c>
      <c r="V119" t="s">
        <v>2034</v>
      </c>
      <c r="W119" t="s">
        <v>2035</v>
      </c>
      <c r="X119" t="s">
        <v>2036</v>
      </c>
      <c r="Y119" t="s">
        <v>2037</v>
      </c>
      <c r="Z119" t="s">
        <v>2038</v>
      </c>
      <c r="AA119" t="s">
        <v>2039</v>
      </c>
      <c r="AB119" t="s">
        <v>2040</v>
      </c>
      <c r="AC119" t="s">
        <v>2041</v>
      </c>
      <c r="AD119" t="s">
        <v>2042</v>
      </c>
      <c r="AE119" t="s">
        <v>2043</v>
      </c>
      <c r="AF119" t="s">
        <v>74</v>
      </c>
      <c r="AG119">
        <v>24</v>
      </c>
      <c r="AH119">
        <v>14</v>
      </c>
      <c r="AI119">
        <v>15</v>
      </c>
      <c r="AJ119">
        <v>0</v>
      </c>
      <c r="AK119">
        <v>6</v>
      </c>
      <c r="AL119" t="s">
        <v>92</v>
      </c>
      <c r="AM119" t="s">
        <v>93</v>
      </c>
      <c r="AN119" t="s">
        <v>94</v>
      </c>
      <c r="AO119" t="s">
        <v>95</v>
      </c>
      <c r="AP119" t="s">
        <v>96</v>
      </c>
      <c r="AQ119" t="s">
        <v>74</v>
      </c>
      <c r="AR119" t="s">
        <v>97</v>
      </c>
      <c r="AS119" t="s">
        <v>98</v>
      </c>
      <c r="AT119" t="s">
        <v>196</v>
      </c>
      <c r="AU119">
        <v>2019</v>
      </c>
      <c r="AV119">
        <v>64</v>
      </c>
      <c r="AW119">
        <v>16</v>
      </c>
      <c r="AX119" t="s">
        <v>74</v>
      </c>
      <c r="AY119" t="s">
        <v>74</v>
      </c>
      <c r="AZ119" t="s">
        <v>74</v>
      </c>
      <c r="BA119" t="s">
        <v>74</v>
      </c>
      <c r="BB119" t="s">
        <v>74</v>
      </c>
      <c r="BC119" t="s">
        <v>74</v>
      </c>
      <c r="BD119">
        <v>165010</v>
      </c>
      <c r="BE119" t="s">
        <v>2044</v>
      </c>
      <c r="BF119" t="str">
        <f>HYPERLINK("http://dx.doi.org/10.1088/1361-6560/ab3238","http://dx.doi.org/10.1088/1361-6560/ab3238")</f>
        <v>http://dx.doi.org/10.1088/1361-6560/ab3238</v>
      </c>
      <c r="BG119" t="s">
        <v>74</v>
      </c>
      <c r="BH119" t="s">
        <v>74</v>
      </c>
      <c r="BI119">
        <v>8</v>
      </c>
      <c r="BJ119" t="s">
        <v>101</v>
      </c>
      <c r="BK119" t="s">
        <v>102</v>
      </c>
      <c r="BL119" t="s">
        <v>103</v>
      </c>
      <c r="BM119" t="s">
        <v>2045</v>
      </c>
      <c r="BN119">
        <v>31307015</v>
      </c>
      <c r="BO119" t="s">
        <v>105</v>
      </c>
      <c r="BP119" t="s">
        <v>74</v>
      </c>
      <c r="BQ119" t="s">
        <v>74</v>
      </c>
      <c r="BR119" t="s">
        <v>106</v>
      </c>
      <c r="BS119" t="s">
        <v>2046</v>
      </c>
      <c r="BT119" t="str">
        <f>HYPERLINK("https%3A%2F%2Fwww.webofscience.com%2Fwos%2Fwoscc%2Ffull-record%2FWOS:000482525700001","View Full Record in Web of Science")</f>
        <v>View Full Record in Web of Science</v>
      </c>
    </row>
    <row r="120" spans="1:72" x14ac:dyDescent="0.25">
      <c r="A120" t="s">
        <v>72</v>
      </c>
      <c r="B120" t="s">
        <v>2047</v>
      </c>
      <c r="C120" t="s">
        <v>74</v>
      </c>
      <c r="D120" t="s">
        <v>74</v>
      </c>
      <c r="E120" t="s">
        <v>74</v>
      </c>
      <c r="F120" t="s">
        <v>2048</v>
      </c>
      <c r="G120" t="s">
        <v>74</v>
      </c>
      <c r="H120" t="s">
        <v>74</v>
      </c>
      <c r="I120" t="s">
        <v>2049</v>
      </c>
      <c r="J120" t="s">
        <v>77</v>
      </c>
      <c r="K120" t="s">
        <v>74</v>
      </c>
      <c r="L120" t="s">
        <v>74</v>
      </c>
      <c r="M120" t="s">
        <v>78</v>
      </c>
      <c r="N120" t="s">
        <v>79</v>
      </c>
      <c r="O120" t="s">
        <v>74</v>
      </c>
      <c r="P120" t="s">
        <v>74</v>
      </c>
      <c r="Q120" t="s">
        <v>74</v>
      </c>
      <c r="R120" t="s">
        <v>74</v>
      </c>
      <c r="S120" t="s">
        <v>74</v>
      </c>
      <c r="T120" t="s">
        <v>2050</v>
      </c>
      <c r="U120" t="s">
        <v>2051</v>
      </c>
      <c r="V120" t="s">
        <v>2052</v>
      </c>
      <c r="W120" t="s">
        <v>2053</v>
      </c>
      <c r="X120" t="s">
        <v>2054</v>
      </c>
      <c r="Y120" t="s">
        <v>2055</v>
      </c>
      <c r="Z120" t="s">
        <v>2056</v>
      </c>
      <c r="AA120" t="s">
        <v>74</v>
      </c>
      <c r="AB120" t="s">
        <v>74</v>
      </c>
      <c r="AC120" t="s">
        <v>2057</v>
      </c>
      <c r="AD120" t="s">
        <v>2058</v>
      </c>
      <c r="AE120" t="s">
        <v>2059</v>
      </c>
      <c r="AF120" t="s">
        <v>74</v>
      </c>
      <c r="AG120">
        <v>40</v>
      </c>
      <c r="AH120">
        <v>20</v>
      </c>
      <c r="AI120">
        <v>20</v>
      </c>
      <c r="AJ120">
        <v>0</v>
      </c>
      <c r="AK120">
        <v>12</v>
      </c>
      <c r="AL120" t="s">
        <v>157</v>
      </c>
      <c r="AM120" t="s">
        <v>93</v>
      </c>
      <c r="AN120" t="s">
        <v>94</v>
      </c>
      <c r="AO120" t="s">
        <v>95</v>
      </c>
      <c r="AP120" t="s">
        <v>96</v>
      </c>
      <c r="AQ120" t="s">
        <v>74</v>
      </c>
      <c r="AR120" t="s">
        <v>97</v>
      </c>
      <c r="AS120" t="s">
        <v>98</v>
      </c>
      <c r="AT120" t="s">
        <v>214</v>
      </c>
      <c r="AU120">
        <v>2019</v>
      </c>
      <c r="AV120">
        <v>64</v>
      </c>
      <c r="AW120">
        <v>13</v>
      </c>
      <c r="AX120" t="s">
        <v>74</v>
      </c>
      <c r="AY120" t="s">
        <v>74</v>
      </c>
      <c r="AZ120" t="s">
        <v>74</v>
      </c>
      <c r="BA120" t="s">
        <v>74</v>
      </c>
      <c r="BB120" t="s">
        <v>74</v>
      </c>
      <c r="BC120" t="s">
        <v>74</v>
      </c>
      <c r="BD120">
        <v>135010</v>
      </c>
      <c r="BE120" t="s">
        <v>2060</v>
      </c>
      <c r="BF120" t="str">
        <f>HYPERLINK("http://dx.doi.org/10.1088/1361-6560/ab28a1","http://dx.doi.org/10.1088/1361-6560/ab28a1")</f>
        <v>http://dx.doi.org/10.1088/1361-6560/ab28a1</v>
      </c>
      <c r="BG120" t="s">
        <v>74</v>
      </c>
      <c r="BH120" t="s">
        <v>74</v>
      </c>
      <c r="BI120">
        <v>18</v>
      </c>
      <c r="BJ120" t="s">
        <v>101</v>
      </c>
      <c r="BK120" t="s">
        <v>102</v>
      </c>
      <c r="BL120" t="s">
        <v>103</v>
      </c>
      <c r="BM120" t="s">
        <v>2061</v>
      </c>
      <c r="BN120">
        <v>31185463</v>
      </c>
      <c r="BO120" t="s">
        <v>74</v>
      </c>
      <c r="BP120" t="s">
        <v>74</v>
      </c>
      <c r="BQ120" t="s">
        <v>74</v>
      </c>
      <c r="BR120" t="s">
        <v>106</v>
      </c>
      <c r="BS120" t="s">
        <v>2062</v>
      </c>
      <c r="BT120" t="str">
        <f>HYPERLINK("https%3A%2F%2Fwww.webofscience.com%2Fwos%2Fwoscc%2Ffull-record%2FWOS:000474298100002","View Full Record in Web of Science")</f>
        <v>View Full Record in Web of Science</v>
      </c>
    </row>
    <row r="121" spans="1:72" x14ac:dyDescent="0.25">
      <c r="A121" t="s">
        <v>72</v>
      </c>
      <c r="B121" t="s">
        <v>2063</v>
      </c>
      <c r="C121" t="s">
        <v>74</v>
      </c>
      <c r="D121" t="s">
        <v>74</v>
      </c>
      <c r="E121" t="s">
        <v>74</v>
      </c>
      <c r="F121" t="s">
        <v>2064</v>
      </c>
      <c r="G121" t="s">
        <v>74</v>
      </c>
      <c r="H121" t="s">
        <v>74</v>
      </c>
      <c r="I121" t="s">
        <v>2065</v>
      </c>
      <c r="J121" t="s">
        <v>77</v>
      </c>
      <c r="K121" t="s">
        <v>74</v>
      </c>
      <c r="L121" t="s">
        <v>74</v>
      </c>
      <c r="M121" t="s">
        <v>78</v>
      </c>
      <c r="N121" t="s">
        <v>79</v>
      </c>
      <c r="O121" t="s">
        <v>74</v>
      </c>
      <c r="P121" t="s">
        <v>74</v>
      </c>
      <c r="Q121" t="s">
        <v>74</v>
      </c>
      <c r="R121" t="s">
        <v>74</v>
      </c>
      <c r="S121" t="s">
        <v>74</v>
      </c>
      <c r="T121" t="s">
        <v>2066</v>
      </c>
      <c r="U121" t="s">
        <v>2067</v>
      </c>
      <c r="V121" t="s">
        <v>2068</v>
      </c>
      <c r="W121" t="s">
        <v>2069</v>
      </c>
      <c r="X121" t="s">
        <v>2070</v>
      </c>
      <c r="Y121" t="s">
        <v>2071</v>
      </c>
      <c r="Z121" t="s">
        <v>2072</v>
      </c>
      <c r="AA121" t="s">
        <v>2073</v>
      </c>
      <c r="AB121" t="s">
        <v>2074</v>
      </c>
      <c r="AC121" t="s">
        <v>74</v>
      </c>
      <c r="AD121" t="s">
        <v>74</v>
      </c>
      <c r="AE121" t="s">
        <v>74</v>
      </c>
      <c r="AF121" t="s">
        <v>74</v>
      </c>
      <c r="AG121">
        <v>34</v>
      </c>
      <c r="AH121">
        <v>23</v>
      </c>
      <c r="AI121">
        <v>24</v>
      </c>
      <c r="AJ121">
        <v>0</v>
      </c>
      <c r="AK121">
        <v>15</v>
      </c>
      <c r="AL121" t="s">
        <v>92</v>
      </c>
      <c r="AM121" t="s">
        <v>93</v>
      </c>
      <c r="AN121" t="s">
        <v>94</v>
      </c>
      <c r="AO121" t="s">
        <v>95</v>
      </c>
      <c r="AP121" t="s">
        <v>96</v>
      </c>
      <c r="AQ121" t="s">
        <v>74</v>
      </c>
      <c r="AR121" t="s">
        <v>97</v>
      </c>
      <c r="AS121" t="s">
        <v>98</v>
      </c>
      <c r="AT121" t="s">
        <v>214</v>
      </c>
      <c r="AU121">
        <v>2019</v>
      </c>
      <c r="AV121">
        <v>64</v>
      </c>
      <c r="AW121">
        <v>14</v>
      </c>
      <c r="AX121" t="s">
        <v>74</v>
      </c>
      <c r="AY121" t="s">
        <v>74</v>
      </c>
      <c r="AZ121" t="s">
        <v>74</v>
      </c>
      <c r="BA121" t="s">
        <v>74</v>
      </c>
      <c r="BB121" t="s">
        <v>74</v>
      </c>
      <c r="BC121" t="s">
        <v>74</v>
      </c>
      <c r="BD121">
        <v>145017</v>
      </c>
      <c r="BE121" t="s">
        <v>2075</v>
      </c>
      <c r="BF121" t="str">
        <f>HYPERLINK("http://dx.doi.org/10.1088/1361-6560/ab2a22","http://dx.doi.org/10.1088/1361-6560/ab2a22")</f>
        <v>http://dx.doi.org/10.1088/1361-6560/ab2a22</v>
      </c>
      <c r="BG121" t="s">
        <v>74</v>
      </c>
      <c r="BH121" t="s">
        <v>74</v>
      </c>
      <c r="BI121">
        <v>10</v>
      </c>
      <c r="BJ121" t="s">
        <v>101</v>
      </c>
      <c r="BK121" t="s">
        <v>102</v>
      </c>
      <c r="BL121" t="s">
        <v>103</v>
      </c>
      <c r="BM121" t="s">
        <v>1093</v>
      </c>
      <c r="BN121">
        <v>31207583</v>
      </c>
      <c r="BO121" t="s">
        <v>74</v>
      </c>
      <c r="BP121" t="s">
        <v>74</v>
      </c>
      <c r="BQ121" t="s">
        <v>74</v>
      </c>
      <c r="BR121" t="s">
        <v>106</v>
      </c>
      <c r="BS121" t="s">
        <v>2076</v>
      </c>
      <c r="BT121" t="str">
        <f>HYPERLINK("https%3A%2F%2Fwww.webofscience.com%2Fwos%2Fwoscc%2Ffull-record%2FWOS:000476529600001","View Full Record in Web of Science")</f>
        <v>View Full Record in Web of Science</v>
      </c>
    </row>
    <row r="122" spans="1:72" x14ac:dyDescent="0.25">
      <c r="A122" t="s">
        <v>72</v>
      </c>
      <c r="B122" t="s">
        <v>2077</v>
      </c>
      <c r="C122" t="s">
        <v>74</v>
      </c>
      <c r="D122" t="s">
        <v>74</v>
      </c>
      <c r="E122" t="s">
        <v>74</v>
      </c>
      <c r="F122" t="s">
        <v>2078</v>
      </c>
      <c r="G122" t="s">
        <v>74</v>
      </c>
      <c r="H122" t="s">
        <v>74</v>
      </c>
      <c r="I122" t="s">
        <v>2079</v>
      </c>
      <c r="J122" t="s">
        <v>77</v>
      </c>
      <c r="K122" t="s">
        <v>74</v>
      </c>
      <c r="L122" t="s">
        <v>74</v>
      </c>
      <c r="M122" t="s">
        <v>78</v>
      </c>
      <c r="N122" t="s">
        <v>79</v>
      </c>
      <c r="O122" t="s">
        <v>74</v>
      </c>
      <c r="P122" t="s">
        <v>74</v>
      </c>
      <c r="Q122" t="s">
        <v>74</v>
      </c>
      <c r="R122" t="s">
        <v>74</v>
      </c>
      <c r="S122" t="s">
        <v>74</v>
      </c>
      <c r="T122" t="s">
        <v>2080</v>
      </c>
      <c r="U122" t="s">
        <v>2081</v>
      </c>
      <c r="V122" t="s">
        <v>2082</v>
      </c>
      <c r="W122" t="s">
        <v>2083</v>
      </c>
      <c r="X122" t="s">
        <v>2084</v>
      </c>
      <c r="Y122" t="s">
        <v>2085</v>
      </c>
      <c r="Z122" t="s">
        <v>2086</v>
      </c>
      <c r="AA122" t="s">
        <v>74</v>
      </c>
      <c r="AB122" t="s">
        <v>2087</v>
      </c>
      <c r="AC122" t="s">
        <v>2088</v>
      </c>
      <c r="AD122" t="s">
        <v>2089</v>
      </c>
      <c r="AE122" t="s">
        <v>2090</v>
      </c>
      <c r="AF122" t="s">
        <v>74</v>
      </c>
      <c r="AG122">
        <v>32</v>
      </c>
      <c r="AH122">
        <v>47</v>
      </c>
      <c r="AI122">
        <v>53</v>
      </c>
      <c r="AJ122">
        <v>1</v>
      </c>
      <c r="AK122">
        <v>18</v>
      </c>
      <c r="AL122" t="s">
        <v>92</v>
      </c>
      <c r="AM122" t="s">
        <v>93</v>
      </c>
      <c r="AN122" t="s">
        <v>94</v>
      </c>
      <c r="AO122" t="s">
        <v>95</v>
      </c>
      <c r="AP122" t="s">
        <v>96</v>
      </c>
      <c r="AQ122" t="s">
        <v>74</v>
      </c>
      <c r="AR122" t="s">
        <v>97</v>
      </c>
      <c r="AS122" t="s">
        <v>98</v>
      </c>
      <c r="AT122" t="s">
        <v>250</v>
      </c>
      <c r="AU122">
        <v>2019</v>
      </c>
      <c r="AV122">
        <v>64</v>
      </c>
      <c r="AW122">
        <v>12</v>
      </c>
      <c r="AX122" t="s">
        <v>74</v>
      </c>
      <c r="AY122" t="s">
        <v>74</v>
      </c>
      <c r="AZ122" t="s">
        <v>74</v>
      </c>
      <c r="BA122" t="s">
        <v>74</v>
      </c>
      <c r="BB122" t="s">
        <v>74</v>
      </c>
      <c r="BC122" t="s">
        <v>74</v>
      </c>
      <c r="BD122">
        <v>125017</v>
      </c>
      <c r="BE122" t="s">
        <v>2091</v>
      </c>
      <c r="BF122" t="str">
        <f>HYPERLINK("http://dx.doi.org/10.1088/1361-6560/ab2146","http://dx.doi.org/10.1088/1361-6560/ab2146")</f>
        <v>http://dx.doi.org/10.1088/1361-6560/ab2146</v>
      </c>
      <c r="BG122" t="s">
        <v>74</v>
      </c>
      <c r="BH122" t="s">
        <v>74</v>
      </c>
      <c r="BI122">
        <v>11</v>
      </c>
      <c r="BJ122" t="s">
        <v>101</v>
      </c>
      <c r="BK122" t="s">
        <v>102</v>
      </c>
      <c r="BL122" t="s">
        <v>103</v>
      </c>
      <c r="BM122" t="s">
        <v>357</v>
      </c>
      <c r="BN122">
        <v>31082805</v>
      </c>
      <c r="BO122" t="s">
        <v>74</v>
      </c>
      <c r="BP122" t="s">
        <v>74</v>
      </c>
      <c r="BQ122" t="s">
        <v>74</v>
      </c>
      <c r="BR122" t="s">
        <v>106</v>
      </c>
      <c r="BS122" t="s">
        <v>2092</v>
      </c>
      <c r="BT122" t="str">
        <f>HYPERLINK("https%3A%2F%2Fwww.webofscience.com%2Fwos%2Fwoscc%2Ffull-record%2FWOS:000518929400007","View Full Record in Web of Science")</f>
        <v>View Full Record in Web of Science</v>
      </c>
    </row>
    <row r="123" spans="1:72" x14ac:dyDescent="0.25">
      <c r="A123" t="s">
        <v>72</v>
      </c>
      <c r="B123" t="s">
        <v>2093</v>
      </c>
      <c r="C123" t="s">
        <v>74</v>
      </c>
      <c r="D123" t="s">
        <v>74</v>
      </c>
      <c r="E123" t="s">
        <v>74</v>
      </c>
      <c r="F123" t="s">
        <v>2094</v>
      </c>
      <c r="G123" t="s">
        <v>74</v>
      </c>
      <c r="H123" t="s">
        <v>74</v>
      </c>
      <c r="I123" t="s">
        <v>2095</v>
      </c>
      <c r="J123" t="s">
        <v>77</v>
      </c>
      <c r="K123" t="s">
        <v>74</v>
      </c>
      <c r="L123" t="s">
        <v>74</v>
      </c>
      <c r="M123" t="s">
        <v>78</v>
      </c>
      <c r="N123" t="s">
        <v>79</v>
      </c>
      <c r="O123" t="s">
        <v>74</v>
      </c>
      <c r="P123" t="s">
        <v>74</v>
      </c>
      <c r="Q123" t="s">
        <v>74</v>
      </c>
      <c r="R123" t="s">
        <v>74</v>
      </c>
      <c r="S123" t="s">
        <v>74</v>
      </c>
      <c r="T123" t="s">
        <v>2096</v>
      </c>
      <c r="U123" t="s">
        <v>2097</v>
      </c>
      <c r="V123" t="s">
        <v>2098</v>
      </c>
      <c r="W123" t="s">
        <v>2099</v>
      </c>
      <c r="X123" t="s">
        <v>1708</v>
      </c>
      <c r="Y123" t="s">
        <v>2100</v>
      </c>
      <c r="Z123" t="s">
        <v>2101</v>
      </c>
      <c r="AA123" t="s">
        <v>2102</v>
      </c>
      <c r="AB123" t="s">
        <v>74</v>
      </c>
      <c r="AC123" t="s">
        <v>2103</v>
      </c>
      <c r="AD123" t="s">
        <v>2104</v>
      </c>
      <c r="AE123" t="s">
        <v>2105</v>
      </c>
      <c r="AF123" t="s">
        <v>74</v>
      </c>
      <c r="AG123">
        <v>25</v>
      </c>
      <c r="AH123">
        <v>26</v>
      </c>
      <c r="AI123">
        <v>29</v>
      </c>
      <c r="AJ123">
        <v>0</v>
      </c>
      <c r="AK123">
        <v>6</v>
      </c>
      <c r="AL123" t="s">
        <v>157</v>
      </c>
      <c r="AM123" t="s">
        <v>93</v>
      </c>
      <c r="AN123" t="s">
        <v>94</v>
      </c>
      <c r="AO123" t="s">
        <v>95</v>
      </c>
      <c r="AP123" t="s">
        <v>96</v>
      </c>
      <c r="AQ123" t="s">
        <v>74</v>
      </c>
      <c r="AR123" t="s">
        <v>97</v>
      </c>
      <c r="AS123" t="s">
        <v>98</v>
      </c>
      <c r="AT123" t="s">
        <v>250</v>
      </c>
      <c r="AU123">
        <v>2019</v>
      </c>
      <c r="AV123">
        <v>64</v>
      </c>
      <c r="AW123">
        <v>11</v>
      </c>
      <c r="AX123" t="s">
        <v>74</v>
      </c>
      <c r="AY123" t="s">
        <v>74</v>
      </c>
      <c r="AZ123" t="s">
        <v>74</v>
      </c>
      <c r="BA123" t="s">
        <v>74</v>
      </c>
      <c r="BB123" t="s">
        <v>74</v>
      </c>
      <c r="BC123" t="s">
        <v>74</v>
      </c>
      <c r="BD123">
        <v>115029</v>
      </c>
      <c r="BE123" t="s">
        <v>2106</v>
      </c>
      <c r="BF123" t="str">
        <f>HYPERLINK("http://dx.doi.org/10.1088/1361-6560/ab0aa0","http://dx.doi.org/10.1088/1361-6560/ab0aa0")</f>
        <v>http://dx.doi.org/10.1088/1361-6560/ab0aa0</v>
      </c>
      <c r="BG123" t="s">
        <v>74</v>
      </c>
      <c r="BH123" t="s">
        <v>74</v>
      </c>
      <c r="BI123">
        <v>10</v>
      </c>
      <c r="BJ123" t="s">
        <v>101</v>
      </c>
      <c r="BK123" t="s">
        <v>102</v>
      </c>
      <c r="BL123" t="s">
        <v>103</v>
      </c>
      <c r="BM123" t="s">
        <v>2107</v>
      </c>
      <c r="BN123">
        <v>30808017</v>
      </c>
      <c r="BO123" t="s">
        <v>759</v>
      </c>
      <c r="BP123" t="s">
        <v>74</v>
      </c>
      <c r="BQ123" t="s">
        <v>74</v>
      </c>
      <c r="BR123" t="s">
        <v>106</v>
      </c>
      <c r="BS123" t="s">
        <v>2108</v>
      </c>
      <c r="BT123" t="str">
        <f>HYPERLINK("https%3A%2F%2Fwww.webofscience.com%2Fwos%2Fwoscc%2Ffull-record%2FWOS:000470808600004","View Full Record in Web of Science")</f>
        <v>View Full Record in Web of Science</v>
      </c>
    </row>
    <row r="124" spans="1:72" x14ac:dyDescent="0.25">
      <c r="A124" t="s">
        <v>72</v>
      </c>
      <c r="B124" t="s">
        <v>2109</v>
      </c>
      <c r="C124" t="s">
        <v>74</v>
      </c>
      <c r="D124" t="s">
        <v>74</v>
      </c>
      <c r="E124" t="s">
        <v>74</v>
      </c>
      <c r="F124" t="s">
        <v>2110</v>
      </c>
      <c r="G124" t="s">
        <v>74</v>
      </c>
      <c r="H124" t="s">
        <v>74</v>
      </c>
      <c r="I124" t="s">
        <v>2111</v>
      </c>
      <c r="J124" t="s">
        <v>77</v>
      </c>
      <c r="K124" t="s">
        <v>74</v>
      </c>
      <c r="L124" t="s">
        <v>74</v>
      </c>
      <c r="M124" t="s">
        <v>78</v>
      </c>
      <c r="N124" t="s">
        <v>79</v>
      </c>
      <c r="O124" t="s">
        <v>74</v>
      </c>
      <c r="P124" t="s">
        <v>74</v>
      </c>
      <c r="Q124" t="s">
        <v>74</v>
      </c>
      <c r="R124" t="s">
        <v>74</v>
      </c>
      <c r="S124" t="s">
        <v>74</v>
      </c>
      <c r="T124" t="s">
        <v>2112</v>
      </c>
      <c r="U124" t="s">
        <v>2113</v>
      </c>
      <c r="V124" t="s">
        <v>2114</v>
      </c>
      <c r="W124" t="s">
        <v>2115</v>
      </c>
      <c r="X124" t="s">
        <v>2116</v>
      </c>
      <c r="Y124" t="s">
        <v>2117</v>
      </c>
      <c r="Z124" t="s">
        <v>2118</v>
      </c>
      <c r="AA124" t="s">
        <v>2119</v>
      </c>
      <c r="AB124" t="s">
        <v>2120</v>
      </c>
      <c r="AC124" t="s">
        <v>2121</v>
      </c>
      <c r="AD124" t="s">
        <v>2122</v>
      </c>
      <c r="AE124" t="s">
        <v>2123</v>
      </c>
      <c r="AF124" t="s">
        <v>74</v>
      </c>
      <c r="AG124">
        <v>43</v>
      </c>
      <c r="AH124">
        <v>4</v>
      </c>
      <c r="AI124">
        <v>4</v>
      </c>
      <c r="AJ124">
        <v>0</v>
      </c>
      <c r="AK124">
        <v>2</v>
      </c>
      <c r="AL124" t="s">
        <v>92</v>
      </c>
      <c r="AM124" t="s">
        <v>93</v>
      </c>
      <c r="AN124" t="s">
        <v>94</v>
      </c>
      <c r="AO124" t="s">
        <v>95</v>
      </c>
      <c r="AP124" t="s">
        <v>96</v>
      </c>
      <c r="AQ124" t="s">
        <v>74</v>
      </c>
      <c r="AR124" t="s">
        <v>97</v>
      </c>
      <c r="AS124" t="s">
        <v>98</v>
      </c>
      <c r="AT124" t="s">
        <v>370</v>
      </c>
      <c r="AU124">
        <v>2019</v>
      </c>
      <c r="AV124">
        <v>64</v>
      </c>
      <c r="AW124">
        <v>9</v>
      </c>
      <c r="AX124" t="s">
        <v>74</v>
      </c>
      <c r="AY124" t="s">
        <v>74</v>
      </c>
      <c r="AZ124" t="s">
        <v>74</v>
      </c>
      <c r="BA124" t="s">
        <v>74</v>
      </c>
      <c r="BB124" t="s">
        <v>74</v>
      </c>
      <c r="BC124" t="s">
        <v>74</v>
      </c>
      <c r="BD124">
        <v>95005</v>
      </c>
      <c r="BE124" t="s">
        <v>2124</v>
      </c>
      <c r="BF124" t="str">
        <f>HYPERLINK("http://dx.doi.org/10.1088/1361-6560/ab1150","http://dx.doi.org/10.1088/1361-6560/ab1150")</f>
        <v>http://dx.doi.org/10.1088/1361-6560/ab1150</v>
      </c>
      <c r="BG124" t="s">
        <v>74</v>
      </c>
      <c r="BH124" t="s">
        <v>74</v>
      </c>
      <c r="BI124">
        <v>12</v>
      </c>
      <c r="BJ124" t="s">
        <v>101</v>
      </c>
      <c r="BK124" t="s">
        <v>102</v>
      </c>
      <c r="BL124" t="s">
        <v>103</v>
      </c>
      <c r="BM124" t="s">
        <v>2125</v>
      </c>
      <c r="BN124">
        <v>30893664</v>
      </c>
      <c r="BO124" t="s">
        <v>74</v>
      </c>
      <c r="BP124" t="s">
        <v>74</v>
      </c>
      <c r="BQ124" t="s">
        <v>74</v>
      </c>
      <c r="BR124" t="s">
        <v>106</v>
      </c>
      <c r="BS124" t="s">
        <v>2126</v>
      </c>
      <c r="BT124" t="str">
        <f>HYPERLINK("https%3A%2F%2Fwww.webofscience.com%2Fwos%2Fwoscc%2Ffull-record%2FWOS:000465824100005","View Full Record in Web of Science")</f>
        <v>View Full Record in Web of Science</v>
      </c>
    </row>
    <row r="125" spans="1:72" x14ac:dyDescent="0.25">
      <c r="A125" t="s">
        <v>72</v>
      </c>
      <c r="B125" t="s">
        <v>2127</v>
      </c>
      <c r="C125" t="s">
        <v>74</v>
      </c>
      <c r="D125" t="s">
        <v>74</v>
      </c>
      <c r="E125" t="s">
        <v>74</v>
      </c>
      <c r="F125" t="s">
        <v>2128</v>
      </c>
      <c r="G125" t="s">
        <v>74</v>
      </c>
      <c r="H125" t="s">
        <v>74</v>
      </c>
      <c r="I125" t="s">
        <v>2129</v>
      </c>
      <c r="J125" t="s">
        <v>77</v>
      </c>
      <c r="K125" t="s">
        <v>74</v>
      </c>
      <c r="L125" t="s">
        <v>74</v>
      </c>
      <c r="M125" t="s">
        <v>78</v>
      </c>
      <c r="N125" t="s">
        <v>79</v>
      </c>
      <c r="O125" t="s">
        <v>74</v>
      </c>
      <c r="P125" t="s">
        <v>74</v>
      </c>
      <c r="Q125" t="s">
        <v>74</v>
      </c>
      <c r="R125" t="s">
        <v>74</v>
      </c>
      <c r="S125" t="s">
        <v>74</v>
      </c>
      <c r="T125" t="s">
        <v>2130</v>
      </c>
      <c r="U125" t="s">
        <v>2131</v>
      </c>
      <c r="V125" t="s">
        <v>2132</v>
      </c>
      <c r="W125" t="s">
        <v>2133</v>
      </c>
      <c r="X125" t="s">
        <v>2134</v>
      </c>
      <c r="Y125" t="s">
        <v>2135</v>
      </c>
      <c r="Z125" t="s">
        <v>787</v>
      </c>
      <c r="AA125" t="s">
        <v>2136</v>
      </c>
      <c r="AB125" t="s">
        <v>2137</v>
      </c>
      <c r="AC125" t="s">
        <v>2138</v>
      </c>
      <c r="AD125" t="s">
        <v>2139</v>
      </c>
      <c r="AE125" t="s">
        <v>2140</v>
      </c>
      <c r="AF125" t="s">
        <v>74</v>
      </c>
      <c r="AG125">
        <v>53</v>
      </c>
      <c r="AH125">
        <v>35</v>
      </c>
      <c r="AI125">
        <v>37</v>
      </c>
      <c r="AJ125">
        <v>0</v>
      </c>
      <c r="AK125">
        <v>43</v>
      </c>
      <c r="AL125" t="s">
        <v>157</v>
      </c>
      <c r="AM125" t="s">
        <v>93</v>
      </c>
      <c r="AN125" t="s">
        <v>94</v>
      </c>
      <c r="AO125" t="s">
        <v>95</v>
      </c>
      <c r="AP125" t="s">
        <v>96</v>
      </c>
      <c r="AQ125" t="s">
        <v>74</v>
      </c>
      <c r="AR125" t="s">
        <v>97</v>
      </c>
      <c r="AS125" t="s">
        <v>98</v>
      </c>
      <c r="AT125" t="s">
        <v>386</v>
      </c>
      <c r="AU125">
        <v>2019</v>
      </c>
      <c r="AV125">
        <v>64</v>
      </c>
      <c r="AW125">
        <v>8</v>
      </c>
      <c r="AX125" t="s">
        <v>74</v>
      </c>
      <c r="AY125" t="s">
        <v>74</v>
      </c>
      <c r="AZ125" t="s">
        <v>74</v>
      </c>
      <c r="BA125" t="s">
        <v>74</v>
      </c>
      <c r="BB125" t="s">
        <v>74</v>
      </c>
      <c r="BC125" t="s">
        <v>74</v>
      </c>
      <c r="BD125">
        <v>85019</v>
      </c>
      <c r="BE125" t="s">
        <v>2141</v>
      </c>
      <c r="BF125" t="str">
        <f>HYPERLINK("http://dx.doi.org/10.1088/1361-6560/ab0b64","http://dx.doi.org/10.1088/1361-6560/ab0b64")</f>
        <v>http://dx.doi.org/10.1088/1361-6560/ab0b64</v>
      </c>
      <c r="BG125" t="s">
        <v>74</v>
      </c>
      <c r="BH125" t="s">
        <v>74</v>
      </c>
      <c r="BI125">
        <v>15</v>
      </c>
      <c r="BJ125" t="s">
        <v>101</v>
      </c>
      <c r="BK125" t="s">
        <v>102</v>
      </c>
      <c r="BL125" t="s">
        <v>103</v>
      </c>
      <c r="BM125" t="s">
        <v>419</v>
      </c>
      <c r="BN125">
        <v>30818303</v>
      </c>
      <c r="BO125" t="s">
        <v>105</v>
      </c>
      <c r="BP125" t="s">
        <v>74</v>
      </c>
      <c r="BQ125" t="s">
        <v>74</v>
      </c>
      <c r="BR125" t="s">
        <v>106</v>
      </c>
      <c r="BS125" t="s">
        <v>2142</v>
      </c>
      <c r="BT125" t="str">
        <f>HYPERLINK("https%3A%2F%2Fwww.webofscience.com%2Fwos%2Fwoscc%2Ffull-record%2FWOS:000464454200005","View Full Record in Web of Science")</f>
        <v>View Full Record in Web of Science</v>
      </c>
    </row>
    <row r="126" spans="1:72" x14ac:dyDescent="0.25">
      <c r="A126" t="s">
        <v>72</v>
      </c>
      <c r="B126" t="s">
        <v>2143</v>
      </c>
      <c r="C126" t="s">
        <v>74</v>
      </c>
      <c r="D126" t="s">
        <v>74</v>
      </c>
      <c r="E126" t="s">
        <v>74</v>
      </c>
      <c r="F126" t="s">
        <v>2144</v>
      </c>
      <c r="G126" t="s">
        <v>74</v>
      </c>
      <c r="H126" t="s">
        <v>74</v>
      </c>
      <c r="I126" t="s">
        <v>2145</v>
      </c>
      <c r="J126" t="s">
        <v>77</v>
      </c>
      <c r="K126" t="s">
        <v>74</v>
      </c>
      <c r="L126" t="s">
        <v>74</v>
      </c>
      <c r="M126" t="s">
        <v>78</v>
      </c>
      <c r="N126" t="s">
        <v>79</v>
      </c>
      <c r="O126" t="s">
        <v>74</v>
      </c>
      <c r="P126" t="s">
        <v>74</v>
      </c>
      <c r="Q126" t="s">
        <v>74</v>
      </c>
      <c r="R126" t="s">
        <v>74</v>
      </c>
      <c r="S126" t="s">
        <v>74</v>
      </c>
      <c r="T126" t="s">
        <v>2146</v>
      </c>
      <c r="U126" t="s">
        <v>2147</v>
      </c>
      <c r="V126" t="s">
        <v>2148</v>
      </c>
      <c r="W126" t="s">
        <v>2149</v>
      </c>
      <c r="X126" t="s">
        <v>2150</v>
      </c>
      <c r="Y126" t="s">
        <v>2151</v>
      </c>
      <c r="Z126" t="s">
        <v>2152</v>
      </c>
      <c r="AA126" t="s">
        <v>2153</v>
      </c>
      <c r="AB126" t="s">
        <v>2154</v>
      </c>
      <c r="AC126" t="s">
        <v>2155</v>
      </c>
      <c r="AD126" t="s">
        <v>2156</v>
      </c>
      <c r="AE126" t="s">
        <v>2157</v>
      </c>
      <c r="AF126" t="s">
        <v>74</v>
      </c>
      <c r="AG126">
        <v>50</v>
      </c>
      <c r="AH126">
        <v>54</v>
      </c>
      <c r="AI126">
        <v>56</v>
      </c>
      <c r="AJ126">
        <v>2</v>
      </c>
      <c r="AK126">
        <v>64</v>
      </c>
      <c r="AL126" t="s">
        <v>157</v>
      </c>
      <c r="AM126" t="s">
        <v>93</v>
      </c>
      <c r="AN126" t="s">
        <v>94</v>
      </c>
      <c r="AO126" t="s">
        <v>95</v>
      </c>
      <c r="AP126" t="s">
        <v>96</v>
      </c>
      <c r="AQ126" t="s">
        <v>74</v>
      </c>
      <c r="AR126" t="s">
        <v>97</v>
      </c>
      <c r="AS126" t="s">
        <v>98</v>
      </c>
      <c r="AT126" t="s">
        <v>386</v>
      </c>
      <c r="AU126">
        <v>2019</v>
      </c>
      <c r="AV126">
        <v>64</v>
      </c>
      <c r="AW126">
        <v>8</v>
      </c>
      <c r="AX126" t="s">
        <v>74</v>
      </c>
      <c r="AY126" t="s">
        <v>74</v>
      </c>
      <c r="AZ126" t="s">
        <v>74</v>
      </c>
      <c r="BA126" t="s">
        <v>74</v>
      </c>
      <c r="BB126" t="s">
        <v>74</v>
      </c>
      <c r="BC126" t="s">
        <v>74</v>
      </c>
      <c r="BD126">
        <v>85010</v>
      </c>
      <c r="BE126" t="s">
        <v>2158</v>
      </c>
      <c r="BF126" t="str">
        <f>HYPERLINK("http://dx.doi.org/10.1088/1361-6560/ab13fa","http://dx.doi.org/10.1088/1361-6560/ab13fa")</f>
        <v>http://dx.doi.org/10.1088/1361-6560/ab13fa</v>
      </c>
      <c r="BG126" t="s">
        <v>74</v>
      </c>
      <c r="BH126" t="s">
        <v>74</v>
      </c>
      <c r="BI126">
        <v>12</v>
      </c>
      <c r="BJ126" t="s">
        <v>101</v>
      </c>
      <c r="BK126" t="s">
        <v>102</v>
      </c>
      <c r="BL126" t="s">
        <v>103</v>
      </c>
      <c r="BM126" t="s">
        <v>2159</v>
      </c>
      <c r="BN126">
        <v>30917344</v>
      </c>
      <c r="BO126" t="s">
        <v>795</v>
      </c>
      <c r="BP126" t="s">
        <v>74</v>
      </c>
      <c r="BQ126" t="s">
        <v>74</v>
      </c>
      <c r="BR126" t="s">
        <v>106</v>
      </c>
      <c r="BS126" t="s">
        <v>2160</v>
      </c>
      <c r="BT126" t="str">
        <f>HYPERLINK("https%3A%2F%2Fwww.webofscience.com%2Fwos%2Fwoscc%2Ffull-record%2FWOS:000464179400002","View Full Record in Web of Science")</f>
        <v>View Full Record in Web of Science</v>
      </c>
    </row>
    <row r="127" spans="1:72" x14ac:dyDescent="0.25">
      <c r="A127" t="s">
        <v>72</v>
      </c>
      <c r="B127" t="s">
        <v>2161</v>
      </c>
      <c r="C127" t="s">
        <v>74</v>
      </c>
      <c r="D127" t="s">
        <v>74</v>
      </c>
      <c r="E127" t="s">
        <v>74</v>
      </c>
      <c r="F127" t="s">
        <v>2162</v>
      </c>
      <c r="G127" t="s">
        <v>74</v>
      </c>
      <c r="H127" t="s">
        <v>74</v>
      </c>
      <c r="I127" t="s">
        <v>2163</v>
      </c>
      <c r="J127" t="s">
        <v>77</v>
      </c>
      <c r="K127" t="s">
        <v>74</v>
      </c>
      <c r="L127" t="s">
        <v>74</v>
      </c>
      <c r="M127" t="s">
        <v>78</v>
      </c>
      <c r="N127" t="s">
        <v>79</v>
      </c>
      <c r="O127" t="s">
        <v>74</v>
      </c>
      <c r="P127" t="s">
        <v>74</v>
      </c>
      <c r="Q127" t="s">
        <v>74</v>
      </c>
      <c r="R127" t="s">
        <v>74</v>
      </c>
      <c r="S127" t="s">
        <v>74</v>
      </c>
      <c r="T127" t="s">
        <v>2164</v>
      </c>
      <c r="U127" t="s">
        <v>2165</v>
      </c>
      <c r="V127" t="s">
        <v>2166</v>
      </c>
      <c r="W127" t="s">
        <v>2167</v>
      </c>
      <c r="X127" t="s">
        <v>2168</v>
      </c>
      <c r="Y127" t="s">
        <v>2169</v>
      </c>
      <c r="Z127" t="s">
        <v>2170</v>
      </c>
      <c r="AA127" t="s">
        <v>2171</v>
      </c>
      <c r="AB127" t="s">
        <v>2172</v>
      </c>
      <c r="AC127" t="s">
        <v>2173</v>
      </c>
      <c r="AD127" t="s">
        <v>2174</v>
      </c>
      <c r="AE127" t="s">
        <v>2175</v>
      </c>
      <c r="AF127" t="s">
        <v>74</v>
      </c>
      <c r="AG127">
        <v>33</v>
      </c>
      <c r="AH127">
        <v>8</v>
      </c>
      <c r="AI127">
        <v>8</v>
      </c>
      <c r="AJ127">
        <v>0</v>
      </c>
      <c r="AK127">
        <v>4</v>
      </c>
      <c r="AL127" t="s">
        <v>157</v>
      </c>
      <c r="AM127" t="s">
        <v>93</v>
      </c>
      <c r="AN127" t="s">
        <v>94</v>
      </c>
      <c r="AO127" t="s">
        <v>95</v>
      </c>
      <c r="AP127" t="s">
        <v>96</v>
      </c>
      <c r="AQ127" t="s">
        <v>74</v>
      </c>
      <c r="AR127" t="s">
        <v>97</v>
      </c>
      <c r="AS127" t="s">
        <v>98</v>
      </c>
      <c r="AT127" t="s">
        <v>386</v>
      </c>
      <c r="AU127">
        <v>2019</v>
      </c>
      <c r="AV127">
        <v>64</v>
      </c>
      <c r="AW127">
        <v>7</v>
      </c>
      <c r="AX127" t="s">
        <v>74</v>
      </c>
      <c r="AY127" t="s">
        <v>74</v>
      </c>
      <c r="AZ127" t="s">
        <v>74</v>
      </c>
      <c r="BA127" t="s">
        <v>74</v>
      </c>
      <c r="BB127" t="s">
        <v>74</v>
      </c>
      <c r="BC127" t="s">
        <v>74</v>
      </c>
      <c r="BD127">
        <v>75020</v>
      </c>
      <c r="BE127" t="s">
        <v>2176</v>
      </c>
      <c r="BF127" t="str">
        <f>HYPERLINK("http://dx.doi.org/10.1088/1361-6560/ab0149","http://dx.doi.org/10.1088/1361-6560/ab0149")</f>
        <v>http://dx.doi.org/10.1088/1361-6560/ab0149</v>
      </c>
      <c r="BG127" t="s">
        <v>74</v>
      </c>
      <c r="BH127" t="s">
        <v>74</v>
      </c>
      <c r="BI127">
        <v>10</v>
      </c>
      <c r="BJ127" t="s">
        <v>101</v>
      </c>
      <c r="BK127" t="s">
        <v>102</v>
      </c>
      <c r="BL127" t="s">
        <v>103</v>
      </c>
      <c r="BM127" t="s">
        <v>874</v>
      </c>
      <c r="BN127">
        <v>30673651</v>
      </c>
      <c r="BO127" t="s">
        <v>74</v>
      </c>
      <c r="BP127" t="s">
        <v>74</v>
      </c>
      <c r="BQ127" t="s">
        <v>74</v>
      </c>
      <c r="BR127" t="s">
        <v>106</v>
      </c>
      <c r="BS127" t="s">
        <v>2177</v>
      </c>
      <c r="BT127" t="str">
        <f>HYPERLINK("https%3A%2F%2Fwww.webofscience.com%2Fwos%2Fwoscc%2Ffull-record%2FWOS:000463540400008","View Full Record in Web of Science")</f>
        <v>View Full Record in Web of Science</v>
      </c>
    </row>
    <row r="128" spans="1:72" x14ac:dyDescent="0.25">
      <c r="A128" t="s">
        <v>72</v>
      </c>
      <c r="B128" t="s">
        <v>2178</v>
      </c>
      <c r="C128" t="s">
        <v>74</v>
      </c>
      <c r="D128" t="s">
        <v>74</v>
      </c>
      <c r="E128" t="s">
        <v>74</v>
      </c>
      <c r="F128" t="s">
        <v>2179</v>
      </c>
      <c r="G128" t="s">
        <v>74</v>
      </c>
      <c r="H128" t="s">
        <v>74</v>
      </c>
      <c r="I128" t="s">
        <v>2180</v>
      </c>
      <c r="J128" t="s">
        <v>77</v>
      </c>
      <c r="K128" t="s">
        <v>74</v>
      </c>
      <c r="L128" t="s">
        <v>74</v>
      </c>
      <c r="M128" t="s">
        <v>78</v>
      </c>
      <c r="N128" t="s">
        <v>79</v>
      </c>
      <c r="O128" t="s">
        <v>74</v>
      </c>
      <c r="P128" t="s">
        <v>74</v>
      </c>
      <c r="Q128" t="s">
        <v>74</v>
      </c>
      <c r="R128" t="s">
        <v>74</v>
      </c>
      <c r="S128" t="s">
        <v>74</v>
      </c>
      <c r="T128" t="s">
        <v>2181</v>
      </c>
      <c r="U128" t="s">
        <v>2182</v>
      </c>
      <c r="V128" t="s">
        <v>2183</v>
      </c>
      <c r="W128" t="s">
        <v>2184</v>
      </c>
      <c r="X128" t="s">
        <v>2185</v>
      </c>
      <c r="Y128" t="s">
        <v>2186</v>
      </c>
      <c r="Z128" t="s">
        <v>2187</v>
      </c>
      <c r="AA128" t="s">
        <v>2188</v>
      </c>
      <c r="AB128" t="s">
        <v>2189</v>
      </c>
      <c r="AC128" t="s">
        <v>2190</v>
      </c>
      <c r="AD128" t="s">
        <v>2191</v>
      </c>
      <c r="AE128" t="s">
        <v>2192</v>
      </c>
      <c r="AF128" t="s">
        <v>74</v>
      </c>
      <c r="AG128">
        <v>42</v>
      </c>
      <c r="AH128">
        <v>10</v>
      </c>
      <c r="AI128">
        <v>10</v>
      </c>
      <c r="AJ128">
        <v>0</v>
      </c>
      <c r="AK128">
        <v>22</v>
      </c>
      <c r="AL128" t="s">
        <v>92</v>
      </c>
      <c r="AM128" t="s">
        <v>93</v>
      </c>
      <c r="AN128" t="s">
        <v>94</v>
      </c>
      <c r="AO128" t="s">
        <v>95</v>
      </c>
      <c r="AP128" t="s">
        <v>96</v>
      </c>
      <c r="AQ128" t="s">
        <v>74</v>
      </c>
      <c r="AR128" t="s">
        <v>97</v>
      </c>
      <c r="AS128" t="s">
        <v>98</v>
      </c>
      <c r="AT128" t="s">
        <v>436</v>
      </c>
      <c r="AU128">
        <v>2019</v>
      </c>
      <c r="AV128">
        <v>64</v>
      </c>
      <c r="AW128">
        <v>5</v>
      </c>
      <c r="AX128" t="s">
        <v>74</v>
      </c>
      <c r="AY128" t="s">
        <v>74</v>
      </c>
      <c r="AZ128" t="s">
        <v>74</v>
      </c>
      <c r="BA128" t="s">
        <v>74</v>
      </c>
      <c r="BB128" t="s">
        <v>74</v>
      </c>
      <c r="BC128" t="s">
        <v>74</v>
      </c>
      <c r="BD128">
        <v>55018</v>
      </c>
      <c r="BE128" t="s">
        <v>2193</v>
      </c>
      <c r="BF128" t="str">
        <f>HYPERLINK("http://dx.doi.org/10.1088/1361-6560/aafa46","http://dx.doi.org/10.1088/1361-6560/aafa46")</f>
        <v>http://dx.doi.org/10.1088/1361-6560/aafa46</v>
      </c>
      <c r="BG128" t="s">
        <v>74</v>
      </c>
      <c r="BH128" t="s">
        <v>74</v>
      </c>
      <c r="BI128">
        <v>15</v>
      </c>
      <c r="BJ128" t="s">
        <v>101</v>
      </c>
      <c r="BK128" t="s">
        <v>102</v>
      </c>
      <c r="BL128" t="s">
        <v>103</v>
      </c>
      <c r="BM128" t="s">
        <v>1878</v>
      </c>
      <c r="BN128">
        <v>30572319</v>
      </c>
      <c r="BO128" t="s">
        <v>74</v>
      </c>
      <c r="BP128" t="s">
        <v>74</v>
      </c>
      <c r="BQ128" t="s">
        <v>74</v>
      </c>
      <c r="BR128" t="s">
        <v>106</v>
      </c>
      <c r="BS128" t="s">
        <v>2194</v>
      </c>
      <c r="BT128" t="str">
        <f>HYPERLINK("https%3A%2F%2Fwww.webofscience.com%2Fwos%2Fwoscc%2Ffull-record%2FWOS:000460772200006","View Full Record in Web of Science")</f>
        <v>View Full Record in Web of Science</v>
      </c>
    </row>
    <row r="129" spans="1:72" x14ac:dyDescent="0.25">
      <c r="A129" t="s">
        <v>72</v>
      </c>
      <c r="B129" t="s">
        <v>2195</v>
      </c>
      <c r="C129" t="s">
        <v>74</v>
      </c>
      <c r="D129" t="s">
        <v>74</v>
      </c>
      <c r="E129" t="s">
        <v>74</v>
      </c>
      <c r="F129" t="s">
        <v>2196</v>
      </c>
      <c r="G129" t="s">
        <v>74</v>
      </c>
      <c r="H129" t="s">
        <v>74</v>
      </c>
      <c r="I129" t="s">
        <v>2197</v>
      </c>
      <c r="J129" t="s">
        <v>77</v>
      </c>
      <c r="K129" t="s">
        <v>74</v>
      </c>
      <c r="L129" t="s">
        <v>74</v>
      </c>
      <c r="M129" t="s">
        <v>78</v>
      </c>
      <c r="N129" t="s">
        <v>79</v>
      </c>
      <c r="O129" t="s">
        <v>74</v>
      </c>
      <c r="P129" t="s">
        <v>74</v>
      </c>
      <c r="Q129" t="s">
        <v>74</v>
      </c>
      <c r="R129" t="s">
        <v>74</v>
      </c>
      <c r="S129" t="s">
        <v>74</v>
      </c>
      <c r="T129" t="s">
        <v>2198</v>
      </c>
      <c r="U129" t="s">
        <v>2199</v>
      </c>
      <c r="V129" t="s">
        <v>2200</v>
      </c>
      <c r="W129" t="s">
        <v>2201</v>
      </c>
      <c r="X129" t="s">
        <v>2202</v>
      </c>
      <c r="Y129" t="s">
        <v>2203</v>
      </c>
      <c r="Z129" t="s">
        <v>2204</v>
      </c>
      <c r="AA129" t="s">
        <v>2205</v>
      </c>
      <c r="AB129" t="s">
        <v>2206</v>
      </c>
      <c r="AC129" t="s">
        <v>74</v>
      </c>
      <c r="AD129" t="s">
        <v>74</v>
      </c>
      <c r="AE129" t="s">
        <v>74</v>
      </c>
      <c r="AF129" t="s">
        <v>74</v>
      </c>
      <c r="AG129">
        <v>39</v>
      </c>
      <c r="AH129">
        <v>23</v>
      </c>
      <c r="AI129">
        <v>24</v>
      </c>
      <c r="AJ129">
        <v>0</v>
      </c>
      <c r="AK129">
        <v>6</v>
      </c>
      <c r="AL129" t="s">
        <v>92</v>
      </c>
      <c r="AM129" t="s">
        <v>93</v>
      </c>
      <c r="AN129" t="s">
        <v>94</v>
      </c>
      <c r="AO129" t="s">
        <v>95</v>
      </c>
      <c r="AP129" t="s">
        <v>96</v>
      </c>
      <c r="AQ129" t="s">
        <v>74</v>
      </c>
      <c r="AR129" t="s">
        <v>97</v>
      </c>
      <c r="AS129" t="s">
        <v>98</v>
      </c>
      <c r="AT129" t="s">
        <v>436</v>
      </c>
      <c r="AU129">
        <v>2019</v>
      </c>
      <c r="AV129">
        <v>64</v>
      </c>
      <c r="AW129">
        <v>5</v>
      </c>
      <c r="AX129" t="s">
        <v>74</v>
      </c>
      <c r="AY129" t="s">
        <v>74</v>
      </c>
      <c r="AZ129" t="s">
        <v>74</v>
      </c>
      <c r="BA129" t="s">
        <v>74</v>
      </c>
      <c r="BB129" t="s">
        <v>74</v>
      </c>
      <c r="BC129" t="s">
        <v>74</v>
      </c>
      <c r="BD129">
        <v>55010</v>
      </c>
      <c r="BE129" t="s">
        <v>2207</v>
      </c>
      <c r="BF129" t="str">
        <f>HYPERLINK("http://dx.doi.org/10.1088/1361-6560/ab0095","http://dx.doi.org/10.1088/1361-6560/ab0095")</f>
        <v>http://dx.doi.org/10.1088/1361-6560/ab0095</v>
      </c>
      <c r="BG129" t="s">
        <v>74</v>
      </c>
      <c r="BH129" t="s">
        <v>74</v>
      </c>
      <c r="BI129">
        <v>13</v>
      </c>
      <c r="BJ129" t="s">
        <v>101</v>
      </c>
      <c r="BK129" t="s">
        <v>102</v>
      </c>
      <c r="BL129" t="s">
        <v>103</v>
      </c>
      <c r="BM129" t="s">
        <v>2208</v>
      </c>
      <c r="BN129">
        <v>30669135</v>
      </c>
      <c r="BO129" t="s">
        <v>179</v>
      </c>
      <c r="BP129" t="s">
        <v>74</v>
      </c>
      <c r="BQ129" t="s">
        <v>74</v>
      </c>
      <c r="BR129" t="s">
        <v>106</v>
      </c>
      <c r="BS129" t="s">
        <v>2209</v>
      </c>
      <c r="BT129" t="str">
        <f>HYPERLINK("https%3A%2F%2Fwww.webofscience.com%2Fwos%2Fwoscc%2Ffull-record%2FWOS:000459740600004","View Full Record in Web of Science")</f>
        <v>View Full Record in Web of Science</v>
      </c>
    </row>
    <row r="130" spans="1:72" x14ac:dyDescent="0.25">
      <c r="A130" t="s">
        <v>72</v>
      </c>
      <c r="B130" t="s">
        <v>2210</v>
      </c>
      <c r="C130" t="s">
        <v>74</v>
      </c>
      <c r="D130" t="s">
        <v>74</v>
      </c>
      <c r="E130" t="s">
        <v>74</v>
      </c>
      <c r="F130" t="s">
        <v>2211</v>
      </c>
      <c r="G130" t="s">
        <v>74</v>
      </c>
      <c r="H130" t="s">
        <v>74</v>
      </c>
      <c r="I130" t="s">
        <v>2212</v>
      </c>
      <c r="J130" t="s">
        <v>77</v>
      </c>
      <c r="K130" t="s">
        <v>74</v>
      </c>
      <c r="L130" t="s">
        <v>74</v>
      </c>
      <c r="M130" t="s">
        <v>78</v>
      </c>
      <c r="N130" t="s">
        <v>79</v>
      </c>
      <c r="O130" t="s">
        <v>74</v>
      </c>
      <c r="P130" t="s">
        <v>74</v>
      </c>
      <c r="Q130" t="s">
        <v>74</v>
      </c>
      <c r="R130" t="s">
        <v>74</v>
      </c>
      <c r="S130" t="s">
        <v>74</v>
      </c>
      <c r="T130" t="s">
        <v>2213</v>
      </c>
      <c r="U130" t="s">
        <v>2214</v>
      </c>
      <c r="V130" t="s">
        <v>2215</v>
      </c>
      <c r="W130" t="s">
        <v>2216</v>
      </c>
      <c r="X130" t="s">
        <v>2217</v>
      </c>
      <c r="Y130" t="s">
        <v>2218</v>
      </c>
      <c r="Z130" t="s">
        <v>2219</v>
      </c>
      <c r="AA130" t="s">
        <v>2220</v>
      </c>
      <c r="AB130" t="s">
        <v>2221</v>
      </c>
      <c r="AC130" t="s">
        <v>2222</v>
      </c>
      <c r="AD130" t="s">
        <v>2222</v>
      </c>
      <c r="AE130" t="s">
        <v>2223</v>
      </c>
      <c r="AF130" t="s">
        <v>74</v>
      </c>
      <c r="AG130">
        <v>34</v>
      </c>
      <c r="AH130">
        <v>58</v>
      </c>
      <c r="AI130">
        <v>59</v>
      </c>
      <c r="AJ130">
        <v>0</v>
      </c>
      <c r="AK130">
        <v>16</v>
      </c>
      <c r="AL130" t="s">
        <v>92</v>
      </c>
      <c r="AM130" t="s">
        <v>93</v>
      </c>
      <c r="AN130" t="s">
        <v>94</v>
      </c>
      <c r="AO130" t="s">
        <v>95</v>
      </c>
      <c r="AP130" t="s">
        <v>96</v>
      </c>
      <c r="AQ130" t="s">
        <v>74</v>
      </c>
      <c r="AR130" t="s">
        <v>97</v>
      </c>
      <c r="AS130" t="s">
        <v>98</v>
      </c>
      <c r="AT130" t="s">
        <v>436</v>
      </c>
      <c r="AU130">
        <v>2019</v>
      </c>
      <c r="AV130">
        <v>64</v>
      </c>
      <c r="AW130">
        <v>6</v>
      </c>
      <c r="AX130" t="s">
        <v>74</v>
      </c>
      <c r="AY130" t="s">
        <v>74</v>
      </c>
      <c r="AZ130" t="s">
        <v>74</v>
      </c>
      <c r="BA130" t="s">
        <v>74</v>
      </c>
      <c r="BB130" t="s">
        <v>74</v>
      </c>
      <c r="BC130" t="s">
        <v>74</v>
      </c>
      <c r="BD130">
        <v>65016</v>
      </c>
      <c r="BE130" t="s">
        <v>2224</v>
      </c>
      <c r="BF130" t="str">
        <f>HYPERLINK("http://dx.doi.org/10.1088/1361-6560/ab057a","http://dx.doi.org/10.1088/1361-6560/ab057a")</f>
        <v>http://dx.doi.org/10.1088/1361-6560/ab057a</v>
      </c>
      <c r="BG130" t="s">
        <v>74</v>
      </c>
      <c r="BH130" t="s">
        <v>74</v>
      </c>
      <c r="BI130">
        <v>11</v>
      </c>
      <c r="BJ130" t="s">
        <v>101</v>
      </c>
      <c r="BK130" t="s">
        <v>102</v>
      </c>
      <c r="BL130" t="s">
        <v>103</v>
      </c>
      <c r="BM130" t="s">
        <v>1860</v>
      </c>
      <c r="BN130">
        <v>30736017</v>
      </c>
      <c r="BO130" t="s">
        <v>74</v>
      </c>
      <c r="BP130" t="s">
        <v>74</v>
      </c>
      <c r="BQ130" t="s">
        <v>74</v>
      </c>
      <c r="BR130" t="s">
        <v>106</v>
      </c>
      <c r="BS130" t="s">
        <v>2225</v>
      </c>
      <c r="BT130" t="str">
        <f>HYPERLINK("https%3A%2F%2Fwww.webofscience.com%2Fwos%2Fwoscc%2Ffull-record%2FWOS:000461426500001","View Full Record in Web of Science")</f>
        <v>View Full Record in Web of Science</v>
      </c>
    </row>
    <row r="131" spans="1:72" x14ac:dyDescent="0.25">
      <c r="A131" t="s">
        <v>72</v>
      </c>
      <c r="B131" t="s">
        <v>2226</v>
      </c>
      <c r="C131" t="s">
        <v>74</v>
      </c>
      <c r="D131" t="s">
        <v>74</v>
      </c>
      <c r="E131" t="s">
        <v>74</v>
      </c>
      <c r="F131" t="s">
        <v>2227</v>
      </c>
      <c r="G131" t="s">
        <v>74</v>
      </c>
      <c r="H131" t="s">
        <v>74</v>
      </c>
      <c r="I131" t="s">
        <v>2228</v>
      </c>
      <c r="J131" t="s">
        <v>77</v>
      </c>
      <c r="K131" t="s">
        <v>74</v>
      </c>
      <c r="L131" t="s">
        <v>74</v>
      </c>
      <c r="M131" t="s">
        <v>78</v>
      </c>
      <c r="N131" t="s">
        <v>79</v>
      </c>
      <c r="O131" t="s">
        <v>74</v>
      </c>
      <c r="P131" t="s">
        <v>74</v>
      </c>
      <c r="Q131" t="s">
        <v>74</v>
      </c>
      <c r="R131" t="s">
        <v>74</v>
      </c>
      <c r="S131" t="s">
        <v>74</v>
      </c>
      <c r="T131" t="s">
        <v>2229</v>
      </c>
      <c r="U131" t="s">
        <v>2230</v>
      </c>
      <c r="V131" t="s">
        <v>2231</v>
      </c>
      <c r="W131" t="s">
        <v>2232</v>
      </c>
      <c r="X131" t="s">
        <v>2233</v>
      </c>
      <c r="Y131" t="s">
        <v>2234</v>
      </c>
      <c r="Z131" t="s">
        <v>2235</v>
      </c>
      <c r="AA131" t="s">
        <v>74</v>
      </c>
      <c r="AB131" t="s">
        <v>74</v>
      </c>
      <c r="AC131" t="s">
        <v>2236</v>
      </c>
      <c r="AD131" t="s">
        <v>2237</v>
      </c>
      <c r="AE131" t="s">
        <v>2238</v>
      </c>
      <c r="AF131" t="s">
        <v>74</v>
      </c>
      <c r="AG131">
        <v>41</v>
      </c>
      <c r="AH131">
        <v>19</v>
      </c>
      <c r="AI131">
        <v>19</v>
      </c>
      <c r="AJ131">
        <v>2</v>
      </c>
      <c r="AK131">
        <v>21</v>
      </c>
      <c r="AL131" t="s">
        <v>92</v>
      </c>
      <c r="AM131" t="s">
        <v>93</v>
      </c>
      <c r="AN131" t="s">
        <v>94</v>
      </c>
      <c r="AO131" t="s">
        <v>95</v>
      </c>
      <c r="AP131" t="s">
        <v>96</v>
      </c>
      <c r="AQ131" t="s">
        <v>74</v>
      </c>
      <c r="AR131" t="s">
        <v>97</v>
      </c>
      <c r="AS131" t="s">
        <v>98</v>
      </c>
      <c r="AT131" t="s">
        <v>436</v>
      </c>
      <c r="AU131">
        <v>2019</v>
      </c>
      <c r="AV131">
        <v>64</v>
      </c>
      <c r="AW131">
        <v>5</v>
      </c>
      <c r="AX131" t="s">
        <v>74</v>
      </c>
      <c r="AY131" t="s">
        <v>74</v>
      </c>
      <c r="AZ131" t="s">
        <v>74</v>
      </c>
      <c r="BA131" t="s">
        <v>74</v>
      </c>
      <c r="BB131" t="s">
        <v>74</v>
      </c>
      <c r="BC131" t="s">
        <v>74</v>
      </c>
      <c r="BD131">
        <v>55014</v>
      </c>
      <c r="BE131" t="s">
        <v>2239</v>
      </c>
      <c r="BF131" t="str">
        <f>HYPERLINK("http://dx.doi.org/10.1088/1361-6560/ab0137","http://dx.doi.org/10.1088/1361-6560/ab0137")</f>
        <v>http://dx.doi.org/10.1088/1361-6560/ab0137</v>
      </c>
      <c r="BG131" t="s">
        <v>74</v>
      </c>
      <c r="BH131" t="s">
        <v>74</v>
      </c>
      <c r="BI131">
        <v>14</v>
      </c>
      <c r="BJ131" t="s">
        <v>101</v>
      </c>
      <c r="BK131" t="s">
        <v>102</v>
      </c>
      <c r="BL131" t="s">
        <v>103</v>
      </c>
      <c r="BM131" t="s">
        <v>1878</v>
      </c>
      <c r="BN131">
        <v>30673637</v>
      </c>
      <c r="BO131" t="s">
        <v>105</v>
      </c>
      <c r="BP131" t="s">
        <v>74</v>
      </c>
      <c r="BQ131" t="s">
        <v>74</v>
      </c>
      <c r="BR131" t="s">
        <v>106</v>
      </c>
      <c r="BS131" t="s">
        <v>2240</v>
      </c>
      <c r="BT131" t="str">
        <f>HYPERLINK("https%3A%2F%2Fwww.webofscience.com%2Fwos%2Fwoscc%2Ffull-record%2FWOS:000460772200002","View Full Record in Web of Science")</f>
        <v>View Full Record in Web of Science</v>
      </c>
    </row>
    <row r="132" spans="1:72" x14ac:dyDescent="0.25">
      <c r="A132" t="s">
        <v>72</v>
      </c>
      <c r="B132" t="s">
        <v>2241</v>
      </c>
      <c r="C132" t="s">
        <v>74</v>
      </c>
      <c r="D132" t="s">
        <v>74</v>
      </c>
      <c r="E132" t="s">
        <v>74</v>
      </c>
      <c r="F132" t="s">
        <v>2242</v>
      </c>
      <c r="G132" t="s">
        <v>74</v>
      </c>
      <c r="H132" t="s">
        <v>74</v>
      </c>
      <c r="I132" t="s">
        <v>2243</v>
      </c>
      <c r="J132" t="s">
        <v>77</v>
      </c>
      <c r="K132" t="s">
        <v>74</v>
      </c>
      <c r="L132" t="s">
        <v>74</v>
      </c>
      <c r="M132" t="s">
        <v>78</v>
      </c>
      <c r="N132" t="s">
        <v>79</v>
      </c>
      <c r="O132" t="s">
        <v>74</v>
      </c>
      <c r="P132" t="s">
        <v>74</v>
      </c>
      <c r="Q132" t="s">
        <v>74</v>
      </c>
      <c r="R132" t="s">
        <v>74</v>
      </c>
      <c r="S132" t="s">
        <v>74</v>
      </c>
      <c r="T132" t="s">
        <v>2244</v>
      </c>
      <c r="U132" t="s">
        <v>2245</v>
      </c>
      <c r="V132" t="s">
        <v>2246</v>
      </c>
      <c r="W132" t="s">
        <v>2247</v>
      </c>
      <c r="X132" t="s">
        <v>2248</v>
      </c>
      <c r="Y132" t="s">
        <v>2249</v>
      </c>
      <c r="Z132" t="s">
        <v>2250</v>
      </c>
      <c r="AA132" t="s">
        <v>2251</v>
      </c>
      <c r="AB132" t="s">
        <v>2252</v>
      </c>
      <c r="AC132" t="s">
        <v>2253</v>
      </c>
      <c r="AD132" t="s">
        <v>2254</v>
      </c>
      <c r="AE132" t="s">
        <v>2255</v>
      </c>
      <c r="AF132" t="s">
        <v>74</v>
      </c>
      <c r="AG132">
        <v>27</v>
      </c>
      <c r="AH132">
        <v>15</v>
      </c>
      <c r="AI132">
        <v>15</v>
      </c>
      <c r="AJ132">
        <v>0</v>
      </c>
      <c r="AK132">
        <v>7</v>
      </c>
      <c r="AL132" t="s">
        <v>92</v>
      </c>
      <c r="AM132" t="s">
        <v>93</v>
      </c>
      <c r="AN132" t="s">
        <v>94</v>
      </c>
      <c r="AO132" t="s">
        <v>95</v>
      </c>
      <c r="AP132" t="s">
        <v>96</v>
      </c>
      <c r="AQ132" t="s">
        <v>74</v>
      </c>
      <c r="AR132" t="s">
        <v>97</v>
      </c>
      <c r="AS132" t="s">
        <v>98</v>
      </c>
      <c r="AT132" t="s">
        <v>646</v>
      </c>
      <c r="AU132">
        <v>2019</v>
      </c>
      <c r="AV132">
        <v>64</v>
      </c>
      <c r="AW132">
        <v>4</v>
      </c>
      <c r="AX132" t="s">
        <v>74</v>
      </c>
      <c r="AY132" t="s">
        <v>74</v>
      </c>
      <c r="AZ132" t="s">
        <v>74</v>
      </c>
      <c r="BA132" t="s">
        <v>74</v>
      </c>
      <c r="BB132" t="s">
        <v>74</v>
      </c>
      <c r="BC132" t="s">
        <v>74</v>
      </c>
      <c r="BD132">
        <v>45004</v>
      </c>
      <c r="BE132" t="s">
        <v>2256</v>
      </c>
      <c r="BF132" t="str">
        <f>HYPERLINK("http://dx.doi.org/10.1088/1361-6560/aafcdc","http://dx.doi.org/10.1088/1361-6560/aafcdc")</f>
        <v>http://dx.doi.org/10.1088/1361-6560/aafcdc</v>
      </c>
      <c r="BG132" t="s">
        <v>74</v>
      </c>
      <c r="BH132" t="s">
        <v>74</v>
      </c>
      <c r="BI132">
        <v>17</v>
      </c>
      <c r="BJ132" t="s">
        <v>101</v>
      </c>
      <c r="BK132" t="s">
        <v>102</v>
      </c>
      <c r="BL132" t="s">
        <v>103</v>
      </c>
      <c r="BM132" t="s">
        <v>2257</v>
      </c>
      <c r="BN132">
        <v>30719982</v>
      </c>
      <c r="BO132" t="s">
        <v>74</v>
      </c>
      <c r="BP132" t="s">
        <v>74</v>
      </c>
      <c r="BQ132" t="s">
        <v>74</v>
      </c>
      <c r="BR132" t="s">
        <v>106</v>
      </c>
      <c r="BS132" t="s">
        <v>2258</v>
      </c>
      <c r="BT132" t="str">
        <f>HYPERLINK("https%3A%2F%2Fwww.webofscience.com%2Fwos%2Fwoscc%2Ffull-record%2FWOS:000457845700004","View Full Record in Web of Science")</f>
        <v>View Full Record in Web of Science</v>
      </c>
    </row>
    <row r="133" spans="1:72" x14ac:dyDescent="0.25">
      <c r="A133" t="s">
        <v>72</v>
      </c>
      <c r="B133" t="s">
        <v>2259</v>
      </c>
      <c r="C133" t="s">
        <v>74</v>
      </c>
      <c r="D133" t="s">
        <v>74</v>
      </c>
      <c r="E133" t="s">
        <v>74</v>
      </c>
      <c r="F133" t="s">
        <v>2260</v>
      </c>
      <c r="G133" t="s">
        <v>74</v>
      </c>
      <c r="H133" t="s">
        <v>74</v>
      </c>
      <c r="I133" t="s">
        <v>2261</v>
      </c>
      <c r="J133" t="s">
        <v>77</v>
      </c>
      <c r="K133" t="s">
        <v>74</v>
      </c>
      <c r="L133" t="s">
        <v>74</v>
      </c>
      <c r="M133" t="s">
        <v>78</v>
      </c>
      <c r="N133" t="s">
        <v>79</v>
      </c>
      <c r="O133" t="s">
        <v>74</v>
      </c>
      <c r="P133" t="s">
        <v>74</v>
      </c>
      <c r="Q133" t="s">
        <v>74</v>
      </c>
      <c r="R133" t="s">
        <v>74</v>
      </c>
      <c r="S133" t="s">
        <v>74</v>
      </c>
      <c r="T133" t="s">
        <v>2262</v>
      </c>
      <c r="U133" t="s">
        <v>2263</v>
      </c>
      <c r="V133" t="s">
        <v>2264</v>
      </c>
      <c r="W133" t="s">
        <v>2265</v>
      </c>
      <c r="X133" t="s">
        <v>2266</v>
      </c>
      <c r="Y133" t="s">
        <v>2267</v>
      </c>
      <c r="Z133" t="s">
        <v>2268</v>
      </c>
      <c r="AA133" t="s">
        <v>2269</v>
      </c>
      <c r="AB133" t="s">
        <v>2270</v>
      </c>
      <c r="AC133" t="s">
        <v>74</v>
      </c>
      <c r="AD133" t="s">
        <v>74</v>
      </c>
      <c r="AE133" t="s">
        <v>74</v>
      </c>
      <c r="AF133" t="s">
        <v>74</v>
      </c>
      <c r="AG133">
        <v>28</v>
      </c>
      <c r="AH133">
        <v>11</v>
      </c>
      <c r="AI133">
        <v>12</v>
      </c>
      <c r="AJ133">
        <v>1</v>
      </c>
      <c r="AK133">
        <v>21</v>
      </c>
      <c r="AL133" t="s">
        <v>92</v>
      </c>
      <c r="AM133" t="s">
        <v>93</v>
      </c>
      <c r="AN133" t="s">
        <v>94</v>
      </c>
      <c r="AO133" t="s">
        <v>95</v>
      </c>
      <c r="AP133" t="s">
        <v>96</v>
      </c>
      <c r="AQ133" t="s">
        <v>74</v>
      </c>
      <c r="AR133" t="s">
        <v>97</v>
      </c>
      <c r="AS133" t="s">
        <v>98</v>
      </c>
      <c r="AT133" t="s">
        <v>137</v>
      </c>
      <c r="AU133">
        <v>2019</v>
      </c>
      <c r="AV133">
        <v>64</v>
      </c>
      <c r="AW133">
        <v>21</v>
      </c>
      <c r="AX133" t="s">
        <v>74</v>
      </c>
      <c r="AY133" t="s">
        <v>74</v>
      </c>
      <c r="AZ133" t="s">
        <v>74</v>
      </c>
      <c r="BA133" t="s">
        <v>74</v>
      </c>
      <c r="BB133" t="s">
        <v>74</v>
      </c>
      <c r="BC133" t="s">
        <v>74</v>
      </c>
      <c r="BD133" t="s">
        <v>2271</v>
      </c>
      <c r="BE133" t="s">
        <v>2272</v>
      </c>
      <c r="BF133" t="str">
        <f>HYPERLINK("http://dx.doi.org/10.1088/1361-6560/ab49ea","http://dx.doi.org/10.1088/1361-6560/ab49ea")</f>
        <v>http://dx.doi.org/10.1088/1361-6560/ab49ea</v>
      </c>
      <c r="BG133" t="s">
        <v>74</v>
      </c>
      <c r="BH133" t="s">
        <v>74</v>
      </c>
      <c r="BI133">
        <v>10</v>
      </c>
      <c r="BJ133" t="s">
        <v>101</v>
      </c>
      <c r="BK133" t="s">
        <v>102</v>
      </c>
      <c r="BL133" t="s">
        <v>103</v>
      </c>
      <c r="BM133" t="s">
        <v>2273</v>
      </c>
      <c r="BN133">
        <v>31574490</v>
      </c>
      <c r="BO133" t="s">
        <v>74</v>
      </c>
      <c r="BP133" t="s">
        <v>74</v>
      </c>
      <c r="BQ133" t="s">
        <v>74</v>
      </c>
      <c r="BR133" t="s">
        <v>106</v>
      </c>
      <c r="BS133" t="s">
        <v>2274</v>
      </c>
      <c r="BT133" t="str">
        <f>HYPERLINK("https%3A%2F%2Fwww.webofscience.com%2Fwos%2Fwoscc%2Ffull-record%2FWOS:000494489800001","View Full Record in Web of Science")</f>
        <v>View Full Record in Web of Science</v>
      </c>
    </row>
    <row r="134" spans="1:72" x14ac:dyDescent="0.25">
      <c r="A134" t="s">
        <v>72</v>
      </c>
      <c r="B134" t="s">
        <v>2275</v>
      </c>
      <c r="C134" t="s">
        <v>74</v>
      </c>
      <c r="D134" t="s">
        <v>74</v>
      </c>
      <c r="E134" t="s">
        <v>74</v>
      </c>
      <c r="F134" t="s">
        <v>2276</v>
      </c>
      <c r="G134" t="s">
        <v>74</v>
      </c>
      <c r="H134" t="s">
        <v>74</v>
      </c>
      <c r="I134" t="s">
        <v>2277</v>
      </c>
      <c r="J134" t="s">
        <v>77</v>
      </c>
      <c r="K134" t="s">
        <v>74</v>
      </c>
      <c r="L134" t="s">
        <v>74</v>
      </c>
      <c r="M134" t="s">
        <v>78</v>
      </c>
      <c r="N134" t="s">
        <v>79</v>
      </c>
      <c r="O134" t="s">
        <v>74</v>
      </c>
      <c r="P134" t="s">
        <v>74</v>
      </c>
      <c r="Q134" t="s">
        <v>74</v>
      </c>
      <c r="R134" t="s">
        <v>74</v>
      </c>
      <c r="S134" t="s">
        <v>74</v>
      </c>
      <c r="T134" t="s">
        <v>2278</v>
      </c>
      <c r="U134" t="s">
        <v>74</v>
      </c>
      <c r="V134" t="s">
        <v>2279</v>
      </c>
      <c r="W134" t="s">
        <v>2280</v>
      </c>
      <c r="X134" t="s">
        <v>2281</v>
      </c>
      <c r="Y134" t="s">
        <v>2282</v>
      </c>
      <c r="Z134" t="s">
        <v>2283</v>
      </c>
      <c r="AA134" t="s">
        <v>2284</v>
      </c>
      <c r="AB134" t="s">
        <v>2285</v>
      </c>
      <c r="AC134" t="s">
        <v>2286</v>
      </c>
      <c r="AD134" t="s">
        <v>416</v>
      </c>
      <c r="AE134" t="s">
        <v>2287</v>
      </c>
      <c r="AF134" t="s">
        <v>74</v>
      </c>
      <c r="AG134">
        <v>20</v>
      </c>
      <c r="AH134">
        <v>50</v>
      </c>
      <c r="AI134">
        <v>52</v>
      </c>
      <c r="AJ134">
        <v>4</v>
      </c>
      <c r="AK134">
        <v>54</v>
      </c>
      <c r="AL134" t="s">
        <v>92</v>
      </c>
      <c r="AM134" t="s">
        <v>93</v>
      </c>
      <c r="AN134" t="s">
        <v>94</v>
      </c>
      <c r="AO134" t="s">
        <v>95</v>
      </c>
      <c r="AP134" t="s">
        <v>96</v>
      </c>
      <c r="AQ134" t="s">
        <v>74</v>
      </c>
      <c r="AR134" t="s">
        <v>97</v>
      </c>
      <c r="AS134" t="s">
        <v>98</v>
      </c>
      <c r="AT134" t="s">
        <v>137</v>
      </c>
      <c r="AU134">
        <v>2019</v>
      </c>
      <c r="AV134">
        <v>64</v>
      </c>
      <c r="AW134">
        <v>21</v>
      </c>
      <c r="AX134" t="s">
        <v>74</v>
      </c>
      <c r="AY134" t="s">
        <v>74</v>
      </c>
      <c r="AZ134" t="s">
        <v>74</v>
      </c>
      <c r="BA134" t="s">
        <v>74</v>
      </c>
      <c r="BB134" t="s">
        <v>74</v>
      </c>
      <c r="BC134" t="s">
        <v>74</v>
      </c>
      <c r="BD134" t="s">
        <v>2288</v>
      </c>
      <c r="BE134" t="s">
        <v>2289</v>
      </c>
      <c r="BF134" t="str">
        <f>HYPERLINK("http://dx.doi.org/10.1088/1361-6560/ab4c06","http://dx.doi.org/10.1088/1361-6560/ab4c06")</f>
        <v>http://dx.doi.org/10.1088/1361-6560/ab4c06</v>
      </c>
      <c r="BG134" t="s">
        <v>74</v>
      </c>
      <c r="BH134" t="s">
        <v>74</v>
      </c>
      <c r="BI134">
        <v>7</v>
      </c>
      <c r="BJ134" t="s">
        <v>101</v>
      </c>
      <c r="BK134" t="s">
        <v>102</v>
      </c>
      <c r="BL134" t="s">
        <v>103</v>
      </c>
      <c r="BM134" t="s">
        <v>2290</v>
      </c>
      <c r="BN134">
        <v>31593936</v>
      </c>
      <c r="BO134" t="s">
        <v>74</v>
      </c>
      <c r="BP134" t="s">
        <v>74</v>
      </c>
      <c r="BQ134" t="s">
        <v>74</v>
      </c>
      <c r="BR134" t="s">
        <v>106</v>
      </c>
      <c r="BS134" t="s">
        <v>2291</v>
      </c>
      <c r="BT134" t="str">
        <f>HYPERLINK("https%3A%2F%2Fwww.webofscience.com%2Fwos%2Fwoscc%2Ffull-record%2FWOS:000494858700002","View Full Record in Web of Science")</f>
        <v>View Full Record in Web of Science</v>
      </c>
    </row>
    <row r="135" spans="1:72" x14ac:dyDescent="0.25">
      <c r="A135" t="s">
        <v>72</v>
      </c>
      <c r="B135" t="s">
        <v>2292</v>
      </c>
      <c r="C135" t="s">
        <v>74</v>
      </c>
      <c r="D135" t="s">
        <v>74</v>
      </c>
      <c r="E135" t="s">
        <v>74</v>
      </c>
      <c r="F135" t="s">
        <v>2293</v>
      </c>
      <c r="G135" t="s">
        <v>74</v>
      </c>
      <c r="H135" t="s">
        <v>74</v>
      </c>
      <c r="I135" t="s">
        <v>2294</v>
      </c>
      <c r="J135" t="s">
        <v>77</v>
      </c>
      <c r="K135" t="s">
        <v>74</v>
      </c>
      <c r="L135" t="s">
        <v>74</v>
      </c>
      <c r="M135" t="s">
        <v>78</v>
      </c>
      <c r="N135" t="s">
        <v>79</v>
      </c>
      <c r="O135" t="s">
        <v>74</v>
      </c>
      <c r="P135" t="s">
        <v>74</v>
      </c>
      <c r="Q135" t="s">
        <v>74</v>
      </c>
      <c r="R135" t="s">
        <v>74</v>
      </c>
      <c r="S135" t="s">
        <v>74</v>
      </c>
      <c r="T135" t="s">
        <v>2295</v>
      </c>
      <c r="U135" t="s">
        <v>2296</v>
      </c>
      <c r="V135" t="s">
        <v>2297</v>
      </c>
      <c r="W135" t="s">
        <v>2298</v>
      </c>
      <c r="X135" t="s">
        <v>2299</v>
      </c>
      <c r="Y135" t="s">
        <v>2300</v>
      </c>
      <c r="Z135" t="s">
        <v>2301</v>
      </c>
      <c r="AA135" t="s">
        <v>74</v>
      </c>
      <c r="AB135" t="s">
        <v>2302</v>
      </c>
      <c r="AC135" t="s">
        <v>74</v>
      </c>
      <c r="AD135" t="s">
        <v>74</v>
      </c>
      <c r="AE135" t="s">
        <v>74</v>
      </c>
      <c r="AF135" t="s">
        <v>74</v>
      </c>
      <c r="AG135">
        <v>44</v>
      </c>
      <c r="AH135">
        <v>16</v>
      </c>
      <c r="AI135">
        <v>16</v>
      </c>
      <c r="AJ135">
        <v>0</v>
      </c>
      <c r="AK135">
        <v>6</v>
      </c>
      <c r="AL135" t="s">
        <v>92</v>
      </c>
      <c r="AM135" t="s">
        <v>93</v>
      </c>
      <c r="AN135" t="s">
        <v>94</v>
      </c>
      <c r="AO135" t="s">
        <v>95</v>
      </c>
      <c r="AP135" t="s">
        <v>96</v>
      </c>
      <c r="AQ135" t="s">
        <v>74</v>
      </c>
      <c r="AR135" t="s">
        <v>97</v>
      </c>
      <c r="AS135" t="s">
        <v>98</v>
      </c>
      <c r="AT135" t="s">
        <v>509</v>
      </c>
      <c r="AU135">
        <v>2019</v>
      </c>
      <c r="AV135">
        <v>64</v>
      </c>
      <c r="AW135">
        <v>20</v>
      </c>
      <c r="AX135" t="s">
        <v>74</v>
      </c>
      <c r="AY135" t="s">
        <v>74</v>
      </c>
      <c r="AZ135" t="s">
        <v>74</v>
      </c>
      <c r="BA135" t="s">
        <v>74</v>
      </c>
      <c r="BB135" t="s">
        <v>74</v>
      </c>
      <c r="BC135" t="s">
        <v>74</v>
      </c>
      <c r="BD135">
        <v>205016</v>
      </c>
      <c r="BE135" t="s">
        <v>2303</v>
      </c>
      <c r="BF135" t="str">
        <f>HYPERLINK("http://dx.doi.org/10.1088/1361-6560/ab4321","http://dx.doi.org/10.1088/1361-6560/ab4321")</f>
        <v>http://dx.doi.org/10.1088/1361-6560/ab4321</v>
      </c>
      <c r="BG135" t="s">
        <v>74</v>
      </c>
      <c r="BH135" t="s">
        <v>74</v>
      </c>
      <c r="BI135">
        <v>9</v>
      </c>
      <c r="BJ135" t="s">
        <v>101</v>
      </c>
      <c r="BK135" t="s">
        <v>102</v>
      </c>
      <c r="BL135" t="s">
        <v>103</v>
      </c>
      <c r="BM135" t="s">
        <v>741</v>
      </c>
      <c r="BN135">
        <v>31505483</v>
      </c>
      <c r="BO135" t="s">
        <v>74</v>
      </c>
      <c r="BP135" t="s">
        <v>74</v>
      </c>
      <c r="BQ135" t="s">
        <v>74</v>
      </c>
      <c r="BR135" t="s">
        <v>106</v>
      </c>
      <c r="BS135" t="s">
        <v>2304</v>
      </c>
      <c r="BT135" t="str">
        <f>HYPERLINK("https%3A%2F%2Fwww.webofscience.com%2Fwos%2Fwoscc%2Ffull-record%2FWOS:000500247900016","View Full Record in Web of Science")</f>
        <v>View Full Record in Web of Science</v>
      </c>
    </row>
    <row r="136" spans="1:72" x14ac:dyDescent="0.25">
      <c r="A136" t="s">
        <v>72</v>
      </c>
      <c r="B136" t="s">
        <v>2305</v>
      </c>
      <c r="C136" t="s">
        <v>74</v>
      </c>
      <c r="D136" t="s">
        <v>74</v>
      </c>
      <c r="E136" t="s">
        <v>74</v>
      </c>
      <c r="F136" t="s">
        <v>2306</v>
      </c>
      <c r="G136" t="s">
        <v>74</v>
      </c>
      <c r="H136" t="s">
        <v>74</v>
      </c>
      <c r="I136" t="s">
        <v>2307</v>
      </c>
      <c r="J136" t="s">
        <v>77</v>
      </c>
      <c r="K136" t="s">
        <v>74</v>
      </c>
      <c r="L136" t="s">
        <v>74</v>
      </c>
      <c r="M136" t="s">
        <v>78</v>
      </c>
      <c r="N136" t="s">
        <v>79</v>
      </c>
      <c r="O136" t="s">
        <v>74</v>
      </c>
      <c r="P136" t="s">
        <v>74</v>
      </c>
      <c r="Q136" t="s">
        <v>74</v>
      </c>
      <c r="R136" t="s">
        <v>74</v>
      </c>
      <c r="S136" t="s">
        <v>74</v>
      </c>
      <c r="T136" t="s">
        <v>2308</v>
      </c>
      <c r="U136" t="s">
        <v>2309</v>
      </c>
      <c r="V136" t="s">
        <v>2310</v>
      </c>
      <c r="W136" t="s">
        <v>2311</v>
      </c>
      <c r="X136" t="s">
        <v>2312</v>
      </c>
      <c r="Y136" t="s">
        <v>2313</v>
      </c>
      <c r="Z136" t="s">
        <v>2314</v>
      </c>
      <c r="AA136" t="s">
        <v>2315</v>
      </c>
      <c r="AB136" t="s">
        <v>2316</v>
      </c>
      <c r="AC136" t="s">
        <v>2317</v>
      </c>
      <c r="AD136" t="s">
        <v>2318</v>
      </c>
      <c r="AE136" t="s">
        <v>2319</v>
      </c>
      <c r="AF136" t="s">
        <v>74</v>
      </c>
      <c r="AG136">
        <v>36</v>
      </c>
      <c r="AH136">
        <v>2</v>
      </c>
      <c r="AI136">
        <v>2</v>
      </c>
      <c r="AJ136">
        <v>0</v>
      </c>
      <c r="AK136">
        <v>5</v>
      </c>
      <c r="AL136" t="s">
        <v>92</v>
      </c>
      <c r="AM136" t="s">
        <v>93</v>
      </c>
      <c r="AN136" t="s">
        <v>94</v>
      </c>
      <c r="AO136" t="s">
        <v>95</v>
      </c>
      <c r="AP136" t="s">
        <v>96</v>
      </c>
      <c r="AQ136" t="s">
        <v>74</v>
      </c>
      <c r="AR136" t="s">
        <v>97</v>
      </c>
      <c r="AS136" t="s">
        <v>98</v>
      </c>
      <c r="AT136" t="s">
        <v>509</v>
      </c>
      <c r="AU136">
        <v>2019</v>
      </c>
      <c r="AV136">
        <v>64</v>
      </c>
      <c r="AW136">
        <v>20</v>
      </c>
      <c r="AX136" t="s">
        <v>74</v>
      </c>
      <c r="AY136" t="s">
        <v>74</v>
      </c>
      <c r="AZ136" t="s">
        <v>74</v>
      </c>
      <c r="BA136" t="s">
        <v>74</v>
      </c>
      <c r="BB136" t="s">
        <v>74</v>
      </c>
      <c r="BC136" t="s">
        <v>74</v>
      </c>
      <c r="BD136">
        <v>205014</v>
      </c>
      <c r="BE136" t="s">
        <v>2320</v>
      </c>
      <c r="BF136" t="str">
        <f>HYPERLINK("http://dx.doi.org/10.1088/1361-6560/ab4476","http://dx.doi.org/10.1088/1361-6560/ab4476")</f>
        <v>http://dx.doi.org/10.1088/1361-6560/ab4476</v>
      </c>
      <c r="BG136" t="s">
        <v>74</v>
      </c>
      <c r="BH136" t="s">
        <v>74</v>
      </c>
      <c r="BI136">
        <v>15</v>
      </c>
      <c r="BJ136" t="s">
        <v>101</v>
      </c>
      <c r="BK136" t="s">
        <v>102</v>
      </c>
      <c r="BL136" t="s">
        <v>103</v>
      </c>
      <c r="BM136" t="s">
        <v>741</v>
      </c>
      <c r="BN136">
        <v>31519000</v>
      </c>
      <c r="BO136" t="s">
        <v>74</v>
      </c>
      <c r="BP136" t="s">
        <v>74</v>
      </c>
      <c r="BQ136" t="s">
        <v>74</v>
      </c>
      <c r="BR136" t="s">
        <v>106</v>
      </c>
      <c r="BS136" t="s">
        <v>2321</v>
      </c>
      <c r="BT136" t="str">
        <f>HYPERLINK("https%3A%2F%2Fwww.webofscience.com%2Fwos%2Fwoscc%2Ffull-record%2FWOS:000500247900014","View Full Record in Web of Science")</f>
        <v>View Full Record in Web of Science</v>
      </c>
    </row>
    <row r="137" spans="1:72" x14ac:dyDescent="0.25">
      <c r="A137" t="s">
        <v>72</v>
      </c>
      <c r="B137" t="s">
        <v>2322</v>
      </c>
      <c r="C137" t="s">
        <v>74</v>
      </c>
      <c r="D137" t="s">
        <v>74</v>
      </c>
      <c r="E137" t="s">
        <v>74</v>
      </c>
      <c r="F137" t="s">
        <v>2323</v>
      </c>
      <c r="G137" t="s">
        <v>74</v>
      </c>
      <c r="H137" t="s">
        <v>74</v>
      </c>
      <c r="I137" t="s">
        <v>2324</v>
      </c>
      <c r="J137" t="s">
        <v>77</v>
      </c>
      <c r="K137" t="s">
        <v>74</v>
      </c>
      <c r="L137" t="s">
        <v>74</v>
      </c>
      <c r="M137" t="s">
        <v>78</v>
      </c>
      <c r="N137" t="s">
        <v>79</v>
      </c>
      <c r="O137" t="s">
        <v>74</v>
      </c>
      <c r="P137" t="s">
        <v>74</v>
      </c>
      <c r="Q137" t="s">
        <v>74</v>
      </c>
      <c r="R137" t="s">
        <v>74</v>
      </c>
      <c r="S137" t="s">
        <v>74</v>
      </c>
      <c r="T137" t="s">
        <v>2325</v>
      </c>
      <c r="U137" t="s">
        <v>2326</v>
      </c>
      <c r="V137" t="s">
        <v>2327</v>
      </c>
      <c r="W137" t="s">
        <v>2328</v>
      </c>
      <c r="X137" t="s">
        <v>2084</v>
      </c>
      <c r="Y137" t="s">
        <v>2329</v>
      </c>
      <c r="Z137" t="s">
        <v>2330</v>
      </c>
      <c r="AA137" t="s">
        <v>2331</v>
      </c>
      <c r="AB137" t="s">
        <v>2332</v>
      </c>
      <c r="AC137" t="s">
        <v>74</v>
      </c>
      <c r="AD137" t="s">
        <v>74</v>
      </c>
      <c r="AE137" t="s">
        <v>74</v>
      </c>
      <c r="AF137" t="s">
        <v>74</v>
      </c>
      <c r="AG137">
        <v>48</v>
      </c>
      <c r="AH137">
        <v>130</v>
      </c>
      <c r="AI137">
        <v>150</v>
      </c>
      <c r="AJ137">
        <v>7</v>
      </c>
      <c r="AK137">
        <v>35</v>
      </c>
      <c r="AL137" t="s">
        <v>92</v>
      </c>
      <c r="AM137" t="s">
        <v>93</v>
      </c>
      <c r="AN137" t="s">
        <v>94</v>
      </c>
      <c r="AO137" t="s">
        <v>95</v>
      </c>
      <c r="AP137" t="s">
        <v>96</v>
      </c>
      <c r="AQ137" t="s">
        <v>74</v>
      </c>
      <c r="AR137" t="s">
        <v>97</v>
      </c>
      <c r="AS137" t="s">
        <v>98</v>
      </c>
      <c r="AT137" t="s">
        <v>176</v>
      </c>
      <c r="AU137">
        <v>2019</v>
      </c>
      <c r="AV137">
        <v>64</v>
      </c>
      <c r="AW137">
        <v>18</v>
      </c>
      <c r="AX137" t="s">
        <v>74</v>
      </c>
      <c r="AY137" t="s">
        <v>74</v>
      </c>
      <c r="AZ137" t="s">
        <v>74</v>
      </c>
      <c r="BA137" t="s">
        <v>74</v>
      </c>
      <c r="BB137" t="s">
        <v>74</v>
      </c>
      <c r="BC137" t="s">
        <v>74</v>
      </c>
      <c r="BD137">
        <v>185005</v>
      </c>
      <c r="BE137" t="s">
        <v>2333</v>
      </c>
      <c r="BF137" t="str">
        <f>HYPERLINK("http://dx.doi.org/10.1088/1361-6560/ab3769","http://dx.doi.org/10.1088/1361-6560/ab3769")</f>
        <v>http://dx.doi.org/10.1088/1361-6560/ab3769</v>
      </c>
      <c r="BG137" t="s">
        <v>74</v>
      </c>
      <c r="BH137" t="s">
        <v>74</v>
      </c>
      <c r="BI137">
        <v>12</v>
      </c>
      <c r="BJ137" t="s">
        <v>101</v>
      </c>
      <c r="BK137" t="s">
        <v>102</v>
      </c>
      <c r="BL137" t="s">
        <v>103</v>
      </c>
      <c r="BM137" t="s">
        <v>2334</v>
      </c>
      <c r="BN137">
        <v>31365907</v>
      </c>
      <c r="BO137" t="s">
        <v>270</v>
      </c>
      <c r="BP137" t="s">
        <v>74</v>
      </c>
      <c r="BQ137" t="s">
        <v>74</v>
      </c>
      <c r="BR137" t="s">
        <v>106</v>
      </c>
      <c r="BS137" t="s">
        <v>2335</v>
      </c>
      <c r="BT137" t="str">
        <f>HYPERLINK("https%3A%2F%2Fwww.webofscience.com%2Fwos%2Fwoscc%2Ffull-record%2FWOS:000485720400005","View Full Record in Web of Science")</f>
        <v>View Full Record in Web of Science</v>
      </c>
    </row>
    <row r="138" spans="1:72" x14ac:dyDescent="0.25">
      <c r="A138" t="s">
        <v>72</v>
      </c>
      <c r="B138" t="s">
        <v>2336</v>
      </c>
      <c r="C138" t="s">
        <v>74</v>
      </c>
      <c r="D138" t="s">
        <v>74</v>
      </c>
      <c r="E138" t="s">
        <v>74</v>
      </c>
      <c r="F138" t="s">
        <v>2337</v>
      </c>
      <c r="G138" t="s">
        <v>74</v>
      </c>
      <c r="H138" t="s">
        <v>74</v>
      </c>
      <c r="I138" t="s">
        <v>2338</v>
      </c>
      <c r="J138" t="s">
        <v>77</v>
      </c>
      <c r="K138" t="s">
        <v>74</v>
      </c>
      <c r="L138" t="s">
        <v>74</v>
      </c>
      <c r="M138" t="s">
        <v>78</v>
      </c>
      <c r="N138" t="s">
        <v>79</v>
      </c>
      <c r="O138" t="s">
        <v>74</v>
      </c>
      <c r="P138" t="s">
        <v>74</v>
      </c>
      <c r="Q138" t="s">
        <v>74</v>
      </c>
      <c r="R138" t="s">
        <v>74</v>
      </c>
      <c r="S138" t="s">
        <v>74</v>
      </c>
      <c r="T138" t="s">
        <v>2339</v>
      </c>
      <c r="U138" t="s">
        <v>74</v>
      </c>
      <c r="V138" t="s">
        <v>2340</v>
      </c>
      <c r="W138" t="s">
        <v>2341</v>
      </c>
      <c r="X138" t="s">
        <v>1102</v>
      </c>
      <c r="Y138" t="s">
        <v>2342</v>
      </c>
      <c r="Z138" t="s">
        <v>2343</v>
      </c>
      <c r="AA138" t="s">
        <v>2344</v>
      </c>
      <c r="AB138" t="s">
        <v>2345</v>
      </c>
      <c r="AC138" t="s">
        <v>2346</v>
      </c>
      <c r="AD138" t="s">
        <v>2347</v>
      </c>
      <c r="AE138" t="s">
        <v>2348</v>
      </c>
      <c r="AF138" t="s">
        <v>74</v>
      </c>
      <c r="AG138">
        <v>19</v>
      </c>
      <c r="AH138">
        <v>30</v>
      </c>
      <c r="AI138">
        <v>31</v>
      </c>
      <c r="AJ138">
        <v>1</v>
      </c>
      <c r="AK138">
        <v>21</v>
      </c>
      <c r="AL138" t="s">
        <v>157</v>
      </c>
      <c r="AM138" t="s">
        <v>93</v>
      </c>
      <c r="AN138" t="s">
        <v>94</v>
      </c>
      <c r="AO138" t="s">
        <v>95</v>
      </c>
      <c r="AP138" t="s">
        <v>96</v>
      </c>
      <c r="AQ138" t="s">
        <v>74</v>
      </c>
      <c r="AR138" t="s">
        <v>97</v>
      </c>
      <c r="AS138" t="s">
        <v>98</v>
      </c>
      <c r="AT138" t="s">
        <v>176</v>
      </c>
      <c r="AU138">
        <v>2019</v>
      </c>
      <c r="AV138">
        <v>64</v>
      </c>
      <c r="AW138">
        <v>18</v>
      </c>
      <c r="AX138" t="s">
        <v>74</v>
      </c>
      <c r="AY138" t="s">
        <v>74</v>
      </c>
      <c r="AZ138" t="s">
        <v>74</v>
      </c>
      <c r="BA138" t="s">
        <v>74</v>
      </c>
      <c r="BB138" t="s">
        <v>74</v>
      </c>
      <c r="BC138" t="s">
        <v>74</v>
      </c>
      <c r="BD138">
        <v>185010</v>
      </c>
      <c r="BE138" t="s">
        <v>2349</v>
      </c>
      <c r="BF138" t="str">
        <f>HYPERLINK("http://dx.doi.org/10.1088/1361-6560/ab3ad1","http://dx.doi.org/10.1088/1361-6560/ab3ad1")</f>
        <v>http://dx.doi.org/10.1088/1361-6560/ab3ad1</v>
      </c>
      <c r="BG138" t="s">
        <v>74</v>
      </c>
      <c r="BH138" t="s">
        <v>74</v>
      </c>
      <c r="BI138">
        <v>13</v>
      </c>
      <c r="BJ138" t="s">
        <v>101</v>
      </c>
      <c r="BK138" t="s">
        <v>102</v>
      </c>
      <c r="BL138" t="s">
        <v>103</v>
      </c>
      <c r="BM138" t="s">
        <v>1058</v>
      </c>
      <c r="BN138">
        <v>31408850</v>
      </c>
      <c r="BO138" t="s">
        <v>270</v>
      </c>
      <c r="BP138" t="s">
        <v>74</v>
      </c>
      <c r="BQ138" t="s">
        <v>74</v>
      </c>
      <c r="BR138" t="s">
        <v>106</v>
      </c>
      <c r="BS138" t="s">
        <v>2350</v>
      </c>
      <c r="BT138" t="str">
        <f>HYPERLINK("https%3A%2F%2Fwww.webofscience.com%2Fwos%2Fwoscc%2Ffull-record%2FWOS:000486374400004","View Full Record in Web of Science")</f>
        <v>View Full Record in Web of Science</v>
      </c>
    </row>
    <row r="139" spans="1:72" x14ac:dyDescent="0.25">
      <c r="A139" t="s">
        <v>72</v>
      </c>
      <c r="B139" t="s">
        <v>2351</v>
      </c>
      <c r="C139" t="s">
        <v>74</v>
      </c>
      <c r="D139" t="s">
        <v>74</v>
      </c>
      <c r="E139" t="s">
        <v>74</v>
      </c>
      <c r="F139" t="s">
        <v>2352</v>
      </c>
      <c r="G139" t="s">
        <v>74</v>
      </c>
      <c r="H139" t="s">
        <v>74</v>
      </c>
      <c r="I139" t="s">
        <v>2353</v>
      </c>
      <c r="J139" t="s">
        <v>77</v>
      </c>
      <c r="K139" t="s">
        <v>74</v>
      </c>
      <c r="L139" t="s">
        <v>74</v>
      </c>
      <c r="M139" t="s">
        <v>78</v>
      </c>
      <c r="N139" t="s">
        <v>79</v>
      </c>
      <c r="O139" t="s">
        <v>74</v>
      </c>
      <c r="P139" t="s">
        <v>74</v>
      </c>
      <c r="Q139" t="s">
        <v>74</v>
      </c>
      <c r="R139" t="s">
        <v>74</v>
      </c>
      <c r="S139" t="s">
        <v>74</v>
      </c>
      <c r="T139" t="s">
        <v>2354</v>
      </c>
      <c r="U139" t="s">
        <v>2355</v>
      </c>
      <c r="V139" t="s">
        <v>2356</v>
      </c>
      <c r="W139" t="s">
        <v>2357</v>
      </c>
      <c r="X139" t="s">
        <v>2358</v>
      </c>
      <c r="Y139" t="s">
        <v>2359</v>
      </c>
      <c r="Z139" t="s">
        <v>2360</v>
      </c>
      <c r="AA139" t="s">
        <v>2361</v>
      </c>
      <c r="AB139" t="s">
        <v>2362</v>
      </c>
      <c r="AC139" t="s">
        <v>2363</v>
      </c>
      <c r="AD139" t="s">
        <v>2363</v>
      </c>
      <c r="AE139" t="s">
        <v>2364</v>
      </c>
      <c r="AF139" t="s">
        <v>74</v>
      </c>
      <c r="AG139">
        <v>43</v>
      </c>
      <c r="AH139">
        <v>12</v>
      </c>
      <c r="AI139">
        <v>12</v>
      </c>
      <c r="AJ139">
        <v>0</v>
      </c>
      <c r="AK139">
        <v>5</v>
      </c>
      <c r="AL139" t="s">
        <v>92</v>
      </c>
      <c r="AM139" t="s">
        <v>93</v>
      </c>
      <c r="AN139" t="s">
        <v>94</v>
      </c>
      <c r="AO139" t="s">
        <v>95</v>
      </c>
      <c r="AP139" t="s">
        <v>96</v>
      </c>
      <c r="AQ139" t="s">
        <v>74</v>
      </c>
      <c r="AR139" t="s">
        <v>97</v>
      </c>
      <c r="AS139" t="s">
        <v>98</v>
      </c>
      <c r="AT139" t="s">
        <v>176</v>
      </c>
      <c r="AU139">
        <v>2019</v>
      </c>
      <c r="AV139">
        <v>64</v>
      </c>
      <c r="AW139">
        <v>18</v>
      </c>
      <c r="AX139" t="s">
        <v>74</v>
      </c>
      <c r="AY139" t="s">
        <v>74</v>
      </c>
      <c r="AZ139" t="s">
        <v>74</v>
      </c>
      <c r="BA139" t="s">
        <v>74</v>
      </c>
      <c r="BB139" t="s">
        <v>74</v>
      </c>
      <c r="BC139" t="s">
        <v>74</v>
      </c>
      <c r="BD139">
        <v>185017</v>
      </c>
      <c r="BE139" t="s">
        <v>2365</v>
      </c>
      <c r="BF139" t="str">
        <f>HYPERLINK("http://dx.doi.org/10.1088/1361-6560/ab303a","http://dx.doi.org/10.1088/1361-6560/ab303a")</f>
        <v>http://dx.doi.org/10.1088/1361-6560/ab303a</v>
      </c>
      <c r="BG139" t="s">
        <v>74</v>
      </c>
      <c r="BH139" t="s">
        <v>74</v>
      </c>
      <c r="BI139">
        <v>21</v>
      </c>
      <c r="BJ139" t="s">
        <v>101</v>
      </c>
      <c r="BK139" t="s">
        <v>102</v>
      </c>
      <c r="BL139" t="s">
        <v>103</v>
      </c>
      <c r="BM139" t="s">
        <v>1992</v>
      </c>
      <c r="BN139">
        <v>31535622</v>
      </c>
      <c r="BO139" t="s">
        <v>74</v>
      </c>
      <c r="BP139" t="s">
        <v>74</v>
      </c>
      <c r="BQ139" t="s">
        <v>74</v>
      </c>
      <c r="BR139" t="s">
        <v>106</v>
      </c>
      <c r="BS139" t="s">
        <v>2366</v>
      </c>
      <c r="BT139" t="str">
        <f>HYPERLINK("https%3A%2F%2Fwww.webofscience.com%2Fwos%2Fwoscc%2Ffull-record%2FWOS:000487116400006","View Full Record in Web of Science")</f>
        <v>View Full Record in Web of Science</v>
      </c>
    </row>
    <row r="140" spans="1:72" x14ac:dyDescent="0.25">
      <c r="A140" t="s">
        <v>72</v>
      </c>
      <c r="B140" t="s">
        <v>2367</v>
      </c>
      <c r="C140" t="s">
        <v>74</v>
      </c>
      <c r="D140" t="s">
        <v>74</v>
      </c>
      <c r="E140" t="s">
        <v>74</v>
      </c>
      <c r="F140" t="s">
        <v>2368</v>
      </c>
      <c r="G140" t="s">
        <v>74</v>
      </c>
      <c r="H140" t="s">
        <v>74</v>
      </c>
      <c r="I140" t="s">
        <v>2369</v>
      </c>
      <c r="J140" t="s">
        <v>77</v>
      </c>
      <c r="K140" t="s">
        <v>74</v>
      </c>
      <c r="L140" t="s">
        <v>74</v>
      </c>
      <c r="M140" t="s">
        <v>78</v>
      </c>
      <c r="N140" t="s">
        <v>79</v>
      </c>
      <c r="O140" t="s">
        <v>74</v>
      </c>
      <c r="P140" t="s">
        <v>74</v>
      </c>
      <c r="Q140" t="s">
        <v>74</v>
      </c>
      <c r="R140" t="s">
        <v>74</v>
      </c>
      <c r="S140" t="s">
        <v>74</v>
      </c>
      <c r="T140" t="s">
        <v>2370</v>
      </c>
      <c r="U140" t="s">
        <v>2371</v>
      </c>
      <c r="V140" t="s">
        <v>2372</v>
      </c>
      <c r="W140" t="s">
        <v>2373</v>
      </c>
      <c r="X140" t="s">
        <v>2374</v>
      </c>
      <c r="Y140" t="s">
        <v>2375</v>
      </c>
      <c r="Z140" t="s">
        <v>2376</v>
      </c>
      <c r="AA140" t="s">
        <v>74</v>
      </c>
      <c r="AB140" t="s">
        <v>2377</v>
      </c>
      <c r="AC140" t="s">
        <v>2378</v>
      </c>
      <c r="AD140" t="s">
        <v>2379</v>
      </c>
      <c r="AE140" t="s">
        <v>2380</v>
      </c>
      <c r="AF140" t="s">
        <v>74</v>
      </c>
      <c r="AG140">
        <v>60</v>
      </c>
      <c r="AH140">
        <v>2</v>
      </c>
      <c r="AI140">
        <v>2</v>
      </c>
      <c r="AJ140">
        <v>0</v>
      </c>
      <c r="AK140">
        <v>18</v>
      </c>
      <c r="AL140" t="s">
        <v>157</v>
      </c>
      <c r="AM140" t="s">
        <v>93</v>
      </c>
      <c r="AN140" t="s">
        <v>94</v>
      </c>
      <c r="AO140" t="s">
        <v>95</v>
      </c>
      <c r="AP140" t="s">
        <v>96</v>
      </c>
      <c r="AQ140" t="s">
        <v>74</v>
      </c>
      <c r="AR140" t="s">
        <v>97</v>
      </c>
      <c r="AS140" t="s">
        <v>98</v>
      </c>
      <c r="AT140" t="s">
        <v>176</v>
      </c>
      <c r="AU140">
        <v>2019</v>
      </c>
      <c r="AV140">
        <v>64</v>
      </c>
      <c r="AW140">
        <v>18</v>
      </c>
      <c r="AX140" t="s">
        <v>74</v>
      </c>
      <c r="AY140" t="s">
        <v>74</v>
      </c>
      <c r="AZ140" t="s">
        <v>74</v>
      </c>
      <c r="BA140" t="s">
        <v>74</v>
      </c>
      <c r="BB140" t="s">
        <v>74</v>
      </c>
      <c r="BC140" t="s">
        <v>74</v>
      </c>
      <c r="BD140">
        <v>185003</v>
      </c>
      <c r="BE140" t="s">
        <v>2381</v>
      </c>
      <c r="BF140" t="str">
        <f>HYPERLINK("http://dx.doi.org/10.1088/1361-6560/ab0a90","http://dx.doi.org/10.1088/1361-6560/ab0a90")</f>
        <v>http://dx.doi.org/10.1088/1361-6560/ab0a90</v>
      </c>
      <c r="BG140" t="s">
        <v>74</v>
      </c>
      <c r="BH140" t="s">
        <v>74</v>
      </c>
      <c r="BI140">
        <v>22</v>
      </c>
      <c r="BJ140" t="s">
        <v>101</v>
      </c>
      <c r="BK140" t="s">
        <v>102</v>
      </c>
      <c r="BL140" t="s">
        <v>103</v>
      </c>
      <c r="BM140" t="s">
        <v>2334</v>
      </c>
      <c r="BN140">
        <v>30808019</v>
      </c>
      <c r="BO140" t="s">
        <v>74</v>
      </c>
      <c r="BP140" t="s">
        <v>74</v>
      </c>
      <c r="BQ140" t="s">
        <v>74</v>
      </c>
      <c r="BR140" t="s">
        <v>106</v>
      </c>
      <c r="BS140" t="s">
        <v>2382</v>
      </c>
      <c r="BT140" t="str">
        <f>HYPERLINK("https%3A%2F%2Fwww.webofscience.com%2Fwos%2Fwoscc%2Ffull-record%2FWOS:000485720400003","View Full Record in Web of Science")</f>
        <v>View Full Record in Web of Science</v>
      </c>
    </row>
    <row r="141" spans="1:72" x14ac:dyDescent="0.25">
      <c r="A141" t="s">
        <v>72</v>
      </c>
      <c r="B141" t="s">
        <v>2383</v>
      </c>
      <c r="C141" t="s">
        <v>74</v>
      </c>
      <c r="D141" t="s">
        <v>74</v>
      </c>
      <c r="E141" t="s">
        <v>74</v>
      </c>
      <c r="F141" t="s">
        <v>2384</v>
      </c>
      <c r="G141" t="s">
        <v>74</v>
      </c>
      <c r="H141" t="s">
        <v>74</v>
      </c>
      <c r="I141" t="s">
        <v>2385</v>
      </c>
      <c r="J141" t="s">
        <v>77</v>
      </c>
      <c r="K141" t="s">
        <v>74</v>
      </c>
      <c r="L141" t="s">
        <v>74</v>
      </c>
      <c r="M141" t="s">
        <v>78</v>
      </c>
      <c r="N141" t="s">
        <v>79</v>
      </c>
      <c r="O141" t="s">
        <v>74</v>
      </c>
      <c r="P141" t="s">
        <v>74</v>
      </c>
      <c r="Q141" t="s">
        <v>74</v>
      </c>
      <c r="R141" t="s">
        <v>74</v>
      </c>
      <c r="S141" t="s">
        <v>74</v>
      </c>
      <c r="T141" t="s">
        <v>2386</v>
      </c>
      <c r="U141" t="s">
        <v>74</v>
      </c>
      <c r="V141" t="s">
        <v>2387</v>
      </c>
      <c r="W141" t="s">
        <v>2388</v>
      </c>
      <c r="X141" t="s">
        <v>2389</v>
      </c>
      <c r="Y141" t="s">
        <v>2390</v>
      </c>
      <c r="Z141" t="s">
        <v>2391</v>
      </c>
      <c r="AA141" t="s">
        <v>2392</v>
      </c>
      <c r="AB141" t="s">
        <v>2393</v>
      </c>
      <c r="AC141" t="s">
        <v>74</v>
      </c>
      <c r="AD141" t="s">
        <v>74</v>
      </c>
      <c r="AE141" t="s">
        <v>74</v>
      </c>
      <c r="AF141" t="s">
        <v>74</v>
      </c>
      <c r="AG141">
        <v>18</v>
      </c>
      <c r="AH141">
        <v>14</v>
      </c>
      <c r="AI141">
        <v>15</v>
      </c>
      <c r="AJ141">
        <v>1</v>
      </c>
      <c r="AK141">
        <v>9</v>
      </c>
      <c r="AL141" t="s">
        <v>92</v>
      </c>
      <c r="AM141" t="s">
        <v>93</v>
      </c>
      <c r="AN141" t="s">
        <v>94</v>
      </c>
      <c r="AO141" t="s">
        <v>95</v>
      </c>
      <c r="AP141" t="s">
        <v>96</v>
      </c>
      <c r="AQ141" t="s">
        <v>74</v>
      </c>
      <c r="AR141" t="s">
        <v>97</v>
      </c>
      <c r="AS141" t="s">
        <v>98</v>
      </c>
      <c r="AT141" t="s">
        <v>196</v>
      </c>
      <c r="AU141">
        <v>2019</v>
      </c>
      <c r="AV141">
        <v>64</v>
      </c>
      <c r="AW141">
        <v>15</v>
      </c>
      <c r="AX141" t="s">
        <v>74</v>
      </c>
      <c r="AY141" t="s">
        <v>74</v>
      </c>
      <c r="AZ141" t="s">
        <v>74</v>
      </c>
      <c r="BA141" t="s">
        <v>74</v>
      </c>
      <c r="BB141" t="s">
        <v>74</v>
      </c>
      <c r="BC141" t="s">
        <v>74</v>
      </c>
      <c r="BD141">
        <v>155005</v>
      </c>
      <c r="BE141" t="s">
        <v>2394</v>
      </c>
      <c r="BF141" t="str">
        <f>HYPERLINK("http://dx.doi.org/10.1088/1361-6560/ab2611","http://dx.doi.org/10.1088/1361-6560/ab2611")</f>
        <v>http://dx.doi.org/10.1088/1361-6560/ab2611</v>
      </c>
      <c r="BG141" t="s">
        <v>74</v>
      </c>
      <c r="BH141" t="s">
        <v>74</v>
      </c>
      <c r="BI141">
        <v>11</v>
      </c>
      <c r="BJ141" t="s">
        <v>101</v>
      </c>
      <c r="BK141" t="s">
        <v>102</v>
      </c>
      <c r="BL141" t="s">
        <v>103</v>
      </c>
      <c r="BM141" t="s">
        <v>2395</v>
      </c>
      <c r="BN141">
        <v>31151126</v>
      </c>
      <c r="BO141" t="s">
        <v>74</v>
      </c>
      <c r="BP141" t="s">
        <v>74</v>
      </c>
      <c r="BQ141" t="s">
        <v>74</v>
      </c>
      <c r="BR141" t="s">
        <v>106</v>
      </c>
      <c r="BS141" t="s">
        <v>2396</v>
      </c>
      <c r="BT141" t="str">
        <f>HYPERLINK("https%3A%2F%2Fwww.webofscience.com%2Fwos%2Fwoscc%2Ffull-record%2FWOS:000478621000005","View Full Record in Web of Science")</f>
        <v>View Full Record in Web of Science</v>
      </c>
    </row>
    <row r="142" spans="1:72" x14ac:dyDescent="0.25">
      <c r="A142" t="s">
        <v>72</v>
      </c>
      <c r="B142" t="s">
        <v>2397</v>
      </c>
      <c r="C142" t="s">
        <v>74</v>
      </c>
      <c r="D142" t="s">
        <v>74</v>
      </c>
      <c r="E142" t="s">
        <v>74</v>
      </c>
      <c r="F142" t="s">
        <v>2398</v>
      </c>
      <c r="G142" t="s">
        <v>74</v>
      </c>
      <c r="H142" t="s">
        <v>74</v>
      </c>
      <c r="I142" t="s">
        <v>2399</v>
      </c>
      <c r="J142" t="s">
        <v>77</v>
      </c>
      <c r="K142" t="s">
        <v>74</v>
      </c>
      <c r="L142" t="s">
        <v>74</v>
      </c>
      <c r="M142" t="s">
        <v>78</v>
      </c>
      <c r="N142" t="s">
        <v>79</v>
      </c>
      <c r="O142" t="s">
        <v>74</v>
      </c>
      <c r="P142" t="s">
        <v>74</v>
      </c>
      <c r="Q142" t="s">
        <v>74</v>
      </c>
      <c r="R142" t="s">
        <v>74</v>
      </c>
      <c r="S142" t="s">
        <v>74</v>
      </c>
      <c r="T142" t="s">
        <v>2400</v>
      </c>
      <c r="U142" t="s">
        <v>2401</v>
      </c>
      <c r="V142" t="s">
        <v>2402</v>
      </c>
      <c r="W142" t="s">
        <v>2403</v>
      </c>
      <c r="X142" t="s">
        <v>2404</v>
      </c>
      <c r="Y142" t="s">
        <v>2405</v>
      </c>
      <c r="Z142" t="s">
        <v>2406</v>
      </c>
      <c r="AA142" t="s">
        <v>2407</v>
      </c>
      <c r="AB142" t="s">
        <v>2408</v>
      </c>
      <c r="AC142" t="s">
        <v>2409</v>
      </c>
      <c r="AD142" t="s">
        <v>2410</v>
      </c>
      <c r="AE142" t="s">
        <v>2411</v>
      </c>
      <c r="AF142" t="s">
        <v>74</v>
      </c>
      <c r="AG142">
        <v>74</v>
      </c>
      <c r="AH142">
        <v>8</v>
      </c>
      <c r="AI142">
        <v>8</v>
      </c>
      <c r="AJ142">
        <v>0</v>
      </c>
      <c r="AK142">
        <v>8</v>
      </c>
      <c r="AL142" t="s">
        <v>157</v>
      </c>
      <c r="AM142" t="s">
        <v>93</v>
      </c>
      <c r="AN142" t="s">
        <v>94</v>
      </c>
      <c r="AO142" t="s">
        <v>95</v>
      </c>
      <c r="AP142" t="s">
        <v>96</v>
      </c>
      <c r="AQ142" t="s">
        <v>74</v>
      </c>
      <c r="AR142" t="s">
        <v>97</v>
      </c>
      <c r="AS142" t="s">
        <v>98</v>
      </c>
      <c r="AT142" t="s">
        <v>196</v>
      </c>
      <c r="AU142">
        <v>2019</v>
      </c>
      <c r="AV142">
        <v>64</v>
      </c>
      <c r="AW142">
        <v>16</v>
      </c>
      <c r="AX142" t="s">
        <v>74</v>
      </c>
      <c r="AY142" t="s">
        <v>74</v>
      </c>
      <c r="AZ142" t="s">
        <v>74</v>
      </c>
      <c r="BA142" t="s">
        <v>74</v>
      </c>
      <c r="BB142" t="s">
        <v>74</v>
      </c>
      <c r="BC142" t="s">
        <v>74</v>
      </c>
      <c r="BD142">
        <v>165015</v>
      </c>
      <c r="BE142" t="s">
        <v>2412</v>
      </c>
      <c r="BF142" t="str">
        <f>HYPERLINK("http://dx.doi.org/10.1088/1361-6560/ab293b","http://dx.doi.org/10.1088/1361-6560/ab293b")</f>
        <v>http://dx.doi.org/10.1088/1361-6560/ab293b</v>
      </c>
      <c r="BG142" t="s">
        <v>74</v>
      </c>
      <c r="BH142" t="s">
        <v>74</v>
      </c>
      <c r="BI142">
        <v>17</v>
      </c>
      <c r="BJ142" t="s">
        <v>101</v>
      </c>
      <c r="BK142" t="s">
        <v>102</v>
      </c>
      <c r="BL142" t="s">
        <v>103</v>
      </c>
      <c r="BM142" t="s">
        <v>2045</v>
      </c>
      <c r="BN142">
        <v>31189149</v>
      </c>
      <c r="BO142" t="s">
        <v>105</v>
      </c>
      <c r="BP142" t="s">
        <v>74</v>
      </c>
      <c r="BQ142" t="s">
        <v>74</v>
      </c>
      <c r="BR142" t="s">
        <v>106</v>
      </c>
      <c r="BS142" t="s">
        <v>2413</v>
      </c>
      <c r="BT142" t="str">
        <f>HYPERLINK("https%3A%2F%2Fwww.webofscience.com%2Fwos%2Fwoscc%2Ffull-record%2FWOS:000482525700006","View Full Record in Web of Science")</f>
        <v>View Full Record in Web of Science</v>
      </c>
    </row>
    <row r="143" spans="1:72" x14ac:dyDescent="0.25">
      <c r="A143" t="s">
        <v>72</v>
      </c>
      <c r="B143" t="s">
        <v>2414</v>
      </c>
      <c r="C143" t="s">
        <v>74</v>
      </c>
      <c r="D143" t="s">
        <v>74</v>
      </c>
      <c r="E143" t="s">
        <v>74</v>
      </c>
      <c r="F143" t="s">
        <v>2415</v>
      </c>
      <c r="G143" t="s">
        <v>74</v>
      </c>
      <c r="H143" t="s">
        <v>74</v>
      </c>
      <c r="I143" t="s">
        <v>2416</v>
      </c>
      <c r="J143" t="s">
        <v>77</v>
      </c>
      <c r="K143" t="s">
        <v>74</v>
      </c>
      <c r="L143" t="s">
        <v>74</v>
      </c>
      <c r="M143" t="s">
        <v>78</v>
      </c>
      <c r="N143" t="s">
        <v>79</v>
      </c>
      <c r="O143" t="s">
        <v>74</v>
      </c>
      <c r="P143" t="s">
        <v>74</v>
      </c>
      <c r="Q143" t="s">
        <v>74</v>
      </c>
      <c r="R143" t="s">
        <v>74</v>
      </c>
      <c r="S143" t="s">
        <v>74</v>
      </c>
      <c r="T143" t="s">
        <v>2417</v>
      </c>
      <c r="U143" t="s">
        <v>2418</v>
      </c>
      <c r="V143" t="s">
        <v>2419</v>
      </c>
      <c r="W143" t="s">
        <v>2420</v>
      </c>
      <c r="X143" t="s">
        <v>2421</v>
      </c>
      <c r="Y143" t="s">
        <v>2422</v>
      </c>
      <c r="Z143" t="s">
        <v>2423</v>
      </c>
      <c r="AA143" t="s">
        <v>2424</v>
      </c>
      <c r="AB143" t="s">
        <v>2425</v>
      </c>
      <c r="AC143" t="s">
        <v>2426</v>
      </c>
      <c r="AD143" t="s">
        <v>2427</v>
      </c>
      <c r="AE143" t="s">
        <v>2428</v>
      </c>
      <c r="AF143" t="s">
        <v>74</v>
      </c>
      <c r="AG143">
        <v>39</v>
      </c>
      <c r="AH143">
        <v>9</v>
      </c>
      <c r="AI143">
        <v>9</v>
      </c>
      <c r="AJ143">
        <v>0</v>
      </c>
      <c r="AK143">
        <v>6</v>
      </c>
      <c r="AL143" t="s">
        <v>92</v>
      </c>
      <c r="AM143" t="s">
        <v>93</v>
      </c>
      <c r="AN143" t="s">
        <v>94</v>
      </c>
      <c r="AO143" t="s">
        <v>95</v>
      </c>
      <c r="AP143" t="s">
        <v>96</v>
      </c>
      <c r="AQ143" t="s">
        <v>74</v>
      </c>
      <c r="AR143" t="s">
        <v>97</v>
      </c>
      <c r="AS143" t="s">
        <v>98</v>
      </c>
      <c r="AT143" t="s">
        <v>196</v>
      </c>
      <c r="AU143">
        <v>2019</v>
      </c>
      <c r="AV143">
        <v>64</v>
      </c>
      <c r="AW143">
        <v>15</v>
      </c>
      <c r="AX143" t="s">
        <v>74</v>
      </c>
      <c r="AY143" t="s">
        <v>74</v>
      </c>
      <c r="AZ143" t="s">
        <v>74</v>
      </c>
      <c r="BA143" t="s">
        <v>74</v>
      </c>
      <c r="BB143" t="s">
        <v>74</v>
      </c>
      <c r="BC143" t="s">
        <v>74</v>
      </c>
      <c r="BD143">
        <v>155007</v>
      </c>
      <c r="BE143" t="s">
        <v>2429</v>
      </c>
      <c r="BF143" t="str">
        <f>HYPERLINK("http://dx.doi.org/10.1088/1361-6560/ab2df1","http://dx.doi.org/10.1088/1361-6560/ab2df1")</f>
        <v>http://dx.doi.org/10.1088/1361-6560/ab2df1</v>
      </c>
      <c r="BG143" t="s">
        <v>74</v>
      </c>
      <c r="BH143" t="s">
        <v>74</v>
      </c>
      <c r="BI143">
        <v>13</v>
      </c>
      <c r="BJ143" t="s">
        <v>101</v>
      </c>
      <c r="BK143" t="s">
        <v>102</v>
      </c>
      <c r="BL143" t="s">
        <v>103</v>
      </c>
      <c r="BM143" t="s">
        <v>198</v>
      </c>
      <c r="BN143">
        <v>31258151</v>
      </c>
      <c r="BO143" t="s">
        <v>1059</v>
      </c>
      <c r="BP143" t="s">
        <v>74</v>
      </c>
      <c r="BQ143" t="s">
        <v>74</v>
      </c>
      <c r="BR143" t="s">
        <v>106</v>
      </c>
      <c r="BS143" t="s">
        <v>2430</v>
      </c>
      <c r="BT143" t="str">
        <f>HYPERLINK("https%3A%2F%2Fwww.webofscience.com%2Fwos%2Fwoscc%2Ffull-record%2FWOS:000480292700002","View Full Record in Web of Science")</f>
        <v>View Full Record in Web of Science</v>
      </c>
    </row>
    <row r="144" spans="1:72" x14ac:dyDescent="0.25">
      <c r="A144" t="s">
        <v>72</v>
      </c>
      <c r="B144" t="s">
        <v>2431</v>
      </c>
      <c r="C144" t="s">
        <v>74</v>
      </c>
      <c r="D144" t="s">
        <v>74</v>
      </c>
      <c r="E144" t="s">
        <v>74</v>
      </c>
      <c r="F144" t="s">
        <v>2432</v>
      </c>
      <c r="G144" t="s">
        <v>74</v>
      </c>
      <c r="H144" t="s">
        <v>74</v>
      </c>
      <c r="I144" t="s">
        <v>2433</v>
      </c>
      <c r="J144" t="s">
        <v>77</v>
      </c>
      <c r="K144" t="s">
        <v>74</v>
      </c>
      <c r="L144" t="s">
        <v>74</v>
      </c>
      <c r="M144" t="s">
        <v>78</v>
      </c>
      <c r="N144" t="s">
        <v>79</v>
      </c>
      <c r="O144" t="s">
        <v>74</v>
      </c>
      <c r="P144" t="s">
        <v>74</v>
      </c>
      <c r="Q144" t="s">
        <v>74</v>
      </c>
      <c r="R144" t="s">
        <v>74</v>
      </c>
      <c r="S144" t="s">
        <v>74</v>
      </c>
      <c r="T144" t="s">
        <v>2434</v>
      </c>
      <c r="U144" t="s">
        <v>2435</v>
      </c>
      <c r="V144" t="s">
        <v>2436</v>
      </c>
      <c r="W144" t="s">
        <v>2437</v>
      </c>
      <c r="X144" t="s">
        <v>2438</v>
      </c>
      <c r="Y144" t="s">
        <v>2439</v>
      </c>
      <c r="Z144" t="s">
        <v>2440</v>
      </c>
      <c r="AA144" t="s">
        <v>2441</v>
      </c>
      <c r="AB144" t="s">
        <v>2442</v>
      </c>
      <c r="AC144" t="s">
        <v>2443</v>
      </c>
      <c r="AD144" t="s">
        <v>2444</v>
      </c>
      <c r="AE144" t="s">
        <v>2445</v>
      </c>
      <c r="AF144" t="s">
        <v>74</v>
      </c>
      <c r="AG144">
        <v>46</v>
      </c>
      <c r="AH144">
        <v>14</v>
      </c>
      <c r="AI144">
        <v>16</v>
      </c>
      <c r="AJ144">
        <v>1</v>
      </c>
      <c r="AK144">
        <v>27</v>
      </c>
      <c r="AL144" t="s">
        <v>92</v>
      </c>
      <c r="AM144" t="s">
        <v>93</v>
      </c>
      <c r="AN144" t="s">
        <v>94</v>
      </c>
      <c r="AO144" t="s">
        <v>95</v>
      </c>
      <c r="AP144" t="s">
        <v>96</v>
      </c>
      <c r="AQ144" t="s">
        <v>74</v>
      </c>
      <c r="AR144" t="s">
        <v>97</v>
      </c>
      <c r="AS144" t="s">
        <v>98</v>
      </c>
      <c r="AT144" t="s">
        <v>214</v>
      </c>
      <c r="AU144">
        <v>2019</v>
      </c>
      <c r="AV144">
        <v>64</v>
      </c>
      <c r="AW144">
        <v>14</v>
      </c>
      <c r="AX144" t="s">
        <v>74</v>
      </c>
      <c r="AY144" t="s">
        <v>74</v>
      </c>
      <c r="AZ144" t="s">
        <v>74</v>
      </c>
      <c r="BA144" t="s">
        <v>74</v>
      </c>
      <c r="BB144" t="s">
        <v>74</v>
      </c>
      <c r="BC144" t="s">
        <v>74</v>
      </c>
      <c r="BD144">
        <v>145011</v>
      </c>
      <c r="BE144" t="s">
        <v>2446</v>
      </c>
      <c r="BF144" t="str">
        <f>HYPERLINK("http://dx.doi.org/10.1088/1361-6560/ab26ce","http://dx.doi.org/10.1088/1361-6560/ab26ce")</f>
        <v>http://dx.doi.org/10.1088/1361-6560/ab26ce</v>
      </c>
      <c r="BG144" t="s">
        <v>74</v>
      </c>
      <c r="BH144" t="s">
        <v>74</v>
      </c>
      <c r="BI144">
        <v>12</v>
      </c>
      <c r="BJ144" t="s">
        <v>101</v>
      </c>
      <c r="BK144" t="s">
        <v>102</v>
      </c>
      <c r="BL144" t="s">
        <v>103</v>
      </c>
      <c r="BM144" t="s">
        <v>233</v>
      </c>
      <c r="BN144">
        <v>31163408</v>
      </c>
      <c r="BO144" t="s">
        <v>105</v>
      </c>
      <c r="BP144" t="s">
        <v>74</v>
      </c>
      <c r="BQ144" t="s">
        <v>74</v>
      </c>
      <c r="BR144" t="s">
        <v>106</v>
      </c>
      <c r="BS144" t="s">
        <v>2447</v>
      </c>
      <c r="BT144" t="str">
        <f>HYPERLINK("https%3A%2F%2Fwww.webofscience.com%2Fwos%2Fwoscc%2Ffull-record%2FWOS:000475775200004","View Full Record in Web of Science")</f>
        <v>View Full Record in Web of Science</v>
      </c>
    </row>
    <row r="145" spans="1:72" x14ac:dyDescent="0.25">
      <c r="A145" t="s">
        <v>72</v>
      </c>
      <c r="B145" t="s">
        <v>2448</v>
      </c>
      <c r="C145" t="s">
        <v>74</v>
      </c>
      <c r="D145" t="s">
        <v>74</v>
      </c>
      <c r="E145" t="s">
        <v>74</v>
      </c>
      <c r="F145" t="s">
        <v>2449</v>
      </c>
      <c r="G145" t="s">
        <v>74</v>
      </c>
      <c r="H145" t="s">
        <v>74</v>
      </c>
      <c r="I145" t="s">
        <v>2450</v>
      </c>
      <c r="J145" t="s">
        <v>77</v>
      </c>
      <c r="K145" t="s">
        <v>74</v>
      </c>
      <c r="L145" t="s">
        <v>74</v>
      </c>
      <c r="M145" t="s">
        <v>78</v>
      </c>
      <c r="N145" t="s">
        <v>79</v>
      </c>
      <c r="O145" t="s">
        <v>74</v>
      </c>
      <c r="P145" t="s">
        <v>74</v>
      </c>
      <c r="Q145" t="s">
        <v>74</v>
      </c>
      <c r="R145" t="s">
        <v>74</v>
      </c>
      <c r="S145" t="s">
        <v>74</v>
      </c>
      <c r="T145" t="s">
        <v>2451</v>
      </c>
      <c r="U145" t="s">
        <v>2452</v>
      </c>
      <c r="V145" t="s">
        <v>2453</v>
      </c>
      <c r="W145" t="s">
        <v>2454</v>
      </c>
      <c r="X145" t="s">
        <v>2455</v>
      </c>
      <c r="Y145" t="s">
        <v>2456</v>
      </c>
      <c r="Z145" t="s">
        <v>2457</v>
      </c>
      <c r="AA145" t="s">
        <v>2458</v>
      </c>
      <c r="AB145" t="s">
        <v>2459</v>
      </c>
      <c r="AC145" t="s">
        <v>2460</v>
      </c>
      <c r="AD145" t="s">
        <v>2461</v>
      </c>
      <c r="AE145" t="s">
        <v>2462</v>
      </c>
      <c r="AF145" t="s">
        <v>74</v>
      </c>
      <c r="AG145">
        <v>37</v>
      </c>
      <c r="AH145">
        <v>8</v>
      </c>
      <c r="AI145">
        <v>9</v>
      </c>
      <c r="AJ145">
        <v>1</v>
      </c>
      <c r="AK145">
        <v>23</v>
      </c>
      <c r="AL145" t="s">
        <v>92</v>
      </c>
      <c r="AM145" t="s">
        <v>93</v>
      </c>
      <c r="AN145" t="s">
        <v>94</v>
      </c>
      <c r="AO145" t="s">
        <v>95</v>
      </c>
      <c r="AP145" t="s">
        <v>96</v>
      </c>
      <c r="AQ145" t="s">
        <v>74</v>
      </c>
      <c r="AR145" t="s">
        <v>97</v>
      </c>
      <c r="AS145" t="s">
        <v>98</v>
      </c>
      <c r="AT145" t="s">
        <v>370</v>
      </c>
      <c r="AU145">
        <v>2019</v>
      </c>
      <c r="AV145">
        <v>64</v>
      </c>
      <c r="AW145">
        <v>10</v>
      </c>
      <c r="AX145" t="s">
        <v>74</v>
      </c>
      <c r="AY145" t="s">
        <v>74</v>
      </c>
      <c r="AZ145" t="s">
        <v>74</v>
      </c>
      <c r="BA145" t="s">
        <v>74</v>
      </c>
      <c r="BB145" t="s">
        <v>74</v>
      </c>
      <c r="BC145" t="s">
        <v>74</v>
      </c>
      <c r="BD145">
        <v>105018</v>
      </c>
      <c r="BE145" t="s">
        <v>2463</v>
      </c>
      <c r="BF145" t="str">
        <f>HYPERLINK("http://dx.doi.org/10.1088/1361-6560/ab1614","http://dx.doi.org/10.1088/1361-6560/ab1614")</f>
        <v>http://dx.doi.org/10.1088/1361-6560/ab1614</v>
      </c>
      <c r="BG145" t="s">
        <v>74</v>
      </c>
      <c r="BH145" t="s">
        <v>74</v>
      </c>
      <c r="BI145">
        <v>11</v>
      </c>
      <c r="BJ145" t="s">
        <v>101</v>
      </c>
      <c r="BK145" t="s">
        <v>102</v>
      </c>
      <c r="BL145" t="s">
        <v>103</v>
      </c>
      <c r="BM145" t="s">
        <v>1845</v>
      </c>
      <c r="BN145">
        <v>30947155</v>
      </c>
      <c r="BO145" t="s">
        <v>74</v>
      </c>
      <c r="BP145" t="s">
        <v>74</v>
      </c>
      <c r="BQ145" t="s">
        <v>74</v>
      </c>
      <c r="BR145" t="s">
        <v>106</v>
      </c>
      <c r="BS145" t="s">
        <v>2464</v>
      </c>
      <c r="BT145" t="str">
        <f>HYPERLINK("https%3A%2F%2Fwww.webofscience.com%2Fwos%2Fwoscc%2Ffull-record%2FWOS:000468283500003","View Full Record in Web of Science")</f>
        <v>View Full Record in Web of Science</v>
      </c>
    </row>
    <row r="146" spans="1:72" x14ac:dyDescent="0.25">
      <c r="A146" t="s">
        <v>72</v>
      </c>
      <c r="B146" t="s">
        <v>2465</v>
      </c>
      <c r="C146" t="s">
        <v>74</v>
      </c>
      <c r="D146" t="s">
        <v>74</v>
      </c>
      <c r="E146" t="s">
        <v>74</v>
      </c>
      <c r="F146" t="s">
        <v>2466</v>
      </c>
      <c r="G146" t="s">
        <v>74</v>
      </c>
      <c r="H146" t="s">
        <v>74</v>
      </c>
      <c r="I146" t="s">
        <v>2467</v>
      </c>
      <c r="J146" t="s">
        <v>77</v>
      </c>
      <c r="K146" t="s">
        <v>74</v>
      </c>
      <c r="L146" t="s">
        <v>74</v>
      </c>
      <c r="M146" t="s">
        <v>78</v>
      </c>
      <c r="N146" t="s">
        <v>79</v>
      </c>
      <c r="O146" t="s">
        <v>74</v>
      </c>
      <c r="P146" t="s">
        <v>74</v>
      </c>
      <c r="Q146" t="s">
        <v>74</v>
      </c>
      <c r="R146" t="s">
        <v>74</v>
      </c>
      <c r="S146" t="s">
        <v>74</v>
      </c>
      <c r="T146" t="s">
        <v>2468</v>
      </c>
      <c r="U146" t="s">
        <v>2469</v>
      </c>
      <c r="V146" t="s">
        <v>2470</v>
      </c>
      <c r="W146" t="s">
        <v>2471</v>
      </c>
      <c r="X146" t="s">
        <v>2472</v>
      </c>
      <c r="Y146" t="s">
        <v>2473</v>
      </c>
      <c r="Z146" t="s">
        <v>2474</v>
      </c>
      <c r="AA146" t="s">
        <v>2475</v>
      </c>
      <c r="AB146" t="s">
        <v>2476</v>
      </c>
      <c r="AC146" t="s">
        <v>2477</v>
      </c>
      <c r="AD146" t="s">
        <v>2478</v>
      </c>
      <c r="AE146" t="s">
        <v>2479</v>
      </c>
      <c r="AF146" t="s">
        <v>74</v>
      </c>
      <c r="AG146">
        <v>46</v>
      </c>
      <c r="AH146">
        <v>19</v>
      </c>
      <c r="AI146">
        <v>22</v>
      </c>
      <c r="AJ146">
        <v>1</v>
      </c>
      <c r="AK146">
        <v>17</v>
      </c>
      <c r="AL146" t="s">
        <v>92</v>
      </c>
      <c r="AM146" t="s">
        <v>93</v>
      </c>
      <c r="AN146" t="s">
        <v>94</v>
      </c>
      <c r="AO146" t="s">
        <v>95</v>
      </c>
      <c r="AP146" t="s">
        <v>96</v>
      </c>
      <c r="AQ146" t="s">
        <v>74</v>
      </c>
      <c r="AR146" t="s">
        <v>97</v>
      </c>
      <c r="AS146" t="s">
        <v>98</v>
      </c>
      <c r="AT146" t="s">
        <v>370</v>
      </c>
      <c r="AU146">
        <v>2019</v>
      </c>
      <c r="AV146">
        <v>64</v>
      </c>
      <c r="AW146">
        <v>9</v>
      </c>
      <c r="AX146" t="s">
        <v>74</v>
      </c>
      <c r="AY146" t="s">
        <v>74</v>
      </c>
      <c r="AZ146" t="s">
        <v>74</v>
      </c>
      <c r="BA146" t="s">
        <v>74</v>
      </c>
      <c r="BB146" t="s">
        <v>74</v>
      </c>
      <c r="BC146" t="s">
        <v>74</v>
      </c>
      <c r="BD146">
        <v>95025</v>
      </c>
      <c r="BE146" t="s">
        <v>2480</v>
      </c>
      <c r="BF146" t="str">
        <f>HYPERLINK("http://dx.doi.org/10.1088/1361-6560/ab1145","http://dx.doi.org/10.1088/1361-6560/ab1145")</f>
        <v>http://dx.doi.org/10.1088/1361-6560/ab1145</v>
      </c>
      <c r="BG146" t="s">
        <v>74</v>
      </c>
      <c r="BH146" t="s">
        <v>74</v>
      </c>
      <c r="BI146">
        <v>12</v>
      </c>
      <c r="BJ146" t="s">
        <v>101</v>
      </c>
      <c r="BK146" t="s">
        <v>102</v>
      </c>
      <c r="BL146" t="s">
        <v>103</v>
      </c>
      <c r="BM146" t="s">
        <v>610</v>
      </c>
      <c r="BN146">
        <v>30893669</v>
      </c>
      <c r="BO146" t="s">
        <v>74</v>
      </c>
      <c r="BP146" t="s">
        <v>74</v>
      </c>
      <c r="BQ146" t="s">
        <v>74</v>
      </c>
      <c r="BR146" t="s">
        <v>106</v>
      </c>
      <c r="BS146" t="s">
        <v>2481</v>
      </c>
      <c r="BT146" t="str">
        <f>HYPERLINK("https%3A%2F%2Fwww.webofscience.com%2Fwos%2Fwoscc%2Ffull-record%2FWOS:000466862700004","View Full Record in Web of Science")</f>
        <v>View Full Record in Web of Science</v>
      </c>
    </row>
    <row r="147" spans="1:72" x14ac:dyDescent="0.25">
      <c r="A147" t="s">
        <v>72</v>
      </c>
      <c r="B147" t="s">
        <v>2482</v>
      </c>
      <c r="C147" t="s">
        <v>74</v>
      </c>
      <c r="D147" t="s">
        <v>74</v>
      </c>
      <c r="E147" t="s">
        <v>74</v>
      </c>
      <c r="F147" t="s">
        <v>2483</v>
      </c>
      <c r="G147" t="s">
        <v>74</v>
      </c>
      <c r="H147" t="s">
        <v>74</v>
      </c>
      <c r="I147" t="s">
        <v>2484</v>
      </c>
      <c r="J147" t="s">
        <v>77</v>
      </c>
      <c r="K147" t="s">
        <v>74</v>
      </c>
      <c r="L147" t="s">
        <v>74</v>
      </c>
      <c r="M147" t="s">
        <v>78</v>
      </c>
      <c r="N147" t="s">
        <v>79</v>
      </c>
      <c r="O147" t="s">
        <v>74</v>
      </c>
      <c r="P147" t="s">
        <v>74</v>
      </c>
      <c r="Q147" t="s">
        <v>74</v>
      </c>
      <c r="R147" t="s">
        <v>74</v>
      </c>
      <c r="S147" t="s">
        <v>74</v>
      </c>
      <c r="T147" t="s">
        <v>2485</v>
      </c>
      <c r="U147" t="s">
        <v>2486</v>
      </c>
      <c r="V147" t="s">
        <v>2487</v>
      </c>
      <c r="W147" t="s">
        <v>2488</v>
      </c>
      <c r="X147" t="s">
        <v>2489</v>
      </c>
      <c r="Y147" t="s">
        <v>2490</v>
      </c>
      <c r="Z147" t="s">
        <v>2491</v>
      </c>
      <c r="AA147" t="s">
        <v>2492</v>
      </c>
      <c r="AB147" t="s">
        <v>2493</v>
      </c>
      <c r="AC147" t="s">
        <v>2494</v>
      </c>
      <c r="AD147" t="s">
        <v>2495</v>
      </c>
      <c r="AE147" t="s">
        <v>2496</v>
      </c>
      <c r="AF147" t="s">
        <v>74</v>
      </c>
      <c r="AG147">
        <v>23</v>
      </c>
      <c r="AH147">
        <v>2</v>
      </c>
      <c r="AI147">
        <v>2</v>
      </c>
      <c r="AJ147">
        <v>1</v>
      </c>
      <c r="AK147">
        <v>2</v>
      </c>
      <c r="AL147" t="s">
        <v>92</v>
      </c>
      <c r="AM147" t="s">
        <v>93</v>
      </c>
      <c r="AN147" t="s">
        <v>94</v>
      </c>
      <c r="AO147" t="s">
        <v>95</v>
      </c>
      <c r="AP147" t="s">
        <v>96</v>
      </c>
      <c r="AQ147" t="s">
        <v>74</v>
      </c>
      <c r="AR147" t="s">
        <v>97</v>
      </c>
      <c r="AS147" t="s">
        <v>98</v>
      </c>
      <c r="AT147" t="s">
        <v>370</v>
      </c>
      <c r="AU147">
        <v>2019</v>
      </c>
      <c r="AV147">
        <v>64</v>
      </c>
      <c r="AW147">
        <v>10</v>
      </c>
      <c r="AX147" t="s">
        <v>74</v>
      </c>
      <c r="AY147" t="s">
        <v>74</v>
      </c>
      <c r="AZ147" t="s">
        <v>74</v>
      </c>
      <c r="BA147" t="s">
        <v>74</v>
      </c>
      <c r="BB147" t="s">
        <v>74</v>
      </c>
      <c r="BC147" t="s">
        <v>74</v>
      </c>
      <c r="BD147" t="s">
        <v>2497</v>
      </c>
      <c r="BE147" t="s">
        <v>2498</v>
      </c>
      <c r="BF147" t="str">
        <f>HYPERLINK("http://dx.doi.org/10.1088/1361-6560/ab1ce8","http://dx.doi.org/10.1088/1361-6560/ab1ce8")</f>
        <v>http://dx.doi.org/10.1088/1361-6560/ab1ce8</v>
      </c>
      <c r="BG147" t="s">
        <v>74</v>
      </c>
      <c r="BH147" t="s">
        <v>74</v>
      </c>
      <c r="BI147">
        <v>9</v>
      </c>
      <c r="BJ147" t="s">
        <v>101</v>
      </c>
      <c r="BK147" t="s">
        <v>102</v>
      </c>
      <c r="BL147" t="s">
        <v>103</v>
      </c>
      <c r="BM147" t="s">
        <v>2499</v>
      </c>
      <c r="BN147">
        <v>31026853</v>
      </c>
      <c r="BO147" t="s">
        <v>105</v>
      </c>
      <c r="BP147" t="s">
        <v>74</v>
      </c>
      <c r="BQ147" t="s">
        <v>74</v>
      </c>
      <c r="BR147" t="s">
        <v>106</v>
      </c>
      <c r="BS147" t="s">
        <v>2500</v>
      </c>
      <c r="BT147" t="str">
        <f>HYPERLINK("https%3A%2F%2Fwww.webofscience.com%2Fwos%2Fwoscc%2Ffull-record%2FWOS:000468635200001","View Full Record in Web of Science")</f>
        <v>View Full Record in Web of Science</v>
      </c>
    </row>
    <row r="148" spans="1:72" x14ac:dyDescent="0.25">
      <c r="A148" t="s">
        <v>72</v>
      </c>
      <c r="B148" t="s">
        <v>2501</v>
      </c>
      <c r="C148" t="s">
        <v>74</v>
      </c>
      <c r="D148" t="s">
        <v>74</v>
      </c>
      <c r="E148" t="s">
        <v>74</v>
      </c>
      <c r="F148" t="s">
        <v>2502</v>
      </c>
      <c r="G148" t="s">
        <v>74</v>
      </c>
      <c r="H148" t="s">
        <v>74</v>
      </c>
      <c r="I148" t="s">
        <v>2503</v>
      </c>
      <c r="J148" t="s">
        <v>77</v>
      </c>
      <c r="K148" t="s">
        <v>74</v>
      </c>
      <c r="L148" t="s">
        <v>74</v>
      </c>
      <c r="M148" t="s">
        <v>78</v>
      </c>
      <c r="N148" t="s">
        <v>79</v>
      </c>
      <c r="O148" t="s">
        <v>74</v>
      </c>
      <c r="P148" t="s">
        <v>74</v>
      </c>
      <c r="Q148" t="s">
        <v>74</v>
      </c>
      <c r="R148" t="s">
        <v>74</v>
      </c>
      <c r="S148" t="s">
        <v>74</v>
      </c>
      <c r="T148" t="s">
        <v>2504</v>
      </c>
      <c r="U148" t="s">
        <v>2505</v>
      </c>
      <c r="V148" t="s">
        <v>2506</v>
      </c>
      <c r="W148" t="s">
        <v>2507</v>
      </c>
      <c r="X148" t="s">
        <v>2508</v>
      </c>
      <c r="Y148" t="s">
        <v>2509</v>
      </c>
      <c r="Z148" t="s">
        <v>2510</v>
      </c>
      <c r="AA148" t="s">
        <v>74</v>
      </c>
      <c r="AB148" t="s">
        <v>2511</v>
      </c>
      <c r="AC148" t="s">
        <v>74</v>
      </c>
      <c r="AD148" t="s">
        <v>74</v>
      </c>
      <c r="AE148" t="s">
        <v>74</v>
      </c>
      <c r="AF148" t="s">
        <v>74</v>
      </c>
      <c r="AG148">
        <v>33</v>
      </c>
      <c r="AH148">
        <v>6</v>
      </c>
      <c r="AI148">
        <v>6</v>
      </c>
      <c r="AJ148">
        <v>1</v>
      </c>
      <c r="AK148">
        <v>20</v>
      </c>
      <c r="AL148" t="s">
        <v>92</v>
      </c>
      <c r="AM148" t="s">
        <v>93</v>
      </c>
      <c r="AN148" t="s">
        <v>94</v>
      </c>
      <c r="AO148" t="s">
        <v>95</v>
      </c>
      <c r="AP148" t="s">
        <v>96</v>
      </c>
      <c r="AQ148" t="s">
        <v>74</v>
      </c>
      <c r="AR148" t="s">
        <v>97</v>
      </c>
      <c r="AS148" t="s">
        <v>98</v>
      </c>
      <c r="AT148" t="s">
        <v>370</v>
      </c>
      <c r="AU148">
        <v>2019</v>
      </c>
      <c r="AV148">
        <v>64</v>
      </c>
      <c r="AW148">
        <v>9</v>
      </c>
      <c r="AX148" t="s">
        <v>74</v>
      </c>
      <c r="AY148" t="s">
        <v>74</v>
      </c>
      <c r="AZ148" t="s">
        <v>74</v>
      </c>
      <c r="BA148" t="s">
        <v>74</v>
      </c>
      <c r="BB148" t="s">
        <v>74</v>
      </c>
      <c r="BC148" t="s">
        <v>74</v>
      </c>
      <c r="BD148">
        <v>95009</v>
      </c>
      <c r="BE148" t="s">
        <v>2512</v>
      </c>
      <c r="BF148" t="str">
        <f>HYPERLINK("http://dx.doi.org/10.1088/1361-6560/ab0dda","http://dx.doi.org/10.1088/1361-6560/ab0dda")</f>
        <v>http://dx.doi.org/10.1088/1361-6560/ab0dda</v>
      </c>
      <c r="BG148" t="s">
        <v>74</v>
      </c>
      <c r="BH148" t="s">
        <v>74</v>
      </c>
      <c r="BI148">
        <v>16</v>
      </c>
      <c r="BJ148" t="s">
        <v>101</v>
      </c>
      <c r="BK148" t="s">
        <v>102</v>
      </c>
      <c r="BL148" t="s">
        <v>103</v>
      </c>
      <c r="BM148" t="s">
        <v>2513</v>
      </c>
      <c r="BN148">
        <v>30844769</v>
      </c>
      <c r="BO148" t="s">
        <v>74</v>
      </c>
      <c r="BP148" t="s">
        <v>74</v>
      </c>
      <c r="BQ148" t="s">
        <v>74</v>
      </c>
      <c r="BR148" t="s">
        <v>106</v>
      </c>
      <c r="BS148" t="s">
        <v>2514</v>
      </c>
      <c r="BT148" t="str">
        <f>HYPERLINK("https%3A%2F%2Fwww.webofscience.com%2Fwos%2Fwoscc%2Ffull-record%2FWOS:000466721700001","View Full Record in Web of Science")</f>
        <v>View Full Record in Web of Science</v>
      </c>
    </row>
    <row r="149" spans="1:72" x14ac:dyDescent="0.25">
      <c r="A149" t="s">
        <v>72</v>
      </c>
      <c r="B149" t="s">
        <v>2515</v>
      </c>
      <c r="C149" t="s">
        <v>74</v>
      </c>
      <c r="D149" t="s">
        <v>74</v>
      </c>
      <c r="E149" t="s">
        <v>74</v>
      </c>
      <c r="F149" t="s">
        <v>2516</v>
      </c>
      <c r="G149" t="s">
        <v>74</v>
      </c>
      <c r="H149" t="s">
        <v>74</v>
      </c>
      <c r="I149" t="s">
        <v>2517</v>
      </c>
      <c r="J149" t="s">
        <v>77</v>
      </c>
      <c r="K149" t="s">
        <v>74</v>
      </c>
      <c r="L149" t="s">
        <v>74</v>
      </c>
      <c r="M149" t="s">
        <v>78</v>
      </c>
      <c r="N149" t="s">
        <v>79</v>
      </c>
      <c r="O149" t="s">
        <v>74</v>
      </c>
      <c r="P149" t="s">
        <v>74</v>
      </c>
      <c r="Q149" t="s">
        <v>74</v>
      </c>
      <c r="R149" t="s">
        <v>74</v>
      </c>
      <c r="S149" t="s">
        <v>74</v>
      </c>
      <c r="T149" t="s">
        <v>2518</v>
      </c>
      <c r="U149" t="s">
        <v>2519</v>
      </c>
      <c r="V149" t="s">
        <v>2520</v>
      </c>
      <c r="W149" t="s">
        <v>2521</v>
      </c>
      <c r="X149" t="s">
        <v>2522</v>
      </c>
      <c r="Y149" t="s">
        <v>2523</v>
      </c>
      <c r="Z149" t="s">
        <v>2524</v>
      </c>
      <c r="AA149" t="s">
        <v>2525</v>
      </c>
      <c r="AB149" t="s">
        <v>2526</v>
      </c>
      <c r="AC149" t="s">
        <v>2527</v>
      </c>
      <c r="AD149" t="s">
        <v>2527</v>
      </c>
      <c r="AE149" t="s">
        <v>2528</v>
      </c>
      <c r="AF149" t="s">
        <v>74</v>
      </c>
      <c r="AG149">
        <v>17</v>
      </c>
      <c r="AH149">
        <v>22</v>
      </c>
      <c r="AI149">
        <v>22</v>
      </c>
      <c r="AJ149">
        <v>0</v>
      </c>
      <c r="AK149">
        <v>4</v>
      </c>
      <c r="AL149" t="s">
        <v>92</v>
      </c>
      <c r="AM149" t="s">
        <v>93</v>
      </c>
      <c r="AN149" t="s">
        <v>94</v>
      </c>
      <c r="AO149" t="s">
        <v>95</v>
      </c>
      <c r="AP149" t="s">
        <v>96</v>
      </c>
      <c r="AQ149" t="s">
        <v>74</v>
      </c>
      <c r="AR149" t="s">
        <v>97</v>
      </c>
      <c r="AS149" t="s">
        <v>98</v>
      </c>
      <c r="AT149" t="s">
        <v>370</v>
      </c>
      <c r="AU149">
        <v>2019</v>
      </c>
      <c r="AV149">
        <v>64</v>
      </c>
      <c r="AW149">
        <v>9</v>
      </c>
      <c r="AX149" t="s">
        <v>74</v>
      </c>
      <c r="AY149" t="s">
        <v>74</v>
      </c>
      <c r="AZ149" t="s">
        <v>74</v>
      </c>
      <c r="BA149" t="s">
        <v>74</v>
      </c>
      <c r="BB149" t="s">
        <v>74</v>
      </c>
      <c r="BC149" t="s">
        <v>74</v>
      </c>
      <c r="BD149">
        <v>95021</v>
      </c>
      <c r="BE149" t="s">
        <v>2529</v>
      </c>
      <c r="BF149" t="str">
        <f>HYPERLINK("http://dx.doi.org/10.1088/1361-6560/ab120c","http://dx.doi.org/10.1088/1361-6560/ab120c")</f>
        <v>http://dx.doi.org/10.1088/1361-6560/ab120c</v>
      </c>
      <c r="BG149" t="s">
        <v>74</v>
      </c>
      <c r="BH149" t="s">
        <v>74</v>
      </c>
      <c r="BI149">
        <v>11</v>
      </c>
      <c r="BJ149" t="s">
        <v>101</v>
      </c>
      <c r="BK149" t="s">
        <v>102</v>
      </c>
      <c r="BL149" t="s">
        <v>103</v>
      </c>
      <c r="BM149" t="s">
        <v>372</v>
      </c>
      <c r="BN149">
        <v>30897559</v>
      </c>
      <c r="BO149" t="s">
        <v>179</v>
      </c>
      <c r="BP149" t="s">
        <v>74</v>
      </c>
      <c r="BQ149" t="s">
        <v>74</v>
      </c>
      <c r="BR149" t="s">
        <v>106</v>
      </c>
      <c r="BS149" t="s">
        <v>2530</v>
      </c>
      <c r="BT149" t="str">
        <f>HYPERLINK("https%3A%2F%2Fwww.webofscience.com%2Fwos%2Fwoscc%2Ffull-record%2FWOS:000466572600008","View Full Record in Web of Science")</f>
        <v>View Full Record in Web of Science</v>
      </c>
    </row>
    <row r="150" spans="1:72" x14ac:dyDescent="0.25">
      <c r="A150" t="s">
        <v>72</v>
      </c>
      <c r="B150" t="s">
        <v>2531</v>
      </c>
      <c r="C150" t="s">
        <v>74</v>
      </c>
      <c r="D150" t="s">
        <v>74</v>
      </c>
      <c r="E150" t="s">
        <v>74</v>
      </c>
      <c r="F150" t="s">
        <v>2532</v>
      </c>
      <c r="G150" t="s">
        <v>74</v>
      </c>
      <c r="H150" t="s">
        <v>74</v>
      </c>
      <c r="I150" t="s">
        <v>2533</v>
      </c>
      <c r="J150" t="s">
        <v>77</v>
      </c>
      <c r="K150" t="s">
        <v>74</v>
      </c>
      <c r="L150" t="s">
        <v>74</v>
      </c>
      <c r="M150" t="s">
        <v>78</v>
      </c>
      <c r="N150" t="s">
        <v>79</v>
      </c>
      <c r="O150" t="s">
        <v>74</v>
      </c>
      <c r="P150" t="s">
        <v>74</v>
      </c>
      <c r="Q150" t="s">
        <v>74</v>
      </c>
      <c r="R150" t="s">
        <v>74</v>
      </c>
      <c r="S150" t="s">
        <v>74</v>
      </c>
      <c r="T150" t="s">
        <v>2534</v>
      </c>
      <c r="U150" t="s">
        <v>2535</v>
      </c>
      <c r="V150" t="s">
        <v>2536</v>
      </c>
      <c r="W150" t="s">
        <v>2537</v>
      </c>
      <c r="X150" t="s">
        <v>2538</v>
      </c>
      <c r="Y150" t="s">
        <v>2539</v>
      </c>
      <c r="Z150" t="s">
        <v>2540</v>
      </c>
      <c r="AA150" t="s">
        <v>2541</v>
      </c>
      <c r="AB150" t="s">
        <v>2542</v>
      </c>
      <c r="AC150" t="s">
        <v>2543</v>
      </c>
      <c r="AD150" t="s">
        <v>2544</v>
      </c>
      <c r="AE150" t="s">
        <v>2545</v>
      </c>
      <c r="AF150" t="s">
        <v>74</v>
      </c>
      <c r="AG150">
        <v>20</v>
      </c>
      <c r="AH150">
        <v>5</v>
      </c>
      <c r="AI150">
        <v>6</v>
      </c>
      <c r="AJ150">
        <v>0</v>
      </c>
      <c r="AK150">
        <v>19</v>
      </c>
      <c r="AL150" t="s">
        <v>92</v>
      </c>
      <c r="AM150" t="s">
        <v>93</v>
      </c>
      <c r="AN150" t="s">
        <v>94</v>
      </c>
      <c r="AO150" t="s">
        <v>95</v>
      </c>
      <c r="AP150" t="s">
        <v>96</v>
      </c>
      <c r="AQ150" t="s">
        <v>74</v>
      </c>
      <c r="AR150" t="s">
        <v>97</v>
      </c>
      <c r="AS150" t="s">
        <v>98</v>
      </c>
      <c r="AT150" t="s">
        <v>386</v>
      </c>
      <c r="AU150">
        <v>2019</v>
      </c>
      <c r="AV150">
        <v>64</v>
      </c>
      <c r="AW150">
        <v>7</v>
      </c>
      <c r="AX150" t="s">
        <v>74</v>
      </c>
      <c r="AY150" t="s">
        <v>74</v>
      </c>
      <c r="AZ150" t="s">
        <v>74</v>
      </c>
      <c r="BA150" t="s">
        <v>74</v>
      </c>
      <c r="BB150" t="s">
        <v>74</v>
      </c>
      <c r="BC150" t="s">
        <v>74</v>
      </c>
      <c r="BD150" t="s">
        <v>2546</v>
      </c>
      <c r="BE150" t="s">
        <v>2547</v>
      </c>
      <c r="BF150" t="str">
        <f>HYPERLINK("http://dx.doi.org/10.1088/1361-6560/ab065d","http://dx.doi.org/10.1088/1361-6560/ab065d")</f>
        <v>http://dx.doi.org/10.1088/1361-6560/ab065d</v>
      </c>
      <c r="BG150" t="s">
        <v>74</v>
      </c>
      <c r="BH150" t="s">
        <v>74</v>
      </c>
      <c r="BI150">
        <v>12</v>
      </c>
      <c r="BJ150" t="s">
        <v>101</v>
      </c>
      <c r="BK150" t="s">
        <v>102</v>
      </c>
      <c r="BL150" t="s">
        <v>103</v>
      </c>
      <c r="BM150" t="s">
        <v>2548</v>
      </c>
      <c r="BN150">
        <v>30754038</v>
      </c>
      <c r="BO150" t="s">
        <v>74</v>
      </c>
      <c r="BP150" t="s">
        <v>74</v>
      </c>
      <c r="BQ150" t="s">
        <v>74</v>
      </c>
      <c r="BR150" t="s">
        <v>106</v>
      </c>
      <c r="BS150" t="s">
        <v>2549</v>
      </c>
      <c r="BT150" t="str">
        <f>HYPERLINK("https%3A%2F%2Fwww.webofscience.com%2Fwos%2Fwoscc%2Ffull-record%2FWOS:000462743000001","View Full Record in Web of Science")</f>
        <v>View Full Record in Web of Science</v>
      </c>
    </row>
    <row r="151" spans="1:72" x14ac:dyDescent="0.25">
      <c r="A151" t="s">
        <v>72</v>
      </c>
      <c r="B151" t="s">
        <v>2550</v>
      </c>
      <c r="C151" t="s">
        <v>74</v>
      </c>
      <c r="D151" t="s">
        <v>74</v>
      </c>
      <c r="E151" t="s">
        <v>74</v>
      </c>
      <c r="F151" t="s">
        <v>2551</v>
      </c>
      <c r="G151" t="s">
        <v>74</v>
      </c>
      <c r="H151" t="s">
        <v>74</v>
      </c>
      <c r="I151" t="s">
        <v>2552</v>
      </c>
      <c r="J151" t="s">
        <v>77</v>
      </c>
      <c r="K151" t="s">
        <v>74</v>
      </c>
      <c r="L151" t="s">
        <v>74</v>
      </c>
      <c r="M151" t="s">
        <v>78</v>
      </c>
      <c r="N151" t="s">
        <v>79</v>
      </c>
      <c r="O151" t="s">
        <v>74</v>
      </c>
      <c r="P151" t="s">
        <v>74</v>
      </c>
      <c r="Q151" t="s">
        <v>74</v>
      </c>
      <c r="R151" t="s">
        <v>74</v>
      </c>
      <c r="S151" t="s">
        <v>74</v>
      </c>
      <c r="T151" t="s">
        <v>2553</v>
      </c>
      <c r="U151" t="s">
        <v>2554</v>
      </c>
      <c r="V151" t="s">
        <v>2555</v>
      </c>
      <c r="W151" t="s">
        <v>2556</v>
      </c>
      <c r="X151" t="s">
        <v>2557</v>
      </c>
      <c r="Y151" t="s">
        <v>2558</v>
      </c>
      <c r="Z151" t="s">
        <v>2559</v>
      </c>
      <c r="AA151" t="s">
        <v>74</v>
      </c>
      <c r="AB151" t="s">
        <v>74</v>
      </c>
      <c r="AC151" t="s">
        <v>2560</v>
      </c>
      <c r="AD151" t="s">
        <v>2561</v>
      </c>
      <c r="AE151" t="s">
        <v>2562</v>
      </c>
      <c r="AF151" t="s">
        <v>74</v>
      </c>
      <c r="AG151">
        <v>22</v>
      </c>
      <c r="AH151">
        <v>4</v>
      </c>
      <c r="AI151">
        <v>5</v>
      </c>
      <c r="AJ151">
        <v>0</v>
      </c>
      <c r="AK151">
        <v>0</v>
      </c>
      <c r="AL151" t="s">
        <v>157</v>
      </c>
      <c r="AM151" t="s">
        <v>93</v>
      </c>
      <c r="AN151" t="s">
        <v>94</v>
      </c>
      <c r="AO151" t="s">
        <v>95</v>
      </c>
      <c r="AP151" t="s">
        <v>96</v>
      </c>
      <c r="AQ151" t="s">
        <v>74</v>
      </c>
      <c r="AR151" t="s">
        <v>97</v>
      </c>
      <c r="AS151" t="s">
        <v>98</v>
      </c>
      <c r="AT151" t="s">
        <v>386</v>
      </c>
      <c r="AU151">
        <v>2019</v>
      </c>
      <c r="AV151">
        <v>64</v>
      </c>
      <c r="AW151">
        <v>7</v>
      </c>
      <c r="AX151" t="s">
        <v>74</v>
      </c>
      <c r="AY151" t="s">
        <v>74</v>
      </c>
      <c r="AZ151" t="s">
        <v>74</v>
      </c>
      <c r="BA151" t="s">
        <v>74</v>
      </c>
      <c r="BB151" t="s">
        <v>74</v>
      </c>
      <c r="BC151" t="s">
        <v>74</v>
      </c>
      <c r="BD151">
        <v>75017</v>
      </c>
      <c r="BE151" t="s">
        <v>2563</v>
      </c>
      <c r="BF151" t="str">
        <f>HYPERLINK("http://dx.doi.org/10.1088/1361-6560/ab0a2e","http://dx.doi.org/10.1088/1361-6560/ab0a2e")</f>
        <v>http://dx.doi.org/10.1088/1361-6560/ab0a2e</v>
      </c>
      <c r="BG151" t="s">
        <v>74</v>
      </c>
      <c r="BH151" t="s">
        <v>74</v>
      </c>
      <c r="BI151">
        <v>8</v>
      </c>
      <c r="BJ151" t="s">
        <v>101</v>
      </c>
      <c r="BK151" t="s">
        <v>102</v>
      </c>
      <c r="BL151" t="s">
        <v>103</v>
      </c>
      <c r="BM151" t="s">
        <v>874</v>
      </c>
      <c r="BN151">
        <v>30945663</v>
      </c>
      <c r="BO151" t="s">
        <v>270</v>
      </c>
      <c r="BP151" t="s">
        <v>74</v>
      </c>
      <c r="BQ151" t="s">
        <v>74</v>
      </c>
      <c r="BR151" t="s">
        <v>106</v>
      </c>
      <c r="BS151" t="s">
        <v>2564</v>
      </c>
      <c r="BT151" t="str">
        <f>HYPERLINK("https%3A%2F%2Fwww.webofscience.com%2Fwos%2Fwoscc%2Ffull-record%2FWOS:000463540400005","View Full Record in Web of Science")</f>
        <v>View Full Record in Web of Science</v>
      </c>
    </row>
    <row r="152" spans="1:72" x14ac:dyDescent="0.25">
      <c r="A152" t="s">
        <v>72</v>
      </c>
      <c r="B152" t="s">
        <v>2565</v>
      </c>
      <c r="C152" t="s">
        <v>74</v>
      </c>
      <c r="D152" t="s">
        <v>74</v>
      </c>
      <c r="E152" t="s">
        <v>74</v>
      </c>
      <c r="F152" t="s">
        <v>2566</v>
      </c>
      <c r="G152" t="s">
        <v>74</v>
      </c>
      <c r="H152" t="s">
        <v>74</v>
      </c>
      <c r="I152" t="s">
        <v>2567</v>
      </c>
      <c r="J152" t="s">
        <v>77</v>
      </c>
      <c r="K152" t="s">
        <v>74</v>
      </c>
      <c r="L152" t="s">
        <v>74</v>
      </c>
      <c r="M152" t="s">
        <v>78</v>
      </c>
      <c r="N152" t="s">
        <v>79</v>
      </c>
      <c r="O152" t="s">
        <v>74</v>
      </c>
      <c r="P152" t="s">
        <v>74</v>
      </c>
      <c r="Q152" t="s">
        <v>74</v>
      </c>
      <c r="R152" t="s">
        <v>74</v>
      </c>
      <c r="S152" t="s">
        <v>74</v>
      </c>
      <c r="T152" t="s">
        <v>2568</v>
      </c>
      <c r="U152" t="s">
        <v>2569</v>
      </c>
      <c r="V152" t="s">
        <v>2570</v>
      </c>
      <c r="W152" t="s">
        <v>2571</v>
      </c>
      <c r="X152" t="s">
        <v>2572</v>
      </c>
      <c r="Y152" t="s">
        <v>2573</v>
      </c>
      <c r="Z152" t="s">
        <v>2574</v>
      </c>
      <c r="AA152" t="s">
        <v>2575</v>
      </c>
      <c r="AB152" t="s">
        <v>2576</v>
      </c>
      <c r="AC152" t="s">
        <v>2577</v>
      </c>
      <c r="AD152" t="s">
        <v>2577</v>
      </c>
      <c r="AE152" t="s">
        <v>2578</v>
      </c>
      <c r="AF152" t="s">
        <v>74</v>
      </c>
      <c r="AG152">
        <v>57</v>
      </c>
      <c r="AH152">
        <v>49</v>
      </c>
      <c r="AI152">
        <v>50</v>
      </c>
      <c r="AJ152">
        <v>0</v>
      </c>
      <c r="AK152">
        <v>11</v>
      </c>
      <c r="AL152" t="s">
        <v>92</v>
      </c>
      <c r="AM152" t="s">
        <v>93</v>
      </c>
      <c r="AN152" t="s">
        <v>94</v>
      </c>
      <c r="AO152" t="s">
        <v>95</v>
      </c>
      <c r="AP152" t="s">
        <v>96</v>
      </c>
      <c r="AQ152" t="s">
        <v>74</v>
      </c>
      <c r="AR152" t="s">
        <v>97</v>
      </c>
      <c r="AS152" t="s">
        <v>98</v>
      </c>
      <c r="AT152" t="s">
        <v>386</v>
      </c>
      <c r="AU152">
        <v>2019</v>
      </c>
      <c r="AV152">
        <v>64</v>
      </c>
      <c r="AW152">
        <v>7</v>
      </c>
      <c r="AX152" t="s">
        <v>74</v>
      </c>
      <c r="AY152" t="s">
        <v>74</v>
      </c>
      <c r="AZ152" t="s">
        <v>74</v>
      </c>
      <c r="BA152" t="s">
        <v>74</v>
      </c>
      <c r="BB152" t="s">
        <v>74</v>
      </c>
      <c r="BC152" t="s">
        <v>74</v>
      </c>
      <c r="BD152">
        <v>75012</v>
      </c>
      <c r="BE152" t="s">
        <v>2579</v>
      </c>
      <c r="BF152" t="str">
        <f>HYPERLINK("http://dx.doi.org/10.1088/1361-6560/ab02cb","http://dx.doi.org/10.1088/1361-6560/ab02cb")</f>
        <v>http://dx.doi.org/10.1088/1361-6560/ab02cb</v>
      </c>
      <c r="BG152" t="s">
        <v>74</v>
      </c>
      <c r="BH152" t="s">
        <v>74</v>
      </c>
      <c r="BI152">
        <v>12</v>
      </c>
      <c r="BJ152" t="s">
        <v>101</v>
      </c>
      <c r="BK152" t="s">
        <v>102</v>
      </c>
      <c r="BL152" t="s">
        <v>103</v>
      </c>
      <c r="BM152" t="s">
        <v>2580</v>
      </c>
      <c r="BN152">
        <v>30695766</v>
      </c>
      <c r="BO152" t="s">
        <v>829</v>
      </c>
      <c r="BP152" t="s">
        <v>74</v>
      </c>
      <c r="BQ152" t="s">
        <v>74</v>
      </c>
      <c r="BR152" t="s">
        <v>106</v>
      </c>
      <c r="BS152" t="s">
        <v>2581</v>
      </c>
      <c r="BT152" t="str">
        <f>HYPERLINK("https%3A%2F%2Fwww.webofscience.com%2Fwos%2Fwoscc%2Ffull-record%2FWOS:000462887300004","View Full Record in Web of Science")</f>
        <v>View Full Record in Web of Science</v>
      </c>
    </row>
    <row r="153" spans="1:72" x14ac:dyDescent="0.25">
      <c r="A153" t="s">
        <v>72</v>
      </c>
      <c r="B153" t="s">
        <v>2582</v>
      </c>
      <c r="C153" t="s">
        <v>74</v>
      </c>
      <c r="D153" t="s">
        <v>74</v>
      </c>
      <c r="E153" t="s">
        <v>74</v>
      </c>
      <c r="F153" t="s">
        <v>2583</v>
      </c>
      <c r="G153" t="s">
        <v>74</v>
      </c>
      <c r="H153" t="s">
        <v>74</v>
      </c>
      <c r="I153" t="s">
        <v>2584</v>
      </c>
      <c r="J153" t="s">
        <v>77</v>
      </c>
      <c r="K153" t="s">
        <v>74</v>
      </c>
      <c r="L153" t="s">
        <v>74</v>
      </c>
      <c r="M153" t="s">
        <v>78</v>
      </c>
      <c r="N153" t="s">
        <v>79</v>
      </c>
      <c r="O153" t="s">
        <v>74</v>
      </c>
      <c r="P153" t="s">
        <v>74</v>
      </c>
      <c r="Q153" t="s">
        <v>74</v>
      </c>
      <c r="R153" t="s">
        <v>74</v>
      </c>
      <c r="S153" t="s">
        <v>74</v>
      </c>
      <c r="T153" t="s">
        <v>2585</v>
      </c>
      <c r="U153" t="s">
        <v>2586</v>
      </c>
      <c r="V153" t="s">
        <v>2587</v>
      </c>
      <c r="W153" t="s">
        <v>2588</v>
      </c>
      <c r="X153" t="s">
        <v>2589</v>
      </c>
      <c r="Y153" t="s">
        <v>2590</v>
      </c>
      <c r="Z153" t="s">
        <v>2591</v>
      </c>
      <c r="AA153" t="s">
        <v>2592</v>
      </c>
      <c r="AB153" t="s">
        <v>2593</v>
      </c>
      <c r="AC153" t="s">
        <v>2594</v>
      </c>
      <c r="AD153" t="s">
        <v>2595</v>
      </c>
      <c r="AE153" t="s">
        <v>2596</v>
      </c>
      <c r="AF153" t="s">
        <v>74</v>
      </c>
      <c r="AG153">
        <v>42</v>
      </c>
      <c r="AH153">
        <v>12</v>
      </c>
      <c r="AI153">
        <v>14</v>
      </c>
      <c r="AJ153">
        <v>0</v>
      </c>
      <c r="AK153">
        <v>28</v>
      </c>
      <c r="AL153" t="s">
        <v>92</v>
      </c>
      <c r="AM153" t="s">
        <v>93</v>
      </c>
      <c r="AN153" t="s">
        <v>94</v>
      </c>
      <c r="AO153" t="s">
        <v>95</v>
      </c>
      <c r="AP153" t="s">
        <v>96</v>
      </c>
      <c r="AQ153" t="s">
        <v>74</v>
      </c>
      <c r="AR153" t="s">
        <v>97</v>
      </c>
      <c r="AS153" t="s">
        <v>98</v>
      </c>
      <c r="AT153" t="s">
        <v>386</v>
      </c>
      <c r="AU153">
        <v>2019</v>
      </c>
      <c r="AV153">
        <v>64</v>
      </c>
      <c r="AW153">
        <v>8</v>
      </c>
      <c r="AX153" t="s">
        <v>74</v>
      </c>
      <c r="AY153" t="s">
        <v>74</v>
      </c>
      <c r="AZ153" t="s">
        <v>74</v>
      </c>
      <c r="BA153" t="s">
        <v>74</v>
      </c>
      <c r="BB153" t="s">
        <v>74</v>
      </c>
      <c r="BC153" t="s">
        <v>74</v>
      </c>
      <c r="BD153">
        <v>85012</v>
      </c>
      <c r="BE153" t="s">
        <v>2597</v>
      </c>
      <c r="BF153" t="str">
        <f>HYPERLINK("http://dx.doi.org/10.1088/1361-6560/ab1152","http://dx.doi.org/10.1088/1361-6560/ab1152")</f>
        <v>http://dx.doi.org/10.1088/1361-6560/ab1152</v>
      </c>
      <c r="BG153" t="s">
        <v>74</v>
      </c>
      <c r="BH153" t="s">
        <v>74</v>
      </c>
      <c r="BI153">
        <v>10</v>
      </c>
      <c r="BJ153" t="s">
        <v>101</v>
      </c>
      <c r="BK153" t="s">
        <v>102</v>
      </c>
      <c r="BL153" t="s">
        <v>103</v>
      </c>
      <c r="BM153" t="s">
        <v>2159</v>
      </c>
      <c r="BN153">
        <v>30893674</v>
      </c>
      <c r="BO153" t="s">
        <v>74</v>
      </c>
      <c r="BP153" t="s">
        <v>74</v>
      </c>
      <c r="BQ153" t="s">
        <v>74</v>
      </c>
      <c r="BR153" t="s">
        <v>106</v>
      </c>
      <c r="BS153" t="s">
        <v>2598</v>
      </c>
      <c r="BT153" t="str">
        <f>HYPERLINK("https%3A%2F%2Fwww.webofscience.com%2Fwos%2Fwoscc%2Ffull-record%2FWOS:000464179400004","View Full Record in Web of Science")</f>
        <v>View Full Record in Web of Science</v>
      </c>
    </row>
    <row r="154" spans="1:72" x14ac:dyDescent="0.25">
      <c r="A154" t="s">
        <v>72</v>
      </c>
      <c r="B154" t="s">
        <v>2599</v>
      </c>
      <c r="C154" t="s">
        <v>74</v>
      </c>
      <c r="D154" t="s">
        <v>74</v>
      </c>
      <c r="E154" t="s">
        <v>74</v>
      </c>
      <c r="F154" t="s">
        <v>2600</v>
      </c>
      <c r="G154" t="s">
        <v>74</v>
      </c>
      <c r="H154" t="s">
        <v>74</v>
      </c>
      <c r="I154" t="s">
        <v>2601</v>
      </c>
      <c r="J154" t="s">
        <v>77</v>
      </c>
      <c r="K154" t="s">
        <v>74</v>
      </c>
      <c r="L154" t="s">
        <v>74</v>
      </c>
      <c r="M154" t="s">
        <v>78</v>
      </c>
      <c r="N154" t="s">
        <v>79</v>
      </c>
      <c r="O154" t="s">
        <v>74</v>
      </c>
      <c r="P154" t="s">
        <v>74</v>
      </c>
      <c r="Q154" t="s">
        <v>74</v>
      </c>
      <c r="R154" t="s">
        <v>74</v>
      </c>
      <c r="S154" t="s">
        <v>74</v>
      </c>
      <c r="T154" t="s">
        <v>2602</v>
      </c>
      <c r="U154" t="s">
        <v>2603</v>
      </c>
      <c r="V154" t="s">
        <v>2604</v>
      </c>
      <c r="W154" t="s">
        <v>2605</v>
      </c>
      <c r="X154" t="s">
        <v>2606</v>
      </c>
      <c r="Y154" t="s">
        <v>2607</v>
      </c>
      <c r="Z154" t="s">
        <v>2608</v>
      </c>
      <c r="AA154" t="s">
        <v>2609</v>
      </c>
      <c r="AB154" t="s">
        <v>2610</v>
      </c>
      <c r="AC154" t="s">
        <v>2611</v>
      </c>
      <c r="AD154" t="s">
        <v>2612</v>
      </c>
      <c r="AE154" t="s">
        <v>2613</v>
      </c>
      <c r="AF154" t="s">
        <v>74</v>
      </c>
      <c r="AG154">
        <v>37</v>
      </c>
      <c r="AH154">
        <v>6</v>
      </c>
      <c r="AI154">
        <v>7</v>
      </c>
      <c r="AJ154">
        <v>0</v>
      </c>
      <c r="AK154">
        <v>4</v>
      </c>
      <c r="AL154" t="s">
        <v>92</v>
      </c>
      <c r="AM154" t="s">
        <v>93</v>
      </c>
      <c r="AN154" t="s">
        <v>94</v>
      </c>
      <c r="AO154" t="s">
        <v>95</v>
      </c>
      <c r="AP154" t="s">
        <v>96</v>
      </c>
      <c r="AQ154" t="s">
        <v>74</v>
      </c>
      <c r="AR154" t="s">
        <v>97</v>
      </c>
      <c r="AS154" t="s">
        <v>98</v>
      </c>
      <c r="AT154" t="s">
        <v>386</v>
      </c>
      <c r="AU154">
        <v>2019</v>
      </c>
      <c r="AV154">
        <v>64</v>
      </c>
      <c r="AW154">
        <v>7</v>
      </c>
      <c r="AX154" t="s">
        <v>74</v>
      </c>
      <c r="AY154" t="s">
        <v>74</v>
      </c>
      <c r="AZ154" t="s">
        <v>74</v>
      </c>
      <c r="BA154" t="s">
        <v>74</v>
      </c>
      <c r="BB154" t="s">
        <v>74</v>
      </c>
      <c r="BC154" t="s">
        <v>74</v>
      </c>
      <c r="BD154">
        <v>75003</v>
      </c>
      <c r="BE154" t="s">
        <v>2614</v>
      </c>
      <c r="BF154" t="str">
        <f>HYPERLINK("http://dx.doi.org/10.1088/1361-6560/ab0291","http://dx.doi.org/10.1088/1361-6560/ab0291")</f>
        <v>http://dx.doi.org/10.1088/1361-6560/ab0291</v>
      </c>
      <c r="BG154" t="s">
        <v>74</v>
      </c>
      <c r="BH154" t="s">
        <v>74</v>
      </c>
      <c r="BI154">
        <v>13</v>
      </c>
      <c r="BJ154" t="s">
        <v>101</v>
      </c>
      <c r="BK154" t="s">
        <v>102</v>
      </c>
      <c r="BL154" t="s">
        <v>103</v>
      </c>
      <c r="BM154" t="s">
        <v>2615</v>
      </c>
      <c r="BN154">
        <v>30695769</v>
      </c>
      <c r="BO154" t="s">
        <v>74</v>
      </c>
      <c r="BP154" t="s">
        <v>74</v>
      </c>
      <c r="BQ154" t="s">
        <v>74</v>
      </c>
      <c r="BR154" t="s">
        <v>106</v>
      </c>
      <c r="BS154" t="s">
        <v>2616</v>
      </c>
      <c r="BT154" t="str">
        <f>HYPERLINK("https%3A%2F%2Fwww.webofscience.com%2Fwos%2Fwoscc%2Ffull-record%2FWOS:000462050200003","View Full Record in Web of Science")</f>
        <v>View Full Record in Web of Science</v>
      </c>
    </row>
    <row r="155" spans="1:72" x14ac:dyDescent="0.25">
      <c r="A155" t="s">
        <v>72</v>
      </c>
      <c r="B155" t="s">
        <v>2617</v>
      </c>
      <c r="C155" t="s">
        <v>74</v>
      </c>
      <c r="D155" t="s">
        <v>74</v>
      </c>
      <c r="E155" t="s">
        <v>74</v>
      </c>
      <c r="F155" t="s">
        <v>2618</v>
      </c>
      <c r="G155" t="s">
        <v>74</v>
      </c>
      <c r="H155" t="s">
        <v>74</v>
      </c>
      <c r="I155" t="s">
        <v>2619</v>
      </c>
      <c r="J155" t="s">
        <v>77</v>
      </c>
      <c r="K155" t="s">
        <v>74</v>
      </c>
      <c r="L155" t="s">
        <v>74</v>
      </c>
      <c r="M155" t="s">
        <v>78</v>
      </c>
      <c r="N155" t="s">
        <v>79</v>
      </c>
      <c r="O155" t="s">
        <v>74</v>
      </c>
      <c r="P155" t="s">
        <v>74</v>
      </c>
      <c r="Q155" t="s">
        <v>74</v>
      </c>
      <c r="R155" t="s">
        <v>74</v>
      </c>
      <c r="S155" t="s">
        <v>74</v>
      </c>
      <c r="T155" t="s">
        <v>2620</v>
      </c>
      <c r="U155" t="s">
        <v>74</v>
      </c>
      <c r="V155" t="s">
        <v>2621</v>
      </c>
      <c r="W155" t="s">
        <v>2622</v>
      </c>
      <c r="X155" t="s">
        <v>2623</v>
      </c>
      <c r="Y155" t="s">
        <v>2624</v>
      </c>
      <c r="Z155" t="s">
        <v>2625</v>
      </c>
      <c r="AA155" t="s">
        <v>2626</v>
      </c>
      <c r="AB155" t="s">
        <v>2627</v>
      </c>
      <c r="AC155" t="s">
        <v>2628</v>
      </c>
      <c r="AD155" t="s">
        <v>2629</v>
      </c>
      <c r="AE155" t="s">
        <v>2630</v>
      </c>
      <c r="AF155" t="s">
        <v>74</v>
      </c>
      <c r="AG155">
        <v>30</v>
      </c>
      <c r="AH155">
        <v>25</v>
      </c>
      <c r="AI155">
        <v>27</v>
      </c>
      <c r="AJ155">
        <v>0</v>
      </c>
      <c r="AK155">
        <v>22</v>
      </c>
      <c r="AL155" t="s">
        <v>92</v>
      </c>
      <c r="AM155" t="s">
        <v>93</v>
      </c>
      <c r="AN155" t="s">
        <v>94</v>
      </c>
      <c r="AO155" t="s">
        <v>95</v>
      </c>
      <c r="AP155" t="s">
        <v>96</v>
      </c>
      <c r="AQ155" t="s">
        <v>74</v>
      </c>
      <c r="AR155" t="s">
        <v>97</v>
      </c>
      <c r="AS155" t="s">
        <v>98</v>
      </c>
      <c r="AT155" t="s">
        <v>386</v>
      </c>
      <c r="AU155">
        <v>2019</v>
      </c>
      <c r="AV155">
        <v>64</v>
      </c>
      <c r="AW155">
        <v>7</v>
      </c>
      <c r="AX155" t="s">
        <v>74</v>
      </c>
      <c r="AY155" t="s">
        <v>74</v>
      </c>
      <c r="AZ155" t="s">
        <v>74</v>
      </c>
      <c r="BA155" t="s">
        <v>74</v>
      </c>
      <c r="BB155" t="s">
        <v>74</v>
      </c>
      <c r="BC155" t="s">
        <v>74</v>
      </c>
      <c r="BD155">
        <v>74001</v>
      </c>
      <c r="BE155" t="s">
        <v>2631</v>
      </c>
      <c r="BF155" t="str">
        <f>HYPERLINK("http://dx.doi.org/10.1088/1361-6560/ab0fc9","http://dx.doi.org/10.1088/1361-6560/ab0fc9")</f>
        <v>http://dx.doi.org/10.1088/1361-6560/ab0fc9</v>
      </c>
      <c r="BG155" t="s">
        <v>74</v>
      </c>
      <c r="BH155" t="s">
        <v>74</v>
      </c>
      <c r="BI155">
        <v>11</v>
      </c>
      <c r="BJ155" t="s">
        <v>101</v>
      </c>
      <c r="BK155" t="s">
        <v>102</v>
      </c>
      <c r="BL155" t="s">
        <v>103</v>
      </c>
      <c r="BM155" t="s">
        <v>2632</v>
      </c>
      <c r="BN155">
        <v>30870817</v>
      </c>
      <c r="BO155" t="s">
        <v>74</v>
      </c>
      <c r="BP155" t="s">
        <v>74</v>
      </c>
      <c r="BQ155" t="s">
        <v>74</v>
      </c>
      <c r="BR155" t="s">
        <v>106</v>
      </c>
      <c r="BS155" t="s">
        <v>2633</v>
      </c>
      <c r="BT155" t="str">
        <f>HYPERLINK("https%3A%2F%2Fwww.webofscience.com%2Fwos%2Fwoscc%2Ffull-record%2FWOS:000462886800001","View Full Record in Web of Science")</f>
        <v>View Full Record in Web of Science</v>
      </c>
    </row>
    <row r="156" spans="1:72" x14ac:dyDescent="0.25">
      <c r="A156" t="s">
        <v>72</v>
      </c>
      <c r="B156" t="s">
        <v>2634</v>
      </c>
      <c r="C156" t="s">
        <v>74</v>
      </c>
      <c r="D156" t="s">
        <v>74</v>
      </c>
      <c r="E156" t="s">
        <v>74</v>
      </c>
      <c r="F156" t="s">
        <v>2635</v>
      </c>
      <c r="G156" t="s">
        <v>74</v>
      </c>
      <c r="H156" t="s">
        <v>74</v>
      </c>
      <c r="I156" t="s">
        <v>2636</v>
      </c>
      <c r="J156" t="s">
        <v>77</v>
      </c>
      <c r="K156" t="s">
        <v>74</v>
      </c>
      <c r="L156" t="s">
        <v>74</v>
      </c>
      <c r="M156" t="s">
        <v>78</v>
      </c>
      <c r="N156" t="s">
        <v>79</v>
      </c>
      <c r="O156" t="s">
        <v>74</v>
      </c>
      <c r="P156" t="s">
        <v>74</v>
      </c>
      <c r="Q156" t="s">
        <v>74</v>
      </c>
      <c r="R156" t="s">
        <v>74</v>
      </c>
      <c r="S156" t="s">
        <v>74</v>
      </c>
      <c r="T156" t="s">
        <v>2637</v>
      </c>
      <c r="U156" t="s">
        <v>2638</v>
      </c>
      <c r="V156" t="s">
        <v>2639</v>
      </c>
      <c r="W156" t="s">
        <v>2640</v>
      </c>
      <c r="X156" t="s">
        <v>2641</v>
      </c>
      <c r="Y156" t="s">
        <v>2642</v>
      </c>
      <c r="Z156" t="s">
        <v>2643</v>
      </c>
      <c r="AA156" t="s">
        <v>2644</v>
      </c>
      <c r="AB156" t="s">
        <v>2645</v>
      </c>
      <c r="AC156" t="s">
        <v>2646</v>
      </c>
      <c r="AD156" t="s">
        <v>2647</v>
      </c>
      <c r="AE156" t="s">
        <v>2648</v>
      </c>
      <c r="AF156" t="s">
        <v>74</v>
      </c>
      <c r="AG156">
        <v>49</v>
      </c>
      <c r="AH156">
        <v>20</v>
      </c>
      <c r="AI156">
        <v>20</v>
      </c>
      <c r="AJ156">
        <v>0</v>
      </c>
      <c r="AK156">
        <v>20</v>
      </c>
      <c r="AL156" t="s">
        <v>92</v>
      </c>
      <c r="AM156" t="s">
        <v>93</v>
      </c>
      <c r="AN156" t="s">
        <v>94</v>
      </c>
      <c r="AO156" t="s">
        <v>95</v>
      </c>
      <c r="AP156" t="s">
        <v>96</v>
      </c>
      <c r="AQ156" t="s">
        <v>74</v>
      </c>
      <c r="AR156" t="s">
        <v>97</v>
      </c>
      <c r="AS156" t="s">
        <v>98</v>
      </c>
      <c r="AT156" t="s">
        <v>646</v>
      </c>
      <c r="AU156">
        <v>2019</v>
      </c>
      <c r="AV156">
        <v>64</v>
      </c>
      <c r="AW156">
        <v>4</v>
      </c>
      <c r="AX156" t="s">
        <v>74</v>
      </c>
      <c r="AY156" t="s">
        <v>74</v>
      </c>
      <c r="AZ156" t="s">
        <v>74</v>
      </c>
      <c r="BA156" t="s">
        <v>74</v>
      </c>
      <c r="BB156" t="s">
        <v>74</v>
      </c>
      <c r="BC156" t="s">
        <v>74</v>
      </c>
      <c r="BD156">
        <v>45012</v>
      </c>
      <c r="BE156" t="s">
        <v>2649</v>
      </c>
      <c r="BF156" t="str">
        <f>HYPERLINK("http://dx.doi.org/10.1088/1361-6560/aafaa5","http://dx.doi.org/10.1088/1361-6560/aafaa5")</f>
        <v>http://dx.doi.org/10.1088/1361-6560/aafaa5</v>
      </c>
      <c r="BG156" t="s">
        <v>74</v>
      </c>
      <c r="BH156" t="s">
        <v>74</v>
      </c>
      <c r="BI156">
        <v>14</v>
      </c>
      <c r="BJ156" t="s">
        <v>101</v>
      </c>
      <c r="BK156" t="s">
        <v>102</v>
      </c>
      <c r="BL156" t="s">
        <v>103</v>
      </c>
      <c r="BM156" t="s">
        <v>2650</v>
      </c>
      <c r="BN156">
        <v>30577029</v>
      </c>
      <c r="BO156" t="s">
        <v>105</v>
      </c>
      <c r="BP156" t="s">
        <v>74</v>
      </c>
      <c r="BQ156" t="s">
        <v>74</v>
      </c>
      <c r="BR156" t="s">
        <v>106</v>
      </c>
      <c r="BS156" t="s">
        <v>2651</v>
      </c>
      <c r="BT156" t="str">
        <f>HYPERLINK("https%3A%2F%2Fwww.webofscience.com%2Fwos%2Fwoscc%2Ffull-record%2FWOS:000458375200004","View Full Record in Web of Science")</f>
        <v>View Full Record in Web of Science</v>
      </c>
    </row>
    <row r="157" spans="1:72" x14ac:dyDescent="0.25">
      <c r="A157" t="s">
        <v>72</v>
      </c>
      <c r="B157" t="s">
        <v>2652</v>
      </c>
      <c r="C157" t="s">
        <v>74</v>
      </c>
      <c r="D157" t="s">
        <v>74</v>
      </c>
      <c r="E157" t="s">
        <v>74</v>
      </c>
      <c r="F157" t="s">
        <v>2653</v>
      </c>
      <c r="G157" t="s">
        <v>74</v>
      </c>
      <c r="H157" t="s">
        <v>74</v>
      </c>
      <c r="I157" t="s">
        <v>2654</v>
      </c>
      <c r="J157" t="s">
        <v>77</v>
      </c>
      <c r="K157" t="s">
        <v>74</v>
      </c>
      <c r="L157" t="s">
        <v>74</v>
      </c>
      <c r="M157" t="s">
        <v>78</v>
      </c>
      <c r="N157" t="s">
        <v>79</v>
      </c>
      <c r="O157" t="s">
        <v>74</v>
      </c>
      <c r="P157" t="s">
        <v>74</v>
      </c>
      <c r="Q157" t="s">
        <v>74</v>
      </c>
      <c r="R157" t="s">
        <v>74</v>
      </c>
      <c r="S157" t="s">
        <v>74</v>
      </c>
      <c r="T157" t="s">
        <v>2655</v>
      </c>
      <c r="U157" t="s">
        <v>2656</v>
      </c>
      <c r="V157" t="s">
        <v>2657</v>
      </c>
      <c r="W157" t="s">
        <v>2658</v>
      </c>
      <c r="X157" t="s">
        <v>2659</v>
      </c>
      <c r="Y157" t="s">
        <v>2660</v>
      </c>
      <c r="Z157" t="s">
        <v>2661</v>
      </c>
      <c r="AA157" t="s">
        <v>74</v>
      </c>
      <c r="AB157" t="s">
        <v>74</v>
      </c>
      <c r="AC157" t="s">
        <v>2662</v>
      </c>
      <c r="AD157" t="s">
        <v>2663</v>
      </c>
      <c r="AE157" t="s">
        <v>2664</v>
      </c>
      <c r="AF157" t="s">
        <v>74</v>
      </c>
      <c r="AG157">
        <v>20</v>
      </c>
      <c r="AH157">
        <v>8</v>
      </c>
      <c r="AI157">
        <v>10</v>
      </c>
      <c r="AJ157">
        <v>0</v>
      </c>
      <c r="AK157">
        <v>15</v>
      </c>
      <c r="AL157" t="s">
        <v>92</v>
      </c>
      <c r="AM157" t="s">
        <v>93</v>
      </c>
      <c r="AN157" t="s">
        <v>94</v>
      </c>
      <c r="AO157" t="s">
        <v>95</v>
      </c>
      <c r="AP157" t="s">
        <v>96</v>
      </c>
      <c r="AQ157" t="s">
        <v>74</v>
      </c>
      <c r="AR157" t="s">
        <v>97</v>
      </c>
      <c r="AS157" t="s">
        <v>98</v>
      </c>
      <c r="AT157" t="s">
        <v>471</v>
      </c>
      <c r="AU157">
        <v>2019</v>
      </c>
      <c r="AV157">
        <v>64</v>
      </c>
      <c r="AW157">
        <v>1</v>
      </c>
      <c r="AX157" t="s">
        <v>74</v>
      </c>
      <c r="AY157" t="s">
        <v>74</v>
      </c>
      <c r="AZ157" t="s">
        <v>74</v>
      </c>
      <c r="BA157" t="s">
        <v>74</v>
      </c>
      <c r="BB157" t="s">
        <v>74</v>
      </c>
      <c r="BC157" t="s">
        <v>74</v>
      </c>
      <c r="BD157">
        <v>15014</v>
      </c>
      <c r="BE157" t="s">
        <v>2665</v>
      </c>
      <c r="BF157" t="str">
        <f>HYPERLINK("http://dx.doi.org/10.1088/1361-6560/aaec59","http://dx.doi.org/10.1088/1361-6560/aaec59")</f>
        <v>http://dx.doi.org/10.1088/1361-6560/aaec59</v>
      </c>
      <c r="BG157" t="s">
        <v>74</v>
      </c>
      <c r="BH157" t="s">
        <v>74</v>
      </c>
      <c r="BI157">
        <v>12</v>
      </c>
      <c r="BJ157" t="s">
        <v>101</v>
      </c>
      <c r="BK157" t="s">
        <v>102</v>
      </c>
      <c r="BL157" t="s">
        <v>103</v>
      </c>
      <c r="BM157" t="s">
        <v>1597</v>
      </c>
      <c r="BN157">
        <v>30524037</v>
      </c>
      <c r="BO157" t="s">
        <v>74</v>
      </c>
      <c r="BP157" t="s">
        <v>74</v>
      </c>
      <c r="BQ157" t="s">
        <v>74</v>
      </c>
      <c r="BR157" t="s">
        <v>106</v>
      </c>
      <c r="BS157" t="s">
        <v>2666</v>
      </c>
      <c r="BT157" t="str">
        <f>HYPERLINK("https%3A%2F%2Fwww.webofscience.com%2Fwos%2Fwoscc%2Ffull-record%2FWOS:000454239200007","View Full Record in Web of Science")</f>
        <v>View Full Record in Web of Science</v>
      </c>
    </row>
    <row r="158" spans="1:72" x14ac:dyDescent="0.25">
      <c r="A158" t="s">
        <v>72</v>
      </c>
      <c r="B158" t="s">
        <v>2667</v>
      </c>
      <c r="C158" t="s">
        <v>74</v>
      </c>
      <c r="D158" t="s">
        <v>74</v>
      </c>
      <c r="E158" t="s">
        <v>74</v>
      </c>
      <c r="F158" t="s">
        <v>2668</v>
      </c>
      <c r="G158" t="s">
        <v>74</v>
      </c>
      <c r="H158" t="s">
        <v>74</v>
      </c>
      <c r="I158" t="s">
        <v>2669</v>
      </c>
      <c r="J158" t="s">
        <v>77</v>
      </c>
      <c r="K158" t="s">
        <v>74</v>
      </c>
      <c r="L158" t="s">
        <v>74</v>
      </c>
      <c r="M158" t="s">
        <v>78</v>
      </c>
      <c r="N158" t="s">
        <v>79</v>
      </c>
      <c r="O158" t="s">
        <v>74</v>
      </c>
      <c r="P158" t="s">
        <v>74</v>
      </c>
      <c r="Q158" t="s">
        <v>74</v>
      </c>
      <c r="R158" t="s">
        <v>74</v>
      </c>
      <c r="S158" t="s">
        <v>74</v>
      </c>
      <c r="T158" t="s">
        <v>2670</v>
      </c>
      <c r="U158" t="s">
        <v>2671</v>
      </c>
      <c r="V158" t="s">
        <v>2672</v>
      </c>
      <c r="W158" t="s">
        <v>2673</v>
      </c>
      <c r="X158" t="s">
        <v>2674</v>
      </c>
      <c r="Y158" t="s">
        <v>2675</v>
      </c>
      <c r="Z158" t="s">
        <v>2676</v>
      </c>
      <c r="AA158" t="s">
        <v>74</v>
      </c>
      <c r="AB158" t="s">
        <v>74</v>
      </c>
      <c r="AC158" t="s">
        <v>2677</v>
      </c>
      <c r="AD158" t="s">
        <v>2678</v>
      </c>
      <c r="AE158" t="s">
        <v>2679</v>
      </c>
      <c r="AF158" t="s">
        <v>74</v>
      </c>
      <c r="AG158">
        <v>18</v>
      </c>
      <c r="AH158">
        <v>5</v>
      </c>
      <c r="AI158">
        <v>5</v>
      </c>
      <c r="AJ158">
        <v>1</v>
      </c>
      <c r="AK158">
        <v>12</v>
      </c>
      <c r="AL158" t="s">
        <v>92</v>
      </c>
      <c r="AM158" t="s">
        <v>93</v>
      </c>
      <c r="AN158" t="s">
        <v>94</v>
      </c>
      <c r="AO158" t="s">
        <v>95</v>
      </c>
      <c r="AP158" t="s">
        <v>96</v>
      </c>
      <c r="AQ158" t="s">
        <v>74</v>
      </c>
      <c r="AR158" t="s">
        <v>97</v>
      </c>
      <c r="AS158" t="s">
        <v>98</v>
      </c>
      <c r="AT158" t="s">
        <v>99</v>
      </c>
      <c r="AU158">
        <v>2019</v>
      </c>
      <c r="AV158">
        <v>64</v>
      </c>
      <c r="AW158">
        <v>23</v>
      </c>
      <c r="AX158" t="s">
        <v>74</v>
      </c>
      <c r="AY158" t="s">
        <v>74</v>
      </c>
      <c r="AZ158" t="s">
        <v>74</v>
      </c>
      <c r="BA158" t="s">
        <v>74</v>
      </c>
      <c r="BB158" t="s">
        <v>74</v>
      </c>
      <c r="BC158" t="s">
        <v>74</v>
      </c>
      <c r="BD158" t="s">
        <v>2680</v>
      </c>
      <c r="BE158" t="s">
        <v>2681</v>
      </c>
      <c r="BF158" t="str">
        <f>HYPERLINK("http://dx.doi.org/10.1088/1361-6560/ab4f0b","http://dx.doi.org/10.1088/1361-6560/ab4f0b")</f>
        <v>http://dx.doi.org/10.1088/1361-6560/ab4f0b</v>
      </c>
      <c r="BG158" t="s">
        <v>74</v>
      </c>
      <c r="BH158" t="s">
        <v>74</v>
      </c>
      <c r="BI158">
        <v>8</v>
      </c>
      <c r="BJ158" t="s">
        <v>101</v>
      </c>
      <c r="BK158" t="s">
        <v>102</v>
      </c>
      <c r="BL158" t="s">
        <v>103</v>
      </c>
      <c r="BM158" t="s">
        <v>2682</v>
      </c>
      <c r="BN158">
        <v>31627195</v>
      </c>
      <c r="BO158" t="s">
        <v>759</v>
      </c>
      <c r="BP158" t="s">
        <v>74</v>
      </c>
      <c r="BQ158" t="s">
        <v>74</v>
      </c>
      <c r="BR158" t="s">
        <v>106</v>
      </c>
      <c r="BS158" t="s">
        <v>2683</v>
      </c>
      <c r="BT158" t="str">
        <f>HYPERLINK("https%3A%2F%2Fwww.webofscience.com%2Fwos%2Fwoscc%2Ffull-record%2FWOS:000499359700001","View Full Record in Web of Science")</f>
        <v>View Full Record in Web of Science</v>
      </c>
    </row>
    <row r="159" spans="1:72" x14ac:dyDescent="0.25">
      <c r="A159" t="s">
        <v>72</v>
      </c>
      <c r="B159" t="s">
        <v>2684</v>
      </c>
      <c r="C159" t="s">
        <v>74</v>
      </c>
      <c r="D159" t="s">
        <v>74</v>
      </c>
      <c r="E159" t="s">
        <v>74</v>
      </c>
      <c r="F159" t="s">
        <v>2685</v>
      </c>
      <c r="G159" t="s">
        <v>74</v>
      </c>
      <c r="H159" t="s">
        <v>74</v>
      </c>
      <c r="I159" t="s">
        <v>2686</v>
      </c>
      <c r="J159" t="s">
        <v>77</v>
      </c>
      <c r="K159" t="s">
        <v>74</v>
      </c>
      <c r="L159" t="s">
        <v>74</v>
      </c>
      <c r="M159" t="s">
        <v>78</v>
      </c>
      <c r="N159" t="s">
        <v>79</v>
      </c>
      <c r="O159" t="s">
        <v>74</v>
      </c>
      <c r="P159" t="s">
        <v>74</v>
      </c>
      <c r="Q159" t="s">
        <v>74</v>
      </c>
      <c r="R159" t="s">
        <v>74</v>
      </c>
      <c r="S159" t="s">
        <v>74</v>
      </c>
      <c r="T159" t="s">
        <v>2687</v>
      </c>
      <c r="U159" t="s">
        <v>2688</v>
      </c>
      <c r="V159" t="s">
        <v>2689</v>
      </c>
      <c r="W159" t="s">
        <v>2690</v>
      </c>
      <c r="X159" t="s">
        <v>2691</v>
      </c>
      <c r="Y159" t="s">
        <v>2692</v>
      </c>
      <c r="Z159" t="s">
        <v>2693</v>
      </c>
      <c r="AA159" t="s">
        <v>2694</v>
      </c>
      <c r="AB159" t="s">
        <v>2695</v>
      </c>
      <c r="AC159" t="s">
        <v>74</v>
      </c>
      <c r="AD159" t="s">
        <v>74</v>
      </c>
      <c r="AE159" t="s">
        <v>74</v>
      </c>
      <c r="AF159" t="s">
        <v>74</v>
      </c>
      <c r="AG159">
        <v>89</v>
      </c>
      <c r="AH159">
        <v>1</v>
      </c>
      <c r="AI159">
        <v>1</v>
      </c>
      <c r="AJ159">
        <v>0</v>
      </c>
      <c r="AK159">
        <v>2</v>
      </c>
      <c r="AL159" t="s">
        <v>157</v>
      </c>
      <c r="AM159" t="s">
        <v>93</v>
      </c>
      <c r="AN159" t="s">
        <v>94</v>
      </c>
      <c r="AO159" t="s">
        <v>95</v>
      </c>
      <c r="AP159" t="s">
        <v>96</v>
      </c>
      <c r="AQ159" t="s">
        <v>74</v>
      </c>
      <c r="AR159" t="s">
        <v>97</v>
      </c>
      <c r="AS159" t="s">
        <v>98</v>
      </c>
      <c r="AT159" t="s">
        <v>99</v>
      </c>
      <c r="AU159">
        <v>2019</v>
      </c>
      <c r="AV159">
        <v>64</v>
      </c>
      <c r="AW159">
        <v>23</v>
      </c>
      <c r="AX159" t="s">
        <v>74</v>
      </c>
      <c r="AY159" t="s">
        <v>74</v>
      </c>
      <c r="AZ159" t="s">
        <v>74</v>
      </c>
      <c r="BA159" t="s">
        <v>74</v>
      </c>
      <c r="BB159" t="s">
        <v>74</v>
      </c>
      <c r="BC159" t="s">
        <v>74</v>
      </c>
      <c r="BD159">
        <v>235012</v>
      </c>
      <c r="BE159" t="s">
        <v>2696</v>
      </c>
      <c r="BF159" t="str">
        <f>HYPERLINK("http://dx.doi.org/10.1088/1361-6560/ab51c3","http://dx.doi.org/10.1088/1361-6560/ab51c3")</f>
        <v>http://dx.doi.org/10.1088/1361-6560/ab51c3</v>
      </c>
      <c r="BG159" t="s">
        <v>74</v>
      </c>
      <c r="BH159" t="s">
        <v>74</v>
      </c>
      <c r="BI159">
        <v>22</v>
      </c>
      <c r="BJ159" t="s">
        <v>101</v>
      </c>
      <c r="BK159" t="s">
        <v>102</v>
      </c>
      <c r="BL159" t="s">
        <v>103</v>
      </c>
      <c r="BM159" t="s">
        <v>693</v>
      </c>
      <c r="BN159">
        <v>31658450</v>
      </c>
      <c r="BO159" t="s">
        <v>179</v>
      </c>
      <c r="BP159" t="s">
        <v>74</v>
      </c>
      <c r="BQ159" t="s">
        <v>74</v>
      </c>
      <c r="BR159" t="s">
        <v>106</v>
      </c>
      <c r="BS159" t="s">
        <v>2697</v>
      </c>
      <c r="BT159" t="str">
        <f>HYPERLINK("https%3A%2F%2Fwww.webofscience.com%2Fwos%2Fwoscc%2Ffull-record%2FWOS:000518765200002","View Full Record in Web of Science")</f>
        <v>View Full Record in Web of Science</v>
      </c>
    </row>
    <row r="160" spans="1:72" x14ac:dyDescent="0.25">
      <c r="A160" t="s">
        <v>72</v>
      </c>
      <c r="B160" t="s">
        <v>2698</v>
      </c>
      <c r="C160" t="s">
        <v>74</v>
      </c>
      <c r="D160" t="s">
        <v>74</v>
      </c>
      <c r="E160" t="s">
        <v>74</v>
      </c>
      <c r="F160" t="s">
        <v>2699</v>
      </c>
      <c r="G160" t="s">
        <v>74</v>
      </c>
      <c r="H160" t="s">
        <v>74</v>
      </c>
      <c r="I160" t="s">
        <v>2700</v>
      </c>
      <c r="J160" t="s">
        <v>77</v>
      </c>
      <c r="K160" t="s">
        <v>74</v>
      </c>
      <c r="L160" t="s">
        <v>74</v>
      </c>
      <c r="M160" t="s">
        <v>78</v>
      </c>
      <c r="N160" t="s">
        <v>79</v>
      </c>
      <c r="O160" t="s">
        <v>74</v>
      </c>
      <c r="P160" t="s">
        <v>74</v>
      </c>
      <c r="Q160" t="s">
        <v>74</v>
      </c>
      <c r="R160" t="s">
        <v>74</v>
      </c>
      <c r="S160" t="s">
        <v>74</v>
      </c>
      <c r="T160" t="s">
        <v>2701</v>
      </c>
      <c r="U160" t="s">
        <v>2702</v>
      </c>
      <c r="V160" t="s">
        <v>2703</v>
      </c>
      <c r="W160" t="s">
        <v>2704</v>
      </c>
      <c r="X160" t="s">
        <v>2705</v>
      </c>
      <c r="Y160" t="s">
        <v>2706</v>
      </c>
      <c r="Z160" t="s">
        <v>2707</v>
      </c>
      <c r="AA160" t="s">
        <v>2708</v>
      </c>
      <c r="AB160" t="s">
        <v>2709</v>
      </c>
      <c r="AC160" t="s">
        <v>2710</v>
      </c>
      <c r="AD160" t="s">
        <v>2711</v>
      </c>
      <c r="AE160" t="s">
        <v>2712</v>
      </c>
      <c r="AF160" t="s">
        <v>74</v>
      </c>
      <c r="AG160">
        <v>72</v>
      </c>
      <c r="AH160">
        <v>23</v>
      </c>
      <c r="AI160">
        <v>25</v>
      </c>
      <c r="AJ160">
        <v>5</v>
      </c>
      <c r="AK160">
        <v>51</v>
      </c>
      <c r="AL160" t="s">
        <v>92</v>
      </c>
      <c r="AM160" t="s">
        <v>93</v>
      </c>
      <c r="AN160" t="s">
        <v>94</v>
      </c>
      <c r="AO160" t="s">
        <v>95</v>
      </c>
      <c r="AP160" t="s">
        <v>96</v>
      </c>
      <c r="AQ160" t="s">
        <v>74</v>
      </c>
      <c r="AR160" t="s">
        <v>97</v>
      </c>
      <c r="AS160" t="s">
        <v>98</v>
      </c>
      <c r="AT160" t="s">
        <v>99</v>
      </c>
      <c r="AU160">
        <v>2019</v>
      </c>
      <c r="AV160">
        <v>64</v>
      </c>
      <c r="AW160">
        <v>24</v>
      </c>
      <c r="AX160" t="s">
        <v>74</v>
      </c>
      <c r="AY160" t="s">
        <v>74</v>
      </c>
      <c r="AZ160" t="s">
        <v>74</v>
      </c>
      <c r="BA160" t="s">
        <v>74</v>
      </c>
      <c r="BB160" t="s">
        <v>74</v>
      </c>
      <c r="BC160" t="s">
        <v>74</v>
      </c>
      <c r="BD160">
        <v>245008</v>
      </c>
      <c r="BE160" t="s">
        <v>2713</v>
      </c>
      <c r="BF160" t="str">
        <f>HYPERLINK("http://dx.doi.org/10.1088/1361-6560/ab4cc5","http://dx.doi.org/10.1088/1361-6560/ab4cc5")</f>
        <v>http://dx.doi.org/10.1088/1361-6560/ab4cc5</v>
      </c>
      <c r="BG160" t="s">
        <v>74</v>
      </c>
      <c r="BH160" t="s">
        <v>74</v>
      </c>
      <c r="BI160">
        <v>22</v>
      </c>
      <c r="BJ160" t="s">
        <v>101</v>
      </c>
      <c r="BK160" t="s">
        <v>102</v>
      </c>
      <c r="BL160" t="s">
        <v>103</v>
      </c>
      <c r="BM160" t="s">
        <v>104</v>
      </c>
      <c r="BN160">
        <v>31600740</v>
      </c>
      <c r="BO160" t="s">
        <v>179</v>
      </c>
      <c r="BP160" t="s">
        <v>74</v>
      </c>
      <c r="BQ160" t="s">
        <v>74</v>
      </c>
      <c r="BR160" t="s">
        <v>106</v>
      </c>
      <c r="BS160" t="s">
        <v>2714</v>
      </c>
      <c r="BT160" t="str">
        <f>HYPERLINK("https%3A%2F%2Fwww.webofscience.com%2Fwos%2Fwoscc%2Ffull-record%2FWOS:000513009900008","View Full Record in Web of Science")</f>
        <v>View Full Record in Web of Science</v>
      </c>
    </row>
    <row r="161" spans="1:72" x14ac:dyDescent="0.25">
      <c r="A161" t="s">
        <v>72</v>
      </c>
      <c r="B161" t="s">
        <v>2715</v>
      </c>
      <c r="C161" t="s">
        <v>74</v>
      </c>
      <c r="D161" t="s">
        <v>74</v>
      </c>
      <c r="E161" t="s">
        <v>74</v>
      </c>
      <c r="F161" t="s">
        <v>2716</v>
      </c>
      <c r="G161" t="s">
        <v>74</v>
      </c>
      <c r="H161" t="s">
        <v>74</v>
      </c>
      <c r="I161" t="s">
        <v>2717</v>
      </c>
      <c r="J161" t="s">
        <v>77</v>
      </c>
      <c r="K161" t="s">
        <v>74</v>
      </c>
      <c r="L161" t="s">
        <v>74</v>
      </c>
      <c r="M161" t="s">
        <v>78</v>
      </c>
      <c r="N161" t="s">
        <v>79</v>
      </c>
      <c r="O161" t="s">
        <v>74</v>
      </c>
      <c r="P161" t="s">
        <v>74</v>
      </c>
      <c r="Q161" t="s">
        <v>74</v>
      </c>
      <c r="R161" t="s">
        <v>74</v>
      </c>
      <c r="S161" t="s">
        <v>74</v>
      </c>
      <c r="T161" t="s">
        <v>2718</v>
      </c>
      <c r="U161" t="s">
        <v>2719</v>
      </c>
      <c r="V161" t="s">
        <v>2720</v>
      </c>
      <c r="W161" t="s">
        <v>2721</v>
      </c>
      <c r="X161" t="s">
        <v>2722</v>
      </c>
      <c r="Y161" t="s">
        <v>2723</v>
      </c>
      <c r="Z161" t="s">
        <v>2724</v>
      </c>
      <c r="AA161" t="s">
        <v>2725</v>
      </c>
      <c r="AB161" t="s">
        <v>2726</v>
      </c>
      <c r="AC161" t="s">
        <v>2727</v>
      </c>
      <c r="AD161" t="s">
        <v>2728</v>
      </c>
      <c r="AE161" t="s">
        <v>2729</v>
      </c>
      <c r="AF161" t="s">
        <v>74</v>
      </c>
      <c r="AG161">
        <v>47</v>
      </c>
      <c r="AH161">
        <v>21</v>
      </c>
      <c r="AI161">
        <v>21</v>
      </c>
      <c r="AJ161">
        <v>1</v>
      </c>
      <c r="AK161">
        <v>2</v>
      </c>
      <c r="AL161" t="s">
        <v>92</v>
      </c>
      <c r="AM161" t="s">
        <v>93</v>
      </c>
      <c r="AN161" t="s">
        <v>94</v>
      </c>
      <c r="AO161" t="s">
        <v>95</v>
      </c>
      <c r="AP161" t="s">
        <v>96</v>
      </c>
      <c r="AQ161" t="s">
        <v>74</v>
      </c>
      <c r="AR161" t="s">
        <v>97</v>
      </c>
      <c r="AS161" t="s">
        <v>98</v>
      </c>
      <c r="AT161" t="s">
        <v>137</v>
      </c>
      <c r="AU161">
        <v>2019</v>
      </c>
      <c r="AV161">
        <v>64</v>
      </c>
      <c r="AW161">
        <v>21</v>
      </c>
      <c r="AX161" t="s">
        <v>74</v>
      </c>
      <c r="AY161" t="s">
        <v>74</v>
      </c>
      <c r="AZ161" t="s">
        <v>74</v>
      </c>
      <c r="BA161" t="s">
        <v>74</v>
      </c>
      <c r="BB161" t="s">
        <v>74</v>
      </c>
      <c r="BC161" t="s">
        <v>74</v>
      </c>
      <c r="BD161">
        <v>215008</v>
      </c>
      <c r="BE161" t="s">
        <v>2730</v>
      </c>
      <c r="BF161" t="str">
        <f>HYPERLINK("http://dx.doi.org/10.1088/1361-6560/ab490f","http://dx.doi.org/10.1088/1361-6560/ab490f")</f>
        <v>http://dx.doi.org/10.1088/1361-6560/ab490f</v>
      </c>
      <c r="BG161" t="s">
        <v>74</v>
      </c>
      <c r="BH161" t="s">
        <v>74</v>
      </c>
      <c r="BI161">
        <v>9</v>
      </c>
      <c r="BJ161" t="s">
        <v>101</v>
      </c>
      <c r="BK161" t="s">
        <v>102</v>
      </c>
      <c r="BL161" t="s">
        <v>103</v>
      </c>
      <c r="BM161" t="s">
        <v>2731</v>
      </c>
      <c r="BN161">
        <v>31569085</v>
      </c>
      <c r="BO161" t="s">
        <v>140</v>
      </c>
      <c r="BP161" t="s">
        <v>74</v>
      </c>
      <c r="BQ161" t="s">
        <v>74</v>
      </c>
      <c r="BR161" t="s">
        <v>106</v>
      </c>
      <c r="BS161" t="s">
        <v>2732</v>
      </c>
      <c r="BT161" t="str">
        <f>HYPERLINK("https%3A%2F%2Fwww.webofscience.com%2Fwos%2Fwoscc%2Ffull-record%2FWOS:000494489300001","View Full Record in Web of Science")</f>
        <v>View Full Record in Web of Science</v>
      </c>
    </row>
    <row r="162" spans="1:72" x14ac:dyDescent="0.25">
      <c r="A162" t="s">
        <v>72</v>
      </c>
      <c r="B162" t="s">
        <v>2733</v>
      </c>
      <c r="C162" t="s">
        <v>74</v>
      </c>
      <c r="D162" t="s">
        <v>74</v>
      </c>
      <c r="E162" t="s">
        <v>74</v>
      </c>
      <c r="F162" t="s">
        <v>2734</v>
      </c>
      <c r="G162" t="s">
        <v>74</v>
      </c>
      <c r="H162" t="s">
        <v>74</v>
      </c>
      <c r="I162" t="s">
        <v>2735</v>
      </c>
      <c r="J162" t="s">
        <v>77</v>
      </c>
      <c r="K162" t="s">
        <v>74</v>
      </c>
      <c r="L162" t="s">
        <v>74</v>
      </c>
      <c r="M162" t="s">
        <v>78</v>
      </c>
      <c r="N162" t="s">
        <v>79</v>
      </c>
      <c r="O162" t="s">
        <v>74</v>
      </c>
      <c r="P162" t="s">
        <v>74</v>
      </c>
      <c r="Q162" t="s">
        <v>74</v>
      </c>
      <c r="R162" t="s">
        <v>74</v>
      </c>
      <c r="S162" t="s">
        <v>74</v>
      </c>
      <c r="T162" t="s">
        <v>2736</v>
      </c>
      <c r="U162" t="s">
        <v>2737</v>
      </c>
      <c r="V162" t="s">
        <v>2738</v>
      </c>
      <c r="W162" t="s">
        <v>2739</v>
      </c>
      <c r="X162" t="s">
        <v>2740</v>
      </c>
      <c r="Y162" t="s">
        <v>2741</v>
      </c>
      <c r="Z162" t="s">
        <v>2742</v>
      </c>
      <c r="AA162" t="s">
        <v>74</v>
      </c>
      <c r="AB162" t="s">
        <v>2743</v>
      </c>
      <c r="AC162" t="s">
        <v>2744</v>
      </c>
      <c r="AD162" t="s">
        <v>2745</v>
      </c>
      <c r="AE162" t="s">
        <v>2746</v>
      </c>
      <c r="AF162" t="s">
        <v>74</v>
      </c>
      <c r="AG162">
        <v>28</v>
      </c>
      <c r="AH162">
        <v>11</v>
      </c>
      <c r="AI162">
        <v>13</v>
      </c>
      <c r="AJ162">
        <v>0</v>
      </c>
      <c r="AK162">
        <v>10</v>
      </c>
      <c r="AL162" t="s">
        <v>157</v>
      </c>
      <c r="AM162" t="s">
        <v>93</v>
      </c>
      <c r="AN162" t="s">
        <v>94</v>
      </c>
      <c r="AO162" t="s">
        <v>95</v>
      </c>
      <c r="AP162" t="s">
        <v>96</v>
      </c>
      <c r="AQ162" t="s">
        <v>74</v>
      </c>
      <c r="AR162" t="s">
        <v>97</v>
      </c>
      <c r="AS162" t="s">
        <v>98</v>
      </c>
      <c r="AT162" t="s">
        <v>137</v>
      </c>
      <c r="AU162">
        <v>2019</v>
      </c>
      <c r="AV162">
        <v>64</v>
      </c>
      <c r="AW162">
        <v>21</v>
      </c>
      <c r="AX162" t="s">
        <v>74</v>
      </c>
      <c r="AY162" t="s">
        <v>74</v>
      </c>
      <c r="AZ162" t="s">
        <v>74</v>
      </c>
      <c r="BA162" t="s">
        <v>74</v>
      </c>
      <c r="BB162" t="s">
        <v>74</v>
      </c>
      <c r="BC162" t="s">
        <v>74</v>
      </c>
      <c r="BD162">
        <v>215010</v>
      </c>
      <c r="BE162" t="s">
        <v>2747</v>
      </c>
      <c r="BF162" t="str">
        <f>HYPERLINK("http://dx.doi.org/10.1088/1361-6560/ab489e","http://dx.doi.org/10.1088/1361-6560/ab489e")</f>
        <v>http://dx.doi.org/10.1088/1361-6560/ab489e</v>
      </c>
      <c r="BG162" t="s">
        <v>74</v>
      </c>
      <c r="BH162" t="s">
        <v>74</v>
      </c>
      <c r="BI162">
        <v>13</v>
      </c>
      <c r="BJ162" t="s">
        <v>101</v>
      </c>
      <c r="BK162" t="s">
        <v>102</v>
      </c>
      <c r="BL162" t="s">
        <v>103</v>
      </c>
      <c r="BM162" t="s">
        <v>2748</v>
      </c>
      <c r="BN162">
        <v>31561247</v>
      </c>
      <c r="BO162" t="s">
        <v>630</v>
      </c>
      <c r="BP162" t="s">
        <v>74</v>
      </c>
      <c r="BQ162" t="s">
        <v>74</v>
      </c>
      <c r="BR162" t="s">
        <v>106</v>
      </c>
      <c r="BS162" t="s">
        <v>2749</v>
      </c>
      <c r="BT162" t="str">
        <f>HYPERLINK("https%3A%2F%2Fwww.webofscience.com%2Fwos%2Fwoscc%2Ffull-record%2FWOS:000494490000001","View Full Record in Web of Science")</f>
        <v>View Full Record in Web of Science</v>
      </c>
    </row>
    <row r="163" spans="1:72" x14ac:dyDescent="0.25">
      <c r="A163" t="s">
        <v>72</v>
      </c>
      <c r="B163" t="s">
        <v>2750</v>
      </c>
      <c r="C163" t="s">
        <v>74</v>
      </c>
      <c r="D163" t="s">
        <v>74</v>
      </c>
      <c r="E163" t="s">
        <v>74</v>
      </c>
      <c r="F163" t="s">
        <v>2751</v>
      </c>
      <c r="G163" t="s">
        <v>74</v>
      </c>
      <c r="H163" t="s">
        <v>74</v>
      </c>
      <c r="I163" t="s">
        <v>2752</v>
      </c>
      <c r="J163" t="s">
        <v>77</v>
      </c>
      <c r="K163" t="s">
        <v>74</v>
      </c>
      <c r="L163" t="s">
        <v>74</v>
      </c>
      <c r="M163" t="s">
        <v>78</v>
      </c>
      <c r="N163" t="s">
        <v>79</v>
      </c>
      <c r="O163" t="s">
        <v>74</v>
      </c>
      <c r="P163" t="s">
        <v>74</v>
      </c>
      <c r="Q163" t="s">
        <v>74</v>
      </c>
      <c r="R163" t="s">
        <v>74</v>
      </c>
      <c r="S163" t="s">
        <v>74</v>
      </c>
      <c r="T163" t="s">
        <v>2753</v>
      </c>
      <c r="U163" t="s">
        <v>2754</v>
      </c>
      <c r="V163" t="s">
        <v>2755</v>
      </c>
      <c r="W163" t="s">
        <v>2756</v>
      </c>
      <c r="X163" t="s">
        <v>2757</v>
      </c>
      <c r="Y163" t="s">
        <v>2758</v>
      </c>
      <c r="Z163" t="s">
        <v>2759</v>
      </c>
      <c r="AA163" t="s">
        <v>2760</v>
      </c>
      <c r="AB163" t="s">
        <v>2761</v>
      </c>
      <c r="AC163" t="s">
        <v>2762</v>
      </c>
      <c r="AD163" t="s">
        <v>2763</v>
      </c>
      <c r="AE163" t="s">
        <v>2764</v>
      </c>
      <c r="AF163" t="s">
        <v>74</v>
      </c>
      <c r="AG163">
        <v>23</v>
      </c>
      <c r="AH163">
        <v>23</v>
      </c>
      <c r="AI163">
        <v>24</v>
      </c>
      <c r="AJ163">
        <v>0</v>
      </c>
      <c r="AK163">
        <v>6</v>
      </c>
      <c r="AL163" t="s">
        <v>157</v>
      </c>
      <c r="AM163" t="s">
        <v>93</v>
      </c>
      <c r="AN163" t="s">
        <v>94</v>
      </c>
      <c r="AO163" t="s">
        <v>95</v>
      </c>
      <c r="AP163" t="s">
        <v>96</v>
      </c>
      <c r="AQ163" t="s">
        <v>74</v>
      </c>
      <c r="AR163" t="s">
        <v>97</v>
      </c>
      <c r="AS163" t="s">
        <v>98</v>
      </c>
      <c r="AT163" t="s">
        <v>137</v>
      </c>
      <c r="AU163">
        <v>2019</v>
      </c>
      <c r="AV163">
        <v>64</v>
      </c>
      <c r="AW163">
        <v>21</v>
      </c>
      <c r="AX163" t="s">
        <v>74</v>
      </c>
      <c r="AY163" t="s">
        <v>74</v>
      </c>
      <c r="AZ163" t="s">
        <v>74</v>
      </c>
      <c r="BA163" t="s">
        <v>74</v>
      </c>
      <c r="BB163" t="s">
        <v>74</v>
      </c>
      <c r="BC163" t="s">
        <v>74</v>
      </c>
      <c r="BD163">
        <v>215004</v>
      </c>
      <c r="BE163" t="s">
        <v>2765</v>
      </c>
      <c r="BF163" t="str">
        <f>HYPERLINK("http://dx.doi.org/10.1088/1361-6560/ab3fc1","http://dx.doi.org/10.1088/1361-6560/ab3fc1")</f>
        <v>http://dx.doi.org/10.1088/1361-6560/ab3fc1</v>
      </c>
      <c r="BG163" t="s">
        <v>74</v>
      </c>
      <c r="BH163" t="s">
        <v>74</v>
      </c>
      <c r="BI163">
        <v>11</v>
      </c>
      <c r="BJ163" t="s">
        <v>101</v>
      </c>
      <c r="BK163" t="s">
        <v>102</v>
      </c>
      <c r="BL163" t="s">
        <v>103</v>
      </c>
      <c r="BM163" t="s">
        <v>708</v>
      </c>
      <c r="BN163">
        <v>31470418</v>
      </c>
      <c r="BO163" t="s">
        <v>795</v>
      </c>
      <c r="BP163" t="s">
        <v>74</v>
      </c>
      <c r="BQ163" t="s">
        <v>74</v>
      </c>
      <c r="BR163" t="s">
        <v>106</v>
      </c>
      <c r="BS163" t="s">
        <v>2766</v>
      </c>
      <c r="BT163" t="str">
        <f>HYPERLINK("https%3A%2F%2Fwww.webofscience.com%2Fwos%2Fwoscc%2Ffull-record%2FWOS:000518764400004","View Full Record in Web of Science")</f>
        <v>View Full Record in Web of Science</v>
      </c>
    </row>
    <row r="164" spans="1:72" x14ac:dyDescent="0.25">
      <c r="A164" t="s">
        <v>72</v>
      </c>
      <c r="B164" t="s">
        <v>2767</v>
      </c>
      <c r="C164" t="s">
        <v>74</v>
      </c>
      <c r="D164" t="s">
        <v>74</v>
      </c>
      <c r="E164" t="s">
        <v>74</v>
      </c>
      <c r="F164" t="s">
        <v>2768</v>
      </c>
      <c r="G164" t="s">
        <v>74</v>
      </c>
      <c r="H164" t="s">
        <v>74</v>
      </c>
      <c r="I164" t="s">
        <v>2769</v>
      </c>
      <c r="J164" t="s">
        <v>77</v>
      </c>
      <c r="K164" t="s">
        <v>74</v>
      </c>
      <c r="L164" t="s">
        <v>74</v>
      </c>
      <c r="M164" t="s">
        <v>78</v>
      </c>
      <c r="N164" t="s">
        <v>79</v>
      </c>
      <c r="O164" t="s">
        <v>74</v>
      </c>
      <c r="P164" t="s">
        <v>74</v>
      </c>
      <c r="Q164" t="s">
        <v>74</v>
      </c>
      <c r="R164" t="s">
        <v>74</v>
      </c>
      <c r="S164" t="s">
        <v>74</v>
      </c>
      <c r="T164" t="s">
        <v>2770</v>
      </c>
      <c r="U164" t="s">
        <v>2771</v>
      </c>
      <c r="V164" t="s">
        <v>2772</v>
      </c>
      <c r="W164" t="s">
        <v>2773</v>
      </c>
      <c r="X164" t="s">
        <v>2774</v>
      </c>
      <c r="Y164" t="s">
        <v>2775</v>
      </c>
      <c r="Z164" t="s">
        <v>2776</v>
      </c>
      <c r="AA164" t="s">
        <v>74</v>
      </c>
      <c r="AB164" t="s">
        <v>2777</v>
      </c>
      <c r="AC164" t="s">
        <v>2778</v>
      </c>
      <c r="AD164" t="s">
        <v>2779</v>
      </c>
      <c r="AE164" t="s">
        <v>2780</v>
      </c>
      <c r="AF164" t="s">
        <v>74</v>
      </c>
      <c r="AG164">
        <v>40</v>
      </c>
      <c r="AH164">
        <v>10</v>
      </c>
      <c r="AI164">
        <v>11</v>
      </c>
      <c r="AJ164">
        <v>0</v>
      </c>
      <c r="AK164">
        <v>1</v>
      </c>
      <c r="AL164" t="s">
        <v>92</v>
      </c>
      <c r="AM164" t="s">
        <v>93</v>
      </c>
      <c r="AN164" t="s">
        <v>94</v>
      </c>
      <c r="AO164" t="s">
        <v>95</v>
      </c>
      <c r="AP164" t="s">
        <v>96</v>
      </c>
      <c r="AQ164" t="s">
        <v>74</v>
      </c>
      <c r="AR164" t="s">
        <v>97</v>
      </c>
      <c r="AS164" t="s">
        <v>98</v>
      </c>
      <c r="AT164" t="s">
        <v>137</v>
      </c>
      <c r="AU164">
        <v>2019</v>
      </c>
      <c r="AV164">
        <v>64</v>
      </c>
      <c r="AW164">
        <v>22</v>
      </c>
      <c r="AX164" t="s">
        <v>74</v>
      </c>
      <c r="AY164" t="s">
        <v>74</v>
      </c>
      <c r="AZ164" t="s">
        <v>74</v>
      </c>
      <c r="BA164" t="s">
        <v>74</v>
      </c>
      <c r="BB164" t="s">
        <v>74</v>
      </c>
      <c r="BC164" t="s">
        <v>74</v>
      </c>
      <c r="BD164">
        <v>225007</v>
      </c>
      <c r="BE164" t="s">
        <v>2781</v>
      </c>
      <c r="BF164" t="str">
        <f>HYPERLINK("http://dx.doi.org/10.1088/1361-6560/ab4ac3","http://dx.doi.org/10.1088/1361-6560/ab4ac3")</f>
        <v>http://dx.doi.org/10.1088/1361-6560/ab4ac3</v>
      </c>
      <c r="BG164" t="s">
        <v>74</v>
      </c>
      <c r="BH164" t="s">
        <v>74</v>
      </c>
      <c r="BI164">
        <v>11</v>
      </c>
      <c r="BJ164" t="s">
        <v>101</v>
      </c>
      <c r="BK164" t="s">
        <v>102</v>
      </c>
      <c r="BL164" t="s">
        <v>103</v>
      </c>
      <c r="BM164" t="s">
        <v>2782</v>
      </c>
      <c r="BN164">
        <v>31581139</v>
      </c>
      <c r="BO164" t="s">
        <v>74</v>
      </c>
      <c r="BP164" t="s">
        <v>74</v>
      </c>
      <c r="BQ164" t="s">
        <v>74</v>
      </c>
      <c r="BR164" t="s">
        <v>106</v>
      </c>
      <c r="BS164" t="s">
        <v>2783</v>
      </c>
      <c r="BT164" t="str">
        <f>HYPERLINK("https%3A%2F%2Fwww.webofscience.com%2Fwos%2Fwoscc%2Ffull-record%2FWOS:000499955900001","View Full Record in Web of Science")</f>
        <v>View Full Record in Web of Science</v>
      </c>
    </row>
    <row r="165" spans="1:72" x14ac:dyDescent="0.25">
      <c r="A165" t="s">
        <v>72</v>
      </c>
      <c r="B165" t="s">
        <v>2784</v>
      </c>
      <c r="C165" t="s">
        <v>74</v>
      </c>
      <c r="D165" t="s">
        <v>74</v>
      </c>
      <c r="E165" t="s">
        <v>74</v>
      </c>
      <c r="F165" t="s">
        <v>2785</v>
      </c>
      <c r="G165" t="s">
        <v>74</v>
      </c>
      <c r="H165" t="s">
        <v>74</v>
      </c>
      <c r="I165" t="s">
        <v>2786</v>
      </c>
      <c r="J165" t="s">
        <v>77</v>
      </c>
      <c r="K165" t="s">
        <v>74</v>
      </c>
      <c r="L165" t="s">
        <v>74</v>
      </c>
      <c r="M165" t="s">
        <v>78</v>
      </c>
      <c r="N165" t="s">
        <v>79</v>
      </c>
      <c r="O165" t="s">
        <v>74</v>
      </c>
      <c r="P165" t="s">
        <v>74</v>
      </c>
      <c r="Q165" t="s">
        <v>74</v>
      </c>
      <c r="R165" t="s">
        <v>74</v>
      </c>
      <c r="S165" t="s">
        <v>74</v>
      </c>
      <c r="T165" t="s">
        <v>2787</v>
      </c>
      <c r="U165" t="s">
        <v>2788</v>
      </c>
      <c r="V165" t="s">
        <v>2789</v>
      </c>
      <c r="W165" t="s">
        <v>2790</v>
      </c>
      <c r="X165" t="s">
        <v>2791</v>
      </c>
      <c r="Y165" t="s">
        <v>2792</v>
      </c>
      <c r="Z165" t="s">
        <v>2793</v>
      </c>
      <c r="AA165" t="s">
        <v>2794</v>
      </c>
      <c r="AB165" t="s">
        <v>2795</v>
      </c>
      <c r="AC165" t="s">
        <v>74</v>
      </c>
      <c r="AD165" t="s">
        <v>74</v>
      </c>
      <c r="AE165" t="s">
        <v>74</v>
      </c>
      <c r="AF165" t="s">
        <v>74</v>
      </c>
      <c r="AG165">
        <v>35</v>
      </c>
      <c r="AH165">
        <v>22</v>
      </c>
      <c r="AI165">
        <v>24</v>
      </c>
      <c r="AJ165">
        <v>0</v>
      </c>
      <c r="AK165">
        <v>3</v>
      </c>
      <c r="AL165" t="s">
        <v>92</v>
      </c>
      <c r="AM165" t="s">
        <v>93</v>
      </c>
      <c r="AN165" t="s">
        <v>94</v>
      </c>
      <c r="AO165" t="s">
        <v>95</v>
      </c>
      <c r="AP165" t="s">
        <v>96</v>
      </c>
      <c r="AQ165" t="s">
        <v>74</v>
      </c>
      <c r="AR165" t="s">
        <v>97</v>
      </c>
      <c r="AS165" t="s">
        <v>98</v>
      </c>
      <c r="AT165" t="s">
        <v>509</v>
      </c>
      <c r="AU165">
        <v>2019</v>
      </c>
      <c r="AV165">
        <v>64</v>
      </c>
      <c r="AW165">
        <v>20</v>
      </c>
      <c r="AX165" t="s">
        <v>74</v>
      </c>
      <c r="AY165" t="s">
        <v>74</v>
      </c>
      <c r="AZ165" t="s">
        <v>74</v>
      </c>
      <c r="BA165" t="s">
        <v>74</v>
      </c>
      <c r="BB165" t="s">
        <v>74</v>
      </c>
      <c r="BC165" t="s">
        <v>74</v>
      </c>
      <c r="BD165">
        <v>205002</v>
      </c>
      <c r="BE165" t="s">
        <v>2796</v>
      </c>
      <c r="BF165" t="str">
        <f>HYPERLINK("http://dx.doi.org/10.1088/1361-6560/ab44ff","http://dx.doi.org/10.1088/1361-6560/ab44ff")</f>
        <v>http://dx.doi.org/10.1088/1361-6560/ab44ff</v>
      </c>
      <c r="BG165" t="s">
        <v>74</v>
      </c>
      <c r="BH165" t="s">
        <v>74</v>
      </c>
      <c r="BI165">
        <v>8</v>
      </c>
      <c r="BJ165" t="s">
        <v>101</v>
      </c>
      <c r="BK165" t="s">
        <v>102</v>
      </c>
      <c r="BL165" t="s">
        <v>103</v>
      </c>
      <c r="BM165" t="s">
        <v>741</v>
      </c>
      <c r="BN165">
        <v>31530761</v>
      </c>
      <c r="BO165" t="s">
        <v>179</v>
      </c>
      <c r="BP165" t="s">
        <v>74</v>
      </c>
      <c r="BQ165" t="s">
        <v>74</v>
      </c>
      <c r="BR165" t="s">
        <v>106</v>
      </c>
      <c r="BS165" t="s">
        <v>2797</v>
      </c>
      <c r="BT165" t="str">
        <f>HYPERLINK("https%3A%2F%2Fwww.webofscience.com%2Fwos%2Fwoscc%2Ffull-record%2FWOS:000500247900002","View Full Record in Web of Science")</f>
        <v>View Full Record in Web of Science</v>
      </c>
    </row>
    <row r="166" spans="1:72" x14ac:dyDescent="0.25">
      <c r="A166" t="s">
        <v>72</v>
      </c>
      <c r="B166" t="s">
        <v>2798</v>
      </c>
      <c r="C166" t="s">
        <v>74</v>
      </c>
      <c r="D166" t="s">
        <v>74</v>
      </c>
      <c r="E166" t="s">
        <v>74</v>
      </c>
      <c r="F166" t="s">
        <v>2799</v>
      </c>
      <c r="G166" t="s">
        <v>74</v>
      </c>
      <c r="H166" t="s">
        <v>74</v>
      </c>
      <c r="I166" t="s">
        <v>2800</v>
      </c>
      <c r="J166" t="s">
        <v>77</v>
      </c>
      <c r="K166" t="s">
        <v>74</v>
      </c>
      <c r="L166" t="s">
        <v>74</v>
      </c>
      <c r="M166" t="s">
        <v>78</v>
      </c>
      <c r="N166" t="s">
        <v>79</v>
      </c>
      <c r="O166" t="s">
        <v>74</v>
      </c>
      <c r="P166" t="s">
        <v>74</v>
      </c>
      <c r="Q166" t="s">
        <v>74</v>
      </c>
      <c r="R166" t="s">
        <v>74</v>
      </c>
      <c r="S166" t="s">
        <v>74</v>
      </c>
      <c r="T166" t="s">
        <v>2801</v>
      </c>
      <c r="U166" t="s">
        <v>2802</v>
      </c>
      <c r="V166" t="s">
        <v>2803</v>
      </c>
      <c r="W166" t="s">
        <v>2804</v>
      </c>
      <c r="X166" t="s">
        <v>2805</v>
      </c>
      <c r="Y166" t="s">
        <v>2806</v>
      </c>
      <c r="Z166" t="s">
        <v>2807</v>
      </c>
      <c r="AA166" t="s">
        <v>2808</v>
      </c>
      <c r="AB166" t="s">
        <v>2809</v>
      </c>
      <c r="AC166" t="s">
        <v>2810</v>
      </c>
      <c r="AD166" t="s">
        <v>2811</v>
      </c>
      <c r="AE166" t="s">
        <v>2812</v>
      </c>
      <c r="AF166" t="s">
        <v>74</v>
      </c>
      <c r="AG166">
        <v>33</v>
      </c>
      <c r="AH166">
        <v>10</v>
      </c>
      <c r="AI166">
        <v>10</v>
      </c>
      <c r="AJ166">
        <v>0</v>
      </c>
      <c r="AK166">
        <v>8</v>
      </c>
      <c r="AL166" t="s">
        <v>92</v>
      </c>
      <c r="AM166" t="s">
        <v>93</v>
      </c>
      <c r="AN166" t="s">
        <v>94</v>
      </c>
      <c r="AO166" t="s">
        <v>95</v>
      </c>
      <c r="AP166" t="s">
        <v>96</v>
      </c>
      <c r="AQ166" t="s">
        <v>74</v>
      </c>
      <c r="AR166" t="s">
        <v>97</v>
      </c>
      <c r="AS166" t="s">
        <v>98</v>
      </c>
      <c r="AT166" t="s">
        <v>509</v>
      </c>
      <c r="AU166">
        <v>2019</v>
      </c>
      <c r="AV166">
        <v>64</v>
      </c>
      <c r="AW166">
        <v>19</v>
      </c>
      <c r="AX166" t="s">
        <v>74</v>
      </c>
      <c r="AY166" t="s">
        <v>74</v>
      </c>
      <c r="AZ166" t="s">
        <v>74</v>
      </c>
      <c r="BA166" t="s">
        <v>74</v>
      </c>
      <c r="BB166" t="s">
        <v>74</v>
      </c>
      <c r="BC166" t="s">
        <v>74</v>
      </c>
      <c r="BD166">
        <v>195015</v>
      </c>
      <c r="BE166" t="s">
        <v>2813</v>
      </c>
      <c r="BF166" t="str">
        <f>HYPERLINK("http://dx.doi.org/10.1088/1361-6560/ab3dec","http://dx.doi.org/10.1088/1361-6560/ab3dec")</f>
        <v>http://dx.doi.org/10.1088/1361-6560/ab3dec</v>
      </c>
      <c r="BG166" t="s">
        <v>74</v>
      </c>
      <c r="BH166" t="s">
        <v>74</v>
      </c>
      <c r="BI166">
        <v>12</v>
      </c>
      <c r="BJ166" t="s">
        <v>101</v>
      </c>
      <c r="BK166" t="s">
        <v>102</v>
      </c>
      <c r="BL166" t="s">
        <v>103</v>
      </c>
      <c r="BM166" t="s">
        <v>1956</v>
      </c>
      <c r="BN166">
        <v>31437824</v>
      </c>
      <c r="BO166" t="s">
        <v>74</v>
      </c>
      <c r="BP166" t="s">
        <v>74</v>
      </c>
      <c r="BQ166" t="s">
        <v>74</v>
      </c>
      <c r="BR166" t="s">
        <v>106</v>
      </c>
      <c r="BS166" t="s">
        <v>2814</v>
      </c>
      <c r="BT166" t="str">
        <f>HYPERLINK("https%3A%2F%2Fwww.webofscience.com%2Fwos%2Fwoscc%2Ffull-record%2FWOS:000505954900002","View Full Record in Web of Science")</f>
        <v>View Full Record in Web of Science</v>
      </c>
    </row>
    <row r="167" spans="1:72" x14ac:dyDescent="0.25">
      <c r="A167" t="s">
        <v>72</v>
      </c>
      <c r="B167" t="s">
        <v>2815</v>
      </c>
      <c r="C167" t="s">
        <v>74</v>
      </c>
      <c r="D167" t="s">
        <v>74</v>
      </c>
      <c r="E167" t="s">
        <v>74</v>
      </c>
      <c r="F167" t="s">
        <v>2816</v>
      </c>
      <c r="G167" t="s">
        <v>74</v>
      </c>
      <c r="H167" t="s">
        <v>74</v>
      </c>
      <c r="I167" t="s">
        <v>2817</v>
      </c>
      <c r="J167" t="s">
        <v>77</v>
      </c>
      <c r="K167" t="s">
        <v>74</v>
      </c>
      <c r="L167" t="s">
        <v>74</v>
      </c>
      <c r="M167" t="s">
        <v>78</v>
      </c>
      <c r="N167" t="s">
        <v>79</v>
      </c>
      <c r="O167" t="s">
        <v>74</v>
      </c>
      <c r="P167" t="s">
        <v>74</v>
      </c>
      <c r="Q167" t="s">
        <v>74</v>
      </c>
      <c r="R167" t="s">
        <v>74</v>
      </c>
      <c r="S167" t="s">
        <v>74</v>
      </c>
      <c r="T167" t="s">
        <v>2818</v>
      </c>
      <c r="U167" t="s">
        <v>2819</v>
      </c>
      <c r="V167" t="s">
        <v>2820</v>
      </c>
      <c r="W167" t="s">
        <v>2821</v>
      </c>
      <c r="X167" t="s">
        <v>2822</v>
      </c>
      <c r="Y167" t="s">
        <v>2823</v>
      </c>
      <c r="Z167" t="s">
        <v>2824</v>
      </c>
      <c r="AA167" t="s">
        <v>2825</v>
      </c>
      <c r="AB167" t="s">
        <v>2826</v>
      </c>
      <c r="AC167" t="s">
        <v>2827</v>
      </c>
      <c r="AD167" t="s">
        <v>2827</v>
      </c>
      <c r="AE167" t="s">
        <v>2828</v>
      </c>
      <c r="AF167" t="s">
        <v>74</v>
      </c>
      <c r="AG167">
        <v>55</v>
      </c>
      <c r="AH167">
        <v>2</v>
      </c>
      <c r="AI167">
        <v>3</v>
      </c>
      <c r="AJ167">
        <v>0</v>
      </c>
      <c r="AK167">
        <v>10</v>
      </c>
      <c r="AL167" t="s">
        <v>92</v>
      </c>
      <c r="AM167" t="s">
        <v>93</v>
      </c>
      <c r="AN167" t="s">
        <v>94</v>
      </c>
      <c r="AO167" t="s">
        <v>95</v>
      </c>
      <c r="AP167" t="s">
        <v>96</v>
      </c>
      <c r="AQ167" t="s">
        <v>74</v>
      </c>
      <c r="AR167" t="s">
        <v>97</v>
      </c>
      <c r="AS167" t="s">
        <v>98</v>
      </c>
      <c r="AT167" t="s">
        <v>176</v>
      </c>
      <c r="AU167">
        <v>2019</v>
      </c>
      <c r="AV167">
        <v>64</v>
      </c>
      <c r="AW167">
        <v>17</v>
      </c>
      <c r="AX167" t="s">
        <v>74</v>
      </c>
      <c r="AY167" t="s">
        <v>74</v>
      </c>
      <c r="AZ167" t="s">
        <v>74</v>
      </c>
      <c r="BA167" t="s">
        <v>74</v>
      </c>
      <c r="BB167" t="s">
        <v>74</v>
      </c>
      <c r="BC167" t="s">
        <v>74</v>
      </c>
      <c r="BD167">
        <v>175013</v>
      </c>
      <c r="BE167" t="s">
        <v>2829</v>
      </c>
      <c r="BF167" t="str">
        <f>HYPERLINK("http://dx.doi.org/10.1088/1361-6560/ab325b","http://dx.doi.org/10.1088/1361-6560/ab325b")</f>
        <v>http://dx.doi.org/10.1088/1361-6560/ab325b</v>
      </c>
      <c r="BG167" t="s">
        <v>74</v>
      </c>
      <c r="BH167" t="s">
        <v>74</v>
      </c>
      <c r="BI167">
        <v>13</v>
      </c>
      <c r="BJ167" t="s">
        <v>101</v>
      </c>
      <c r="BK167" t="s">
        <v>102</v>
      </c>
      <c r="BL167" t="s">
        <v>103</v>
      </c>
      <c r="BM167" t="s">
        <v>794</v>
      </c>
      <c r="BN167">
        <v>31307018</v>
      </c>
      <c r="BO167" t="s">
        <v>2830</v>
      </c>
      <c r="BP167" t="s">
        <v>74</v>
      </c>
      <c r="BQ167" t="s">
        <v>74</v>
      </c>
      <c r="BR167" t="s">
        <v>106</v>
      </c>
      <c r="BS167" t="s">
        <v>2831</v>
      </c>
      <c r="BT167" t="str">
        <f>HYPERLINK("https%3A%2F%2Fwww.webofscience.com%2Fwos%2Fwoscc%2Ffull-record%2FWOS:000484508700006","View Full Record in Web of Science")</f>
        <v>View Full Record in Web of Science</v>
      </c>
    </row>
    <row r="168" spans="1:72" x14ac:dyDescent="0.25">
      <c r="A168" t="s">
        <v>72</v>
      </c>
      <c r="B168" t="s">
        <v>2832</v>
      </c>
      <c r="C168" t="s">
        <v>74</v>
      </c>
      <c r="D168" t="s">
        <v>74</v>
      </c>
      <c r="E168" t="s">
        <v>74</v>
      </c>
      <c r="F168" t="s">
        <v>2833</v>
      </c>
      <c r="G168" t="s">
        <v>74</v>
      </c>
      <c r="H168" t="s">
        <v>74</v>
      </c>
      <c r="I168" t="s">
        <v>2834</v>
      </c>
      <c r="J168" t="s">
        <v>77</v>
      </c>
      <c r="K168" t="s">
        <v>74</v>
      </c>
      <c r="L168" t="s">
        <v>74</v>
      </c>
      <c r="M168" t="s">
        <v>78</v>
      </c>
      <c r="N168" t="s">
        <v>79</v>
      </c>
      <c r="O168" t="s">
        <v>74</v>
      </c>
      <c r="P168" t="s">
        <v>74</v>
      </c>
      <c r="Q168" t="s">
        <v>74</v>
      </c>
      <c r="R168" t="s">
        <v>74</v>
      </c>
      <c r="S168" t="s">
        <v>74</v>
      </c>
      <c r="T168" t="s">
        <v>2835</v>
      </c>
      <c r="U168" t="s">
        <v>2836</v>
      </c>
      <c r="V168" t="s">
        <v>2837</v>
      </c>
      <c r="W168" t="s">
        <v>2838</v>
      </c>
      <c r="X168" t="s">
        <v>2839</v>
      </c>
      <c r="Y168" t="s">
        <v>2840</v>
      </c>
      <c r="Z168" t="s">
        <v>2841</v>
      </c>
      <c r="AA168" t="s">
        <v>2842</v>
      </c>
      <c r="AB168" t="s">
        <v>2843</v>
      </c>
      <c r="AC168" t="s">
        <v>2844</v>
      </c>
      <c r="AD168" t="s">
        <v>2845</v>
      </c>
      <c r="AE168" t="s">
        <v>2846</v>
      </c>
      <c r="AF168" t="s">
        <v>74</v>
      </c>
      <c r="AG168">
        <v>51</v>
      </c>
      <c r="AH168">
        <v>44</v>
      </c>
      <c r="AI168">
        <v>47</v>
      </c>
      <c r="AJ168">
        <v>1</v>
      </c>
      <c r="AK168">
        <v>17</v>
      </c>
      <c r="AL168" t="s">
        <v>92</v>
      </c>
      <c r="AM168" t="s">
        <v>93</v>
      </c>
      <c r="AN168" t="s">
        <v>94</v>
      </c>
      <c r="AO168" t="s">
        <v>95</v>
      </c>
      <c r="AP168" t="s">
        <v>96</v>
      </c>
      <c r="AQ168" t="s">
        <v>74</v>
      </c>
      <c r="AR168" t="s">
        <v>97</v>
      </c>
      <c r="AS168" t="s">
        <v>98</v>
      </c>
      <c r="AT168" t="s">
        <v>176</v>
      </c>
      <c r="AU168">
        <v>2019</v>
      </c>
      <c r="AV168">
        <v>64</v>
      </c>
      <c r="AW168">
        <v>17</v>
      </c>
      <c r="AX168" t="s">
        <v>74</v>
      </c>
      <c r="AY168" t="s">
        <v>74</v>
      </c>
      <c r="AZ168" t="s">
        <v>74</v>
      </c>
      <c r="BA168" t="s">
        <v>74</v>
      </c>
      <c r="BB168" t="s">
        <v>74</v>
      </c>
      <c r="BC168" t="s">
        <v>74</v>
      </c>
      <c r="BD168">
        <v>175005</v>
      </c>
      <c r="BE168" t="s">
        <v>2847</v>
      </c>
      <c r="BF168" t="str">
        <f>HYPERLINK("http://dx.doi.org/10.1088/1361-6560/ab314c","http://dx.doi.org/10.1088/1361-6560/ab314c")</f>
        <v>http://dx.doi.org/10.1088/1361-6560/ab314c</v>
      </c>
      <c r="BG168" t="s">
        <v>74</v>
      </c>
      <c r="BH168" t="s">
        <v>74</v>
      </c>
      <c r="BI168">
        <v>12</v>
      </c>
      <c r="BJ168" t="s">
        <v>101</v>
      </c>
      <c r="BK168" t="s">
        <v>102</v>
      </c>
      <c r="BL168" t="s">
        <v>103</v>
      </c>
      <c r="BM168" t="s">
        <v>776</v>
      </c>
      <c r="BN168">
        <v>31295730</v>
      </c>
      <c r="BO168" t="s">
        <v>105</v>
      </c>
      <c r="BP168" t="s">
        <v>74</v>
      </c>
      <c r="BQ168" t="s">
        <v>74</v>
      </c>
      <c r="BR168" t="s">
        <v>106</v>
      </c>
      <c r="BS168" t="s">
        <v>2848</v>
      </c>
      <c r="BT168" t="str">
        <f>HYPERLINK("https%3A%2F%2Fwww.webofscience.com%2Fwos%2Fwoscc%2Ffull-record%2FWOS:000483095200005","View Full Record in Web of Science")</f>
        <v>View Full Record in Web of Science</v>
      </c>
    </row>
    <row r="169" spans="1:72" x14ac:dyDescent="0.25">
      <c r="A169" t="s">
        <v>72</v>
      </c>
      <c r="B169" t="s">
        <v>2849</v>
      </c>
      <c r="C169" t="s">
        <v>74</v>
      </c>
      <c r="D169" t="s">
        <v>74</v>
      </c>
      <c r="E169" t="s">
        <v>74</v>
      </c>
      <c r="F169" t="s">
        <v>2850</v>
      </c>
      <c r="G169" t="s">
        <v>74</v>
      </c>
      <c r="H169" t="s">
        <v>74</v>
      </c>
      <c r="I169" t="s">
        <v>2851</v>
      </c>
      <c r="J169" t="s">
        <v>77</v>
      </c>
      <c r="K169" t="s">
        <v>74</v>
      </c>
      <c r="L169" t="s">
        <v>74</v>
      </c>
      <c r="M169" t="s">
        <v>78</v>
      </c>
      <c r="N169" t="s">
        <v>79</v>
      </c>
      <c r="O169" t="s">
        <v>74</v>
      </c>
      <c r="P169" t="s">
        <v>74</v>
      </c>
      <c r="Q169" t="s">
        <v>74</v>
      </c>
      <c r="R169" t="s">
        <v>74</v>
      </c>
      <c r="S169" t="s">
        <v>74</v>
      </c>
      <c r="T169" t="s">
        <v>2852</v>
      </c>
      <c r="U169" t="s">
        <v>2853</v>
      </c>
      <c r="V169" t="s">
        <v>2854</v>
      </c>
      <c r="W169" t="s">
        <v>2855</v>
      </c>
      <c r="X169" t="s">
        <v>2856</v>
      </c>
      <c r="Y169" t="s">
        <v>2857</v>
      </c>
      <c r="Z169" t="s">
        <v>2858</v>
      </c>
      <c r="AA169" t="s">
        <v>2859</v>
      </c>
      <c r="AB169" t="s">
        <v>2860</v>
      </c>
      <c r="AC169" t="s">
        <v>2861</v>
      </c>
      <c r="AD169" t="s">
        <v>2862</v>
      </c>
      <c r="AE169" t="s">
        <v>2863</v>
      </c>
      <c r="AF169" t="s">
        <v>74</v>
      </c>
      <c r="AG169">
        <v>55</v>
      </c>
      <c r="AH169">
        <v>1</v>
      </c>
      <c r="AI169">
        <v>2</v>
      </c>
      <c r="AJ169">
        <v>1</v>
      </c>
      <c r="AK169">
        <v>23</v>
      </c>
      <c r="AL169" t="s">
        <v>92</v>
      </c>
      <c r="AM169" t="s">
        <v>93</v>
      </c>
      <c r="AN169" t="s">
        <v>94</v>
      </c>
      <c r="AO169" t="s">
        <v>95</v>
      </c>
      <c r="AP169" t="s">
        <v>96</v>
      </c>
      <c r="AQ169" t="s">
        <v>74</v>
      </c>
      <c r="AR169" t="s">
        <v>97</v>
      </c>
      <c r="AS169" t="s">
        <v>98</v>
      </c>
      <c r="AT169" t="s">
        <v>196</v>
      </c>
      <c r="AU169">
        <v>2019</v>
      </c>
      <c r="AV169">
        <v>64</v>
      </c>
      <c r="AW169">
        <v>16</v>
      </c>
      <c r="AX169" t="s">
        <v>74</v>
      </c>
      <c r="AY169" t="s">
        <v>74</v>
      </c>
      <c r="AZ169" t="s">
        <v>74</v>
      </c>
      <c r="BA169" t="s">
        <v>74</v>
      </c>
      <c r="BB169" t="s">
        <v>74</v>
      </c>
      <c r="BC169" t="s">
        <v>74</v>
      </c>
      <c r="BD169">
        <v>165004</v>
      </c>
      <c r="BE169" t="s">
        <v>2864</v>
      </c>
      <c r="BF169" t="str">
        <f>HYPERLINK("http://dx.doi.org/10.1088/1361-6560/ab21fa","http://dx.doi.org/10.1088/1361-6560/ab21fa")</f>
        <v>http://dx.doi.org/10.1088/1361-6560/ab21fa</v>
      </c>
      <c r="BG169" t="s">
        <v>74</v>
      </c>
      <c r="BH169" t="s">
        <v>74</v>
      </c>
      <c r="BI169">
        <v>19</v>
      </c>
      <c r="BJ169" t="s">
        <v>101</v>
      </c>
      <c r="BK169" t="s">
        <v>102</v>
      </c>
      <c r="BL169" t="s">
        <v>103</v>
      </c>
      <c r="BM169" t="s">
        <v>1076</v>
      </c>
      <c r="BN169">
        <v>31096198</v>
      </c>
      <c r="BO169" t="s">
        <v>74</v>
      </c>
      <c r="BP169" t="s">
        <v>74</v>
      </c>
      <c r="BQ169" t="s">
        <v>74</v>
      </c>
      <c r="BR169" t="s">
        <v>106</v>
      </c>
      <c r="BS169" t="s">
        <v>2865</v>
      </c>
      <c r="BT169" t="str">
        <f>HYPERLINK("https%3A%2F%2Fwww.webofscience.com%2Fwos%2Fwoscc%2Ffull-record%2FWOS:000481852600004","View Full Record in Web of Science")</f>
        <v>View Full Record in Web of Science</v>
      </c>
    </row>
    <row r="170" spans="1:72" x14ac:dyDescent="0.25">
      <c r="A170" t="s">
        <v>72</v>
      </c>
      <c r="B170" t="s">
        <v>2866</v>
      </c>
      <c r="C170" t="s">
        <v>74</v>
      </c>
      <c r="D170" t="s">
        <v>74</v>
      </c>
      <c r="E170" t="s">
        <v>74</v>
      </c>
      <c r="F170" t="s">
        <v>2867</v>
      </c>
      <c r="G170" t="s">
        <v>74</v>
      </c>
      <c r="H170" t="s">
        <v>74</v>
      </c>
      <c r="I170" t="s">
        <v>2868</v>
      </c>
      <c r="J170" t="s">
        <v>77</v>
      </c>
      <c r="K170" t="s">
        <v>74</v>
      </c>
      <c r="L170" t="s">
        <v>74</v>
      </c>
      <c r="M170" t="s">
        <v>78</v>
      </c>
      <c r="N170" t="s">
        <v>79</v>
      </c>
      <c r="O170" t="s">
        <v>74</v>
      </c>
      <c r="P170" t="s">
        <v>74</v>
      </c>
      <c r="Q170" t="s">
        <v>74</v>
      </c>
      <c r="R170" t="s">
        <v>74</v>
      </c>
      <c r="S170" t="s">
        <v>74</v>
      </c>
      <c r="T170" t="s">
        <v>2869</v>
      </c>
      <c r="U170" t="s">
        <v>74</v>
      </c>
      <c r="V170" t="s">
        <v>2870</v>
      </c>
      <c r="W170" t="s">
        <v>2871</v>
      </c>
      <c r="X170" t="s">
        <v>2872</v>
      </c>
      <c r="Y170" t="s">
        <v>2873</v>
      </c>
      <c r="Z170" t="s">
        <v>2874</v>
      </c>
      <c r="AA170" t="s">
        <v>2875</v>
      </c>
      <c r="AB170" t="s">
        <v>2876</v>
      </c>
      <c r="AC170" t="s">
        <v>2877</v>
      </c>
      <c r="AD170" t="s">
        <v>2878</v>
      </c>
      <c r="AE170" t="s">
        <v>2879</v>
      </c>
      <c r="AF170" t="s">
        <v>74</v>
      </c>
      <c r="AG170">
        <v>19</v>
      </c>
      <c r="AH170">
        <v>15</v>
      </c>
      <c r="AI170">
        <v>15</v>
      </c>
      <c r="AJ170">
        <v>0</v>
      </c>
      <c r="AK170">
        <v>16</v>
      </c>
      <c r="AL170" t="s">
        <v>92</v>
      </c>
      <c r="AM170" t="s">
        <v>93</v>
      </c>
      <c r="AN170" t="s">
        <v>94</v>
      </c>
      <c r="AO170" t="s">
        <v>95</v>
      </c>
      <c r="AP170" t="s">
        <v>96</v>
      </c>
      <c r="AQ170" t="s">
        <v>74</v>
      </c>
      <c r="AR170" t="s">
        <v>97</v>
      </c>
      <c r="AS170" t="s">
        <v>98</v>
      </c>
      <c r="AT170" t="s">
        <v>196</v>
      </c>
      <c r="AU170">
        <v>2019</v>
      </c>
      <c r="AV170">
        <v>64</v>
      </c>
      <c r="AW170">
        <v>16</v>
      </c>
      <c r="AX170" t="s">
        <v>74</v>
      </c>
      <c r="AY170" t="s">
        <v>74</v>
      </c>
      <c r="AZ170" t="s">
        <v>74</v>
      </c>
      <c r="BA170" t="s">
        <v>74</v>
      </c>
      <c r="BB170" t="s">
        <v>74</v>
      </c>
      <c r="BC170" t="s">
        <v>74</v>
      </c>
      <c r="BD170">
        <v>165009</v>
      </c>
      <c r="BE170" t="s">
        <v>2880</v>
      </c>
      <c r="BF170" t="str">
        <f>HYPERLINK("http://dx.doi.org/10.1088/1361-6560/ab2ff5","http://dx.doi.org/10.1088/1361-6560/ab2ff5")</f>
        <v>http://dx.doi.org/10.1088/1361-6560/ab2ff5</v>
      </c>
      <c r="BG170" t="s">
        <v>74</v>
      </c>
      <c r="BH170" t="s">
        <v>74</v>
      </c>
      <c r="BI170">
        <v>8</v>
      </c>
      <c r="BJ170" t="s">
        <v>101</v>
      </c>
      <c r="BK170" t="s">
        <v>102</v>
      </c>
      <c r="BL170" t="s">
        <v>103</v>
      </c>
      <c r="BM170" t="s">
        <v>1076</v>
      </c>
      <c r="BN170">
        <v>31284279</v>
      </c>
      <c r="BO170" t="s">
        <v>759</v>
      </c>
      <c r="BP170" t="s">
        <v>74</v>
      </c>
      <c r="BQ170" t="s">
        <v>74</v>
      </c>
      <c r="BR170" t="s">
        <v>106</v>
      </c>
      <c r="BS170" t="s">
        <v>2881</v>
      </c>
      <c r="BT170" t="str">
        <f>HYPERLINK("https%3A%2F%2Fwww.webofscience.com%2Fwos%2Fwoscc%2Ffull-record%2FWOS:000481852600009","View Full Record in Web of Science")</f>
        <v>View Full Record in Web of Science</v>
      </c>
    </row>
    <row r="171" spans="1:72" x14ac:dyDescent="0.25">
      <c r="A171" t="s">
        <v>72</v>
      </c>
      <c r="B171" t="s">
        <v>2882</v>
      </c>
      <c r="C171" t="s">
        <v>74</v>
      </c>
      <c r="D171" t="s">
        <v>74</v>
      </c>
      <c r="E171" t="s">
        <v>74</v>
      </c>
      <c r="F171" t="s">
        <v>2883</v>
      </c>
      <c r="G171" t="s">
        <v>74</v>
      </c>
      <c r="H171" t="s">
        <v>74</v>
      </c>
      <c r="I171" t="s">
        <v>2884</v>
      </c>
      <c r="J171" t="s">
        <v>77</v>
      </c>
      <c r="K171" t="s">
        <v>74</v>
      </c>
      <c r="L171" t="s">
        <v>74</v>
      </c>
      <c r="M171" t="s">
        <v>78</v>
      </c>
      <c r="N171" t="s">
        <v>79</v>
      </c>
      <c r="O171" t="s">
        <v>74</v>
      </c>
      <c r="P171" t="s">
        <v>74</v>
      </c>
      <c r="Q171" t="s">
        <v>74</v>
      </c>
      <c r="R171" t="s">
        <v>74</v>
      </c>
      <c r="S171" t="s">
        <v>74</v>
      </c>
      <c r="T171" t="s">
        <v>2885</v>
      </c>
      <c r="U171" t="s">
        <v>2886</v>
      </c>
      <c r="V171" t="s">
        <v>2887</v>
      </c>
      <c r="W171" t="s">
        <v>2888</v>
      </c>
      <c r="X171" t="s">
        <v>2889</v>
      </c>
      <c r="Y171" t="s">
        <v>2890</v>
      </c>
      <c r="Z171" t="s">
        <v>2891</v>
      </c>
      <c r="AA171" t="s">
        <v>2892</v>
      </c>
      <c r="AB171" t="s">
        <v>2893</v>
      </c>
      <c r="AC171" t="s">
        <v>2894</v>
      </c>
      <c r="AD171" t="s">
        <v>1003</v>
      </c>
      <c r="AE171" t="s">
        <v>74</v>
      </c>
      <c r="AF171" t="s">
        <v>74</v>
      </c>
      <c r="AG171">
        <v>17</v>
      </c>
      <c r="AH171">
        <v>5</v>
      </c>
      <c r="AI171">
        <v>6</v>
      </c>
      <c r="AJ171">
        <v>0</v>
      </c>
      <c r="AK171">
        <v>2</v>
      </c>
      <c r="AL171" t="s">
        <v>92</v>
      </c>
      <c r="AM171" t="s">
        <v>93</v>
      </c>
      <c r="AN171" t="s">
        <v>94</v>
      </c>
      <c r="AO171" t="s">
        <v>95</v>
      </c>
      <c r="AP171" t="s">
        <v>96</v>
      </c>
      <c r="AQ171" t="s">
        <v>74</v>
      </c>
      <c r="AR171" t="s">
        <v>97</v>
      </c>
      <c r="AS171" t="s">
        <v>98</v>
      </c>
      <c r="AT171" t="s">
        <v>196</v>
      </c>
      <c r="AU171">
        <v>2019</v>
      </c>
      <c r="AV171">
        <v>64</v>
      </c>
      <c r="AW171">
        <v>15</v>
      </c>
      <c r="AX171" t="s">
        <v>74</v>
      </c>
      <c r="AY171" t="s">
        <v>74</v>
      </c>
      <c r="AZ171" t="s">
        <v>74</v>
      </c>
      <c r="BA171" t="s">
        <v>74</v>
      </c>
      <c r="BB171" t="s">
        <v>74</v>
      </c>
      <c r="BC171" t="s">
        <v>74</v>
      </c>
      <c r="BD171">
        <v>155002</v>
      </c>
      <c r="BE171" t="s">
        <v>2895</v>
      </c>
      <c r="BF171" t="str">
        <f>HYPERLINK("http://dx.doi.org/10.1088/1361-6560/ab2b0a","http://dx.doi.org/10.1088/1361-6560/ab2b0a")</f>
        <v>http://dx.doi.org/10.1088/1361-6560/ab2b0a</v>
      </c>
      <c r="BG171" t="s">
        <v>74</v>
      </c>
      <c r="BH171" t="s">
        <v>74</v>
      </c>
      <c r="BI171">
        <v>8</v>
      </c>
      <c r="BJ171" t="s">
        <v>101</v>
      </c>
      <c r="BK171" t="s">
        <v>102</v>
      </c>
      <c r="BL171" t="s">
        <v>103</v>
      </c>
      <c r="BM171" t="s">
        <v>2395</v>
      </c>
      <c r="BN171">
        <v>31216529</v>
      </c>
      <c r="BO171" t="s">
        <v>105</v>
      </c>
      <c r="BP171" t="s">
        <v>74</v>
      </c>
      <c r="BQ171" t="s">
        <v>74</v>
      </c>
      <c r="BR171" t="s">
        <v>106</v>
      </c>
      <c r="BS171" t="s">
        <v>2896</v>
      </c>
      <c r="BT171" t="str">
        <f>HYPERLINK("https%3A%2F%2Fwww.webofscience.com%2Fwos%2Fwoscc%2Ffull-record%2FWOS:000478621000002","View Full Record in Web of Science")</f>
        <v>View Full Record in Web of Science</v>
      </c>
    </row>
    <row r="172" spans="1:72" x14ac:dyDescent="0.25">
      <c r="A172" t="s">
        <v>72</v>
      </c>
      <c r="B172" t="s">
        <v>2897</v>
      </c>
      <c r="C172" t="s">
        <v>74</v>
      </c>
      <c r="D172" t="s">
        <v>74</v>
      </c>
      <c r="E172" t="s">
        <v>74</v>
      </c>
      <c r="F172" t="s">
        <v>2898</v>
      </c>
      <c r="G172" t="s">
        <v>74</v>
      </c>
      <c r="H172" t="s">
        <v>74</v>
      </c>
      <c r="I172" t="s">
        <v>2899</v>
      </c>
      <c r="J172" t="s">
        <v>77</v>
      </c>
      <c r="K172" t="s">
        <v>74</v>
      </c>
      <c r="L172" t="s">
        <v>74</v>
      </c>
      <c r="M172" t="s">
        <v>78</v>
      </c>
      <c r="N172" t="s">
        <v>79</v>
      </c>
      <c r="O172" t="s">
        <v>74</v>
      </c>
      <c r="P172" t="s">
        <v>74</v>
      </c>
      <c r="Q172" t="s">
        <v>74</v>
      </c>
      <c r="R172" t="s">
        <v>74</v>
      </c>
      <c r="S172" t="s">
        <v>74</v>
      </c>
      <c r="T172" t="s">
        <v>2900</v>
      </c>
      <c r="U172" t="s">
        <v>2901</v>
      </c>
      <c r="V172" t="s">
        <v>2902</v>
      </c>
      <c r="W172" t="s">
        <v>2903</v>
      </c>
      <c r="X172" t="s">
        <v>2904</v>
      </c>
      <c r="Y172" t="s">
        <v>2905</v>
      </c>
      <c r="Z172" t="s">
        <v>2906</v>
      </c>
      <c r="AA172" t="s">
        <v>2907</v>
      </c>
      <c r="AB172" t="s">
        <v>2908</v>
      </c>
      <c r="AC172" t="s">
        <v>2909</v>
      </c>
      <c r="AD172" t="s">
        <v>302</v>
      </c>
      <c r="AE172" t="s">
        <v>2910</v>
      </c>
      <c r="AF172" t="s">
        <v>74</v>
      </c>
      <c r="AG172">
        <v>47</v>
      </c>
      <c r="AH172">
        <v>10</v>
      </c>
      <c r="AI172">
        <v>13</v>
      </c>
      <c r="AJ172">
        <v>0</v>
      </c>
      <c r="AK172">
        <v>16</v>
      </c>
      <c r="AL172" t="s">
        <v>92</v>
      </c>
      <c r="AM172" t="s">
        <v>93</v>
      </c>
      <c r="AN172" t="s">
        <v>94</v>
      </c>
      <c r="AO172" t="s">
        <v>95</v>
      </c>
      <c r="AP172" t="s">
        <v>96</v>
      </c>
      <c r="AQ172" t="s">
        <v>74</v>
      </c>
      <c r="AR172" t="s">
        <v>97</v>
      </c>
      <c r="AS172" t="s">
        <v>98</v>
      </c>
      <c r="AT172" t="s">
        <v>196</v>
      </c>
      <c r="AU172">
        <v>2019</v>
      </c>
      <c r="AV172">
        <v>64</v>
      </c>
      <c r="AW172">
        <v>15</v>
      </c>
      <c r="AX172" t="s">
        <v>74</v>
      </c>
      <c r="AY172" t="s">
        <v>74</v>
      </c>
      <c r="AZ172" t="s">
        <v>74</v>
      </c>
      <c r="BA172" t="s">
        <v>74</v>
      </c>
      <c r="BB172" t="s">
        <v>74</v>
      </c>
      <c r="BC172" t="s">
        <v>74</v>
      </c>
      <c r="BD172">
        <v>155013</v>
      </c>
      <c r="BE172" t="s">
        <v>2911</v>
      </c>
      <c r="BF172" t="str">
        <f>HYPERLINK("http://dx.doi.org/10.1088/1361-6560/ab2a32","http://dx.doi.org/10.1088/1361-6560/ab2a32")</f>
        <v>http://dx.doi.org/10.1088/1361-6560/ab2a32</v>
      </c>
      <c r="BG172" t="s">
        <v>74</v>
      </c>
      <c r="BH172" t="s">
        <v>74</v>
      </c>
      <c r="BI172">
        <v>11</v>
      </c>
      <c r="BJ172" t="s">
        <v>101</v>
      </c>
      <c r="BK172" t="s">
        <v>102</v>
      </c>
      <c r="BL172" t="s">
        <v>103</v>
      </c>
      <c r="BM172" t="s">
        <v>198</v>
      </c>
      <c r="BN172">
        <v>31207588</v>
      </c>
      <c r="BO172" t="s">
        <v>105</v>
      </c>
      <c r="BP172" t="s">
        <v>74</v>
      </c>
      <c r="BQ172" t="s">
        <v>74</v>
      </c>
      <c r="BR172" t="s">
        <v>106</v>
      </c>
      <c r="BS172" t="s">
        <v>2912</v>
      </c>
      <c r="BT172" t="str">
        <f>HYPERLINK("https%3A%2F%2Fwww.webofscience.com%2Fwos%2Fwoscc%2Ffull-record%2FWOS:000480292700008","View Full Record in Web of Science")</f>
        <v>View Full Record in Web of Science</v>
      </c>
    </row>
    <row r="173" spans="1:72" x14ac:dyDescent="0.25">
      <c r="A173" t="s">
        <v>72</v>
      </c>
      <c r="B173" t="s">
        <v>2913</v>
      </c>
      <c r="C173" t="s">
        <v>74</v>
      </c>
      <c r="D173" t="s">
        <v>74</v>
      </c>
      <c r="E173" t="s">
        <v>74</v>
      </c>
      <c r="F173" t="s">
        <v>2914</v>
      </c>
      <c r="G173" t="s">
        <v>74</v>
      </c>
      <c r="H173" t="s">
        <v>74</v>
      </c>
      <c r="I173" t="s">
        <v>2915</v>
      </c>
      <c r="J173" t="s">
        <v>77</v>
      </c>
      <c r="K173" t="s">
        <v>74</v>
      </c>
      <c r="L173" t="s">
        <v>74</v>
      </c>
      <c r="M173" t="s">
        <v>78</v>
      </c>
      <c r="N173" t="s">
        <v>79</v>
      </c>
      <c r="O173" t="s">
        <v>74</v>
      </c>
      <c r="P173" t="s">
        <v>74</v>
      </c>
      <c r="Q173" t="s">
        <v>74</v>
      </c>
      <c r="R173" t="s">
        <v>74</v>
      </c>
      <c r="S173" t="s">
        <v>74</v>
      </c>
      <c r="T173" t="s">
        <v>2916</v>
      </c>
      <c r="U173" t="s">
        <v>2917</v>
      </c>
      <c r="V173" t="s">
        <v>2918</v>
      </c>
      <c r="W173" t="s">
        <v>2919</v>
      </c>
      <c r="X173" t="s">
        <v>2920</v>
      </c>
      <c r="Y173" t="s">
        <v>2921</v>
      </c>
      <c r="Z173" t="s">
        <v>1931</v>
      </c>
      <c r="AA173" t="s">
        <v>74</v>
      </c>
      <c r="AB173" t="s">
        <v>2922</v>
      </c>
      <c r="AC173" t="s">
        <v>2923</v>
      </c>
      <c r="AD173" t="s">
        <v>2924</v>
      </c>
      <c r="AE173" t="s">
        <v>2925</v>
      </c>
      <c r="AF173" t="s">
        <v>74</v>
      </c>
      <c r="AG173">
        <v>89</v>
      </c>
      <c r="AH173">
        <v>5</v>
      </c>
      <c r="AI173">
        <v>6</v>
      </c>
      <c r="AJ173">
        <v>0</v>
      </c>
      <c r="AK173">
        <v>14</v>
      </c>
      <c r="AL173" t="s">
        <v>157</v>
      </c>
      <c r="AM173" t="s">
        <v>93</v>
      </c>
      <c r="AN173" t="s">
        <v>94</v>
      </c>
      <c r="AO173" t="s">
        <v>95</v>
      </c>
      <c r="AP173" t="s">
        <v>96</v>
      </c>
      <c r="AQ173" t="s">
        <v>74</v>
      </c>
      <c r="AR173" t="s">
        <v>97</v>
      </c>
      <c r="AS173" t="s">
        <v>98</v>
      </c>
      <c r="AT173" t="s">
        <v>214</v>
      </c>
      <c r="AU173">
        <v>2019</v>
      </c>
      <c r="AV173">
        <v>64</v>
      </c>
      <c r="AW173">
        <v>13</v>
      </c>
      <c r="AX173" t="s">
        <v>74</v>
      </c>
      <c r="AY173" t="s">
        <v>74</v>
      </c>
      <c r="AZ173" t="s">
        <v>74</v>
      </c>
      <c r="BA173" t="s">
        <v>74</v>
      </c>
      <c r="BB173" t="s">
        <v>74</v>
      </c>
      <c r="BC173" t="s">
        <v>74</v>
      </c>
      <c r="BD173">
        <v>135021</v>
      </c>
      <c r="BE173" t="s">
        <v>2926</v>
      </c>
      <c r="BF173" t="str">
        <f>HYPERLINK("http://dx.doi.org/10.1088/1361-6560/ab1f33","http://dx.doi.org/10.1088/1361-6560/ab1f33")</f>
        <v>http://dx.doi.org/10.1088/1361-6560/ab1f33</v>
      </c>
      <c r="BG173" t="s">
        <v>74</v>
      </c>
      <c r="BH173" t="s">
        <v>74</v>
      </c>
      <c r="BI173">
        <v>15</v>
      </c>
      <c r="BJ173" t="s">
        <v>101</v>
      </c>
      <c r="BK173" t="s">
        <v>102</v>
      </c>
      <c r="BL173" t="s">
        <v>103</v>
      </c>
      <c r="BM173" t="s">
        <v>1111</v>
      </c>
      <c r="BN173">
        <v>31276450</v>
      </c>
      <c r="BO173" t="s">
        <v>74</v>
      </c>
      <c r="BP173" t="s">
        <v>74</v>
      </c>
      <c r="BQ173" t="s">
        <v>74</v>
      </c>
      <c r="BR173" t="s">
        <v>106</v>
      </c>
      <c r="BS173" t="s">
        <v>2927</v>
      </c>
      <c r="BT173" t="str">
        <f>HYPERLINK("https%3A%2F%2Fwww.webofscience.com%2Fwos%2Fwoscc%2Ffull-record%2FWOS:000474396800007","View Full Record in Web of Science")</f>
        <v>View Full Record in Web of Science</v>
      </c>
    </row>
    <row r="174" spans="1:72" x14ac:dyDescent="0.25">
      <c r="A174" t="s">
        <v>72</v>
      </c>
      <c r="B174" t="s">
        <v>2928</v>
      </c>
      <c r="C174" t="s">
        <v>74</v>
      </c>
      <c r="D174" t="s">
        <v>74</v>
      </c>
      <c r="E174" t="s">
        <v>74</v>
      </c>
      <c r="F174" t="s">
        <v>2929</v>
      </c>
      <c r="G174" t="s">
        <v>74</v>
      </c>
      <c r="H174" t="s">
        <v>74</v>
      </c>
      <c r="I174" t="s">
        <v>2930</v>
      </c>
      <c r="J174" t="s">
        <v>77</v>
      </c>
      <c r="K174" t="s">
        <v>74</v>
      </c>
      <c r="L174" t="s">
        <v>74</v>
      </c>
      <c r="M174" t="s">
        <v>78</v>
      </c>
      <c r="N174" t="s">
        <v>79</v>
      </c>
      <c r="O174" t="s">
        <v>74</v>
      </c>
      <c r="P174" t="s">
        <v>74</v>
      </c>
      <c r="Q174" t="s">
        <v>74</v>
      </c>
      <c r="R174" t="s">
        <v>74</v>
      </c>
      <c r="S174" t="s">
        <v>74</v>
      </c>
      <c r="T174" t="s">
        <v>2931</v>
      </c>
      <c r="U174" t="s">
        <v>2932</v>
      </c>
      <c r="V174" t="s">
        <v>2933</v>
      </c>
      <c r="W174" t="s">
        <v>2934</v>
      </c>
      <c r="X174" t="s">
        <v>2935</v>
      </c>
      <c r="Y174" t="s">
        <v>2936</v>
      </c>
      <c r="Z174" t="s">
        <v>2937</v>
      </c>
      <c r="AA174" t="s">
        <v>2938</v>
      </c>
      <c r="AB174" t="s">
        <v>2939</v>
      </c>
      <c r="AC174" t="s">
        <v>2940</v>
      </c>
      <c r="AD174" t="s">
        <v>2941</v>
      </c>
      <c r="AE174" t="s">
        <v>2942</v>
      </c>
      <c r="AF174" t="s">
        <v>74</v>
      </c>
      <c r="AG174">
        <v>48</v>
      </c>
      <c r="AH174">
        <v>33</v>
      </c>
      <c r="AI174">
        <v>34</v>
      </c>
      <c r="AJ174">
        <v>0</v>
      </c>
      <c r="AK174">
        <v>4</v>
      </c>
      <c r="AL174" t="s">
        <v>92</v>
      </c>
      <c r="AM174" t="s">
        <v>93</v>
      </c>
      <c r="AN174" t="s">
        <v>94</v>
      </c>
      <c r="AO174" t="s">
        <v>95</v>
      </c>
      <c r="AP174" t="s">
        <v>96</v>
      </c>
      <c r="AQ174" t="s">
        <v>74</v>
      </c>
      <c r="AR174" t="s">
        <v>97</v>
      </c>
      <c r="AS174" t="s">
        <v>98</v>
      </c>
      <c r="AT174" t="s">
        <v>250</v>
      </c>
      <c r="AU174">
        <v>2019</v>
      </c>
      <c r="AV174">
        <v>64</v>
      </c>
      <c r="AW174">
        <v>12</v>
      </c>
      <c r="AX174" t="s">
        <v>74</v>
      </c>
      <c r="AY174" t="s">
        <v>74</v>
      </c>
      <c r="AZ174" t="s">
        <v>74</v>
      </c>
      <c r="BA174" t="s">
        <v>74</v>
      </c>
      <c r="BB174" t="s">
        <v>74</v>
      </c>
      <c r="BC174" t="s">
        <v>74</v>
      </c>
      <c r="BD174">
        <v>125008</v>
      </c>
      <c r="BE174" t="s">
        <v>2943</v>
      </c>
      <c r="BF174" t="str">
        <f>HYPERLINK("http://dx.doi.org/10.1088/1361-6560/ab0fdf","http://dx.doi.org/10.1088/1361-6560/ab0fdf")</f>
        <v>http://dx.doi.org/10.1088/1361-6560/ab0fdf</v>
      </c>
      <c r="BG174" t="s">
        <v>74</v>
      </c>
      <c r="BH174" t="s">
        <v>74</v>
      </c>
      <c r="BI174">
        <v>10</v>
      </c>
      <c r="BJ174" t="s">
        <v>101</v>
      </c>
      <c r="BK174" t="s">
        <v>102</v>
      </c>
      <c r="BL174" t="s">
        <v>103</v>
      </c>
      <c r="BM174" t="s">
        <v>252</v>
      </c>
      <c r="BN174">
        <v>30870831</v>
      </c>
      <c r="BO174" t="s">
        <v>829</v>
      </c>
      <c r="BP174" t="s">
        <v>74</v>
      </c>
      <c r="BQ174" t="s">
        <v>74</v>
      </c>
      <c r="BR174" t="s">
        <v>106</v>
      </c>
      <c r="BS174" t="s">
        <v>2944</v>
      </c>
      <c r="BT174" t="str">
        <f>HYPERLINK("https%3A%2F%2Fwww.webofscience.com%2Fwos%2Fwoscc%2Ffull-record%2FWOS:000471317900003","View Full Record in Web of Science")</f>
        <v>View Full Record in Web of Science</v>
      </c>
    </row>
    <row r="175" spans="1:72" x14ac:dyDescent="0.25">
      <c r="A175" t="s">
        <v>72</v>
      </c>
      <c r="B175" t="s">
        <v>2945</v>
      </c>
      <c r="C175" t="s">
        <v>74</v>
      </c>
      <c r="D175" t="s">
        <v>74</v>
      </c>
      <c r="E175" t="s">
        <v>74</v>
      </c>
      <c r="F175" t="s">
        <v>2946</v>
      </c>
      <c r="G175" t="s">
        <v>74</v>
      </c>
      <c r="H175" t="s">
        <v>74</v>
      </c>
      <c r="I175" t="s">
        <v>2947</v>
      </c>
      <c r="J175" t="s">
        <v>77</v>
      </c>
      <c r="K175" t="s">
        <v>74</v>
      </c>
      <c r="L175" t="s">
        <v>74</v>
      </c>
      <c r="M175" t="s">
        <v>78</v>
      </c>
      <c r="N175" t="s">
        <v>79</v>
      </c>
      <c r="O175" t="s">
        <v>74</v>
      </c>
      <c r="P175" t="s">
        <v>74</v>
      </c>
      <c r="Q175" t="s">
        <v>74</v>
      </c>
      <c r="R175" t="s">
        <v>74</v>
      </c>
      <c r="S175" t="s">
        <v>74</v>
      </c>
      <c r="T175" t="s">
        <v>2948</v>
      </c>
      <c r="U175" t="s">
        <v>2949</v>
      </c>
      <c r="V175" t="s">
        <v>2950</v>
      </c>
      <c r="W175" t="s">
        <v>2951</v>
      </c>
      <c r="X175" t="s">
        <v>2952</v>
      </c>
      <c r="Y175" t="s">
        <v>2953</v>
      </c>
      <c r="Z175" t="s">
        <v>2954</v>
      </c>
      <c r="AA175" t="s">
        <v>74</v>
      </c>
      <c r="AB175" t="s">
        <v>2955</v>
      </c>
      <c r="AC175" t="s">
        <v>2956</v>
      </c>
      <c r="AD175" t="s">
        <v>2956</v>
      </c>
      <c r="AE175" t="s">
        <v>2957</v>
      </c>
      <c r="AF175" t="s">
        <v>74</v>
      </c>
      <c r="AG175">
        <v>40</v>
      </c>
      <c r="AH175">
        <v>16</v>
      </c>
      <c r="AI175">
        <v>18</v>
      </c>
      <c r="AJ175">
        <v>0</v>
      </c>
      <c r="AK175">
        <v>13</v>
      </c>
      <c r="AL175" t="s">
        <v>92</v>
      </c>
      <c r="AM175" t="s">
        <v>93</v>
      </c>
      <c r="AN175" t="s">
        <v>94</v>
      </c>
      <c r="AO175" t="s">
        <v>95</v>
      </c>
      <c r="AP175" t="s">
        <v>96</v>
      </c>
      <c r="AQ175" t="s">
        <v>74</v>
      </c>
      <c r="AR175" t="s">
        <v>97</v>
      </c>
      <c r="AS175" t="s">
        <v>98</v>
      </c>
      <c r="AT175" t="s">
        <v>250</v>
      </c>
      <c r="AU175">
        <v>2019</v>
      </c>
      <c r="AV175">
        <v>64</v>
      </c>
      <c r="AW175">
        <v>11</v>
      </c>
      <c r="AX175" t="s">
        <v>74</v>
      </c>
      <c r="AY175" t="s">
        <v>74</v>
      </c>
      <c r="AZ175" t="s">
        <v>74</v>
      </c>
      <c r="BA175" t="s">
        <v>74</v>
      </c>
      <c r="BB175" t="s">
        <v>74</v>
      </c>
      <c r="BC175" t="s">
        <v>74</v>
      </c>
      <c r="BD175">
        <v>115025</v>
      </c>
      <c r="BE175" t="s">
        <v>2958</v>
      </c>
      <c r="BF175" t="str">
        <f>HYPERLINK("http://dx.doi.org/10.1088/1361-6560/ab0c29","http://dx.doi.org/10.1088/1361-6560/ab0c29")</f>
        <v>http://dx.doi.org/10.1088/1361-6560/ab0c29</v>
      </c>
      <c r="BG175" t="s">
        <v>74</v>
      </c>
      <c r="BH175" t="s">
        <v>74</v>
      </c>
      <c r="BI175">
        <v>14</v>
      </c>
      <c r="BJ175" t="s">
        <v>101</v>
      </c>
      <c r="BK175" t="s">
        <v>102</v>
      </c>
      <c r="BL175" t="s">
        <v>103</v>
      </c>
      <c r="BM175" t="s">
        <v>305</v>
      </c>
      <c r="BN175">
        <v>30831565</v>
      </c>
      <c r="BO175" t="s">
        <v>829</v>
      </c>
      <c r="BP175" t="s">
        <v>74</v>
      </c>
      <c r="BQ175" t="s">
        <v>74</v>
      </c>
      <c r="BR175" t="s">
        <v>106</v>
      </c>
      <c r="BS175" t="s">
        <v>2959</v>
      </c>
      <c r="BT175" t="str">
        <f>HYPERLINK("https%3A%2F%2Fwww.webofscience.com%2Fwos%2Fwoscc%2Ffull-record%2FWOS:000470205600009","View Full Record in Web of Science")</f>
        <v>View Full Record in Web of Science</v>
      </c>
    </row>
    <row r="176" spans="1:72" x14ac:dyDescent="0.25">
      <c r="A176" t="s">
        <v>72</v>
      </c>
      <c r="B176" t="s">
        <v>2960</v>
      </c>
      <c r="C176" t="s">
        <v>74</v>
      </c>
      <c r="D176" t="s">
        <v>74</v>
      </c>
      <c r="E176" t="s">
        <v>74</v>
      </c>
      <c r="F176" t="s">
        <v>2961</v>
      </c>
      <c r="G176" t="s">
        <v>74</v>
      </c>
      <c r="H176" t="s">
        <v>74</v>
      </c>
      <c r="I176" t="s">
        <v>2962</v>
      </c>
      <c r="J176" t="s">
        <v>77</v>
      </c>
      <c r="K176" t="s">
        <v>74</v>
      </c>
      <c r="L176" t="s">
        <v>74</v>
      </c>
      <c r="M176" t="s">
        <v>78</v>
      </c>
      <c r="N176" t="s">
        <v>79</v>
      </c>
      <c r="O176" t="s">
        <v>74</v>
      </c>
      <c r="P176" t="s">
        <v>74</v>
      </c>
      <c r="Q176" t="s">
        <v>74</v>
      </c>
      <c r="R176" t="s">
        <v>74</v>
      </c>
      <c r="S176" t="s">
        <v>74</v>
      </c>
      <c r="T176" t="s">
        <v>2963</v>
      </c>
      <c r="U176" t="s">
        <v>2964</v>
      </c>
      <c r="V176" t="s">
        <v>2965</v>
      </c>
      <c r="W176" t="s">
        <v>2966</v>
      </c>
      <c r="X176" t="s">
        <v>2967</v>
      </c>
      <c r="Y176" t="s">
        <v>2968</v>
      </c>
      <c r="Z176" t="s">
        <v>2969</v>
      </c>
      <c r="AA176" t="s">
        <v>2970</v>
      </c>
      <c r="AB176" t="s">
        <v>2971</v>
      </c>
      <c r="AC176" t="s">
        <v>74</v>
      </c>
      <c r="AD176" t="s">
        <v>74</v>
      </c>
      <c r="AE176" t="s">
        <v>74</v>
      </c>
      <c r="AF176" t="s">
        <v>74</v>
      </c>
      <c r="AG176">
        <v>35</v>
      </c>
      <c r="AH176">
        <v>2</v>
      </c>
      <c r="AI176">
        <v>3</v>
      </c>
      <c r="AJ176">
        <v>0</v>
      </c>
      <c r="AK176">
        <v>11</v>
      </c>
      <c r="AL176" t="s">
        <v>157</v>
      </c>
      <c r="AM176" t="s">
        <v>93</v>
      </c>
      <c r="AN176" t="s">
        <v>94</v>
      </c>
      <c r="AO176" t="s">
        <v>95</v>
      </c>
      <c r="AP176" t="s">
        <v>96</v>
      </c>
      <c r="AQ176" t="s">
        <v>74</v>
      </c>
      <c r="AR176" t="s">
        <v>97</v>
      </c>
      <c r="AS176" t="s">
        <v>98</v>
      </c>
      <c r="AT176" t="s">
        <v>370</v>
      </c>
      <c r="AU176">
        <v>2019</v>
      </c>
      <c r="AV176">
        <v>64</v>
      </c>
      <c r="AW176">
        <v>9</v>
      </c>
      <c r="AX176" t="s">
        <v>74</v>
      </c>
      <c r="AY176" t="s">
        <v>74</v>
      </c>
      <c r="AZ176" t="s">
        <v>74</v>
      </c>
      <c r="BA176" t="s">
        <v>74</v>
      </c>
      <c r="BB176" t="s">
        <v>74</v>
      </c>
      <c r="BC176" t="s">
        <v>74</v>
      </c>
      <c r="BD176">
        <v>95011</v>
      </c>
      <c r="BE176" t="s">
        <v>2972</v>
      </c>
      <c r="BF176" t="str">
        <f>HYPERLINK("http://dx.doi.org/10.1088/1361-6560/ab0d58","http://dx.doi.org/10.1088/1361-6560/ab0d58")</f>
        <v>http://dx.doi.org/10.1088/1361-6560/ab0d58</v>
      </c>
      <c r="BG176" t="s">
        <v>74</v>
      </c>
      <c r="BH176" t="s">
        <v>74</v>
      </c>
      <c r="BI176">
        <v>13</v>
      </c>
      <c r="BJ176" t="s">
        <v>101</v>
      </c>
      <c r="BK176" t="s">
        <v>102</v>
      </c>
      <c r="BL176" t="s">
        <v>103</v>
      </c>
      <c r="BM176" t="s">
        <v>2973</v>
      </c>
      <c r="BN176">
        <v>30840938</v>
      </c>
      <c r="BO176" t="s">
        <v>74</v>
      </c>
      <c r="BP176" t="s">
        <v>74</v>
      </c>
      <c r="BQ176" t="s">
        <v>74</v>
      </c>
      <c r="BR176" t="s">
        <v>106</v>
      </c>
      <c r="BS176" t="s">
        <v>2974</v>
      </c>
      <c r="BT176" t="str">
        <f>HYPERLINK("https%3A%2F%2Fwww.webofscience.com%2Fwos%2Fwoscc%2Ffull-record%2FWOS:000466266500002","View Full Record in Web of Science")</f>
        <v>View Full Record in Web of Science</v>
      </c>
    </row>
    <row r="177" spans="1:72" x14ac:dyDescent="0.25">
      <c r="A177" t="s">
        <v>72</v>
      </c>
      <c r="B177" t="s">
        <v>2975</v>
      </c>
      <c r="C177" t="s">
        <v>74</v>
      </c>
      <c r="D177" t="s">
        <v>74</v>
      </c>
      <c r="E177" t="s">
        <v>74</v>
      </c>
      <c r="F177" t="s">
        <v>2976</v>
      </c>
      <c r="G177" t="s">
        <v>74</v>
      </c>
      <c r="H177" t="s">
        <v>74</v>
      </c>
      <c r="I177" t="s">
        <v>2977</v>
      </c>
      <c r="J177" t="s">
        <v>77</v>
      </c>
      <c r="K177" t="s">
        <v>74</v>
      </c>
      <c r="L177" t="s">
        <v>74</v>
      </c>
      <c r="M177" t="s">
        <v>78</v>
      </c>
      <c r="N177" t="s">
        <v>79</v>
      </c>
      <c r="O177" t="s">
        <v>74</v>
      </c>
      <c r="P177" t="s">
        <v>74</v>
      </c>
      <c r="Q177" t="s">
        <v>74</v>
      </c>
      <c r="R177" t="s">
        <v>74</v>
      </c>
      <c r="S177" t="s">
        <v>74</v>
      </c>
      <c r="T177" t="s">
        <v>2978</v>
      </c>
      <c r="U177" t="s">
        <v>2979</v>
      </c>
      <c r="V177" t="s">
        <v>2980</v>
      </c>
      <c r="W177" t="s">
        <v>2981</v>
      </c>
      <c r="X177" t="s">
        <v>429</v>
      </c>
      <c r="Y177" t="s">
        <v>2982</v>
      </c>
      <c r="Z177" t="s">
        <v>2983</v>
      </c>
      <c r="AA177" t="s">
        <v>2984</v>
      </c>
      <c r="AB177" t="s">
        <v>2985</v>
      </c>
      <c r="AC177" t="s">
        <v>2986</v>
      </c>
      <c r="AD177" t="s">
        <v>2987</v>
      </c>
      <c r="AE177" t="s">
        <v>2988</v>
      </c>
      <c r="AF177" t="s">
        <v>74</v>
      </c>
      <c r="AG177">
        <v>34</v>
      </c>
      <c r="AH177">
        <v>5</v>
      </c>
      <c r="AI177">
        <v>5</v>
      </c>
      <c r="AJ177">
        <v>1</v>
      </c>
      <c r="AK177">
        <v>3</v>
      </c>
      <c r="AL177" t="s">
        <v>157</v>
      </c>
      <c r="AM177" t="s">
        <v>93</v>
      </c>
      <c r="AN177" t="s">
        <v>94</v>
      </c>
      <c r="AO177" t="s">
        <v>95</v>
      </c>
      <c r="AP177" t="s">
        <v>96</v>
      </c>
      <c r="AQ177" t="s">
        <v>74</v>
      </c>
      <c r="AR177" t="s">
        <v>97</v>
      </c>
      <c r="AS177" t="s">
        <v>98</v>
      </c>
      <c r="AT177" t="s">
        <v>370</v>
      </c>
      <c r="AU177">
        <v>2019</v>
      </c>
      <c r="AV177">
        <v>64</v>
      </c>
      <c r="AW177">
        <v>9</v>
      </c>
      <c r="AX177" t="s">
        <v>74</v>
      </c>
      <c r="AY177" t="s">
        <v>74</v>
      </c>
      <c r="AZ177" t="s">
        <v>74</v>
      </c>
      <c r="BA177" t="s">
        <v>74</v>
      </c>
      <c r="BB177" t="s">
        <v>74</v>
      </c>
      <c r="BC177" t="s">
        <v>74</v>
      </c>
      <c r="BD177">
        <v>95006</v>
      </c>
      <c r="BE177" t="s">
        <v>2989</v>
      </c>
      <c r="BF177" t="str">
        <f>HYPERLINK("http://dx.doi.org/10.1088/1361-6560/ab15ed","http://dx.doi.org/10.1088/1361-6560/ab15ed")</f>
        <v>http://dx.doi.org/10.1088/1361-6560/ab15ed</v>
      </c>
      <c r="BG177" t="s">
        <v>74</v>
      </c>
      <c r="BH177" t="s">
        <v>74</v>
      </c>
      <c r="BI177">
        <v>12</v>
      </c>
      <c r="BJ177" t="s">
        <v>101</v>
      </c>
      <c r="BK177" t="s">
        <v>102</v>
      </c>
      <c r="BL177" t="s">
        <v>103</v>
      </c>
      <c r="BM177" t="s">
        <v>592</v>
      </c>
      <c r="BN177">
        <v>30947159</v>
      </c>
      <c r="BO177" t="s">
        <v>74</v>
      </c>
      <c r="BP177" t="s">
        <v>74</v>
      </c>
      <c r="BQ177" t="s">
        <v>74</v>
      </c>
      <c r="BR177" t="s">
        <v>106</v>
      </c>
      <c r="BS177" t="s">
        <v>2990</v>
      </c>
      <c r="BT177" t="str">
        <f>HYPERLINK("https%3A%2F%2Fwww.webofscience.com%2Fwos%2Fwoscc%2Ffull-record%2FWOS:000466266200001","View Full Record in Web of Science")</f>
        <v>View Full Record in Web of Science</v>
      </c>
    </row>
    <row r="178" spans="1:72" x14ac:dyDescent="0.25">
      <c r="A178" t="s">
        <v>72</v>
      </c>
      <c r="B178" t="s">
        <v>2991</v>
      </c>
      <c r="C178" t="s">
        <v>74</v>
      </c>
      <c r="D178" t="s">
        <v>74</v>
      </c>
      <c r="E178" t="s">
        <v>74</v>
      </c>
      <c r="F178" t="s">
        <v>2992</v>
      </c>
      <c r="G178" t="s">
        <v>74</v>
      </c>
      <c r="H178" t="s">
        <v>74</v>
      </c>
      <c r="I178" t="s">
        <v>2993</v>
      </c>
      <c r="J178" t="s">
        <v>77</v>
      </c>
      <c r="K178" t="s">
        <v>74</v>
      </c>
      <c r="L178" t="s">
        <v>74</v>
      </c>
      <c r="M178" t="s">
        <v>78</v>
      </c>
      <c r="N178" t="s">
        <v>79</v>
      </c>
      <c r="O178" t="s">
        <v>74</v>
      </c>
      <c r="P178" t="s">
        <v>74</v>
      </c>
      <c r="Q178" t="s">
        <v>74</v>
      </c>
      <c r="R178" t="s">
        <v>74</v>
      </c>
      <c r="S178" t="s">
        <v>74</v>
      </c>
      <c r="T178" t="s">
        <v>2994</v>
      </c>
      <c r="U178" t="s">
        <v>2995</v>
      </c>
      <c r="V178" t="s">
        <v>2996</v>
      </c>
      <c r="W178" t="s">
        <v>2997</v>
      </c>
      <c r="X178" t="s">
        <v>2998</v>
      </c>
      <c r="Y178" t="s">
        <v>2999</v>
      </c>
      <c r="Z178" t="s">
        <v>3000</v>
      </c>
      <c r="AA178" t="s">
        <v>3001</v>
      </c>
      <c r="AB178" t="s">
        <v>74</v>
      </c>
      <c r="AC178" t="s">
        <v>3002</v>
      </c>
      <c r="AD178" t="s">
        <v>3003</v>
      </c>
      <c r="AE178" t="s">
        <v>3004</v>
      </c>
      <c r="AF178" t="s">
        <v>74</v>
      </c>
      <c r="AG178">
        <v>20</v>
      </c>
      <c r="AH178">
        <v>12</v>
      </c>
      <c r="AI178">
        <v>12</v>
      </c>
      <c r="AJ178">
        <v>0</v>
      </c>
      <c r="AK178">
        <v>3</v>
      </c>
      <c r="AL178" t="s">
        <v>92</v>
      </c>
      <c r="AM178" t="s">
        <v>93</v>
      </c>
      <c r="AN178" t="s">
        <v>94</v>
      </c>
      <c r="AO178" t="s">
        <v>95</v>
      </c>
      <c r="AP178" t="s">
        <v>96</v>
      </c>
      <c r="AQ178" t="s">
        <v>74</v>
      </c>
      <c r="AR178" t="s">
        <v>97</v>
      </c>
      <c r="AS178" t="s">
        <v>98</v>
      </c>
      <c r="AT178" t="s">
        <v>370</v>
      </c>
      <c r="AU178">
        <v>2019</v>
      </c>
      <c r="AV178">
        <v>64</v>
      </c>
      <c r="AW178">
        <v>10</v>
      </c>
      <c r="AX178" t="s">
        <v>74</v>
      </c>
      <c r="AY178" t="s">
        <v>74</v>
      </c>
      <c r="AZ178" t="s">
        <v>74</v>
      </c>
      <c r="BA178" t="s">
        <v>74</v>
      </c>
      <c r="BB178" t="s">
        <v>74</v>
      </c>
      <c r="BC178" t="s">
        <v>74</v>
      </c>
      <c r="BD178">
        <v>105020</v>
      </c>
      <c r="BE178" t="s">
        <v>3005</v>
      </c>
      <c r="BF178" t="str">
        <f>HYPERLINK("http://dx.doi.org/10.1088/1361-6560/ab15f6","http://dx.doi.org/10.1088/1361-6560/ab15f6")</f>
        <v>http://dx.doi.org/10.1088/1361-6560/ab15f6</v>
      </c>
      <c r="BG178" t="s">
        <v>74</v>
      </c>
      <c r="BH178" t="s">
        <v>74</v>
      </c>
      <c r="BI178">
        <v>12</v>
      </c>
      <c r="BJ178" t="s">
        <v>101</v>
      </c>
      <c r="BK178" t="s">
        <v>102</v>
      </c>
      <c r="BL178" t="s">
        <v>103</v>
      </c>
      <c r="BM178" t="s">
        <v>1845</v>
      </c>
      <c r="BN178">
        <v>30947146</v>
      </c>
      <c r="BO178" t="s">
        <v>759</v>
      </c>
      <c r="BP178" t="s">
        <v>74</v>
      </c>
      <c r="BQ178" t="s">
        <v>74</v>
      </c>
      <c r="BR178" t="s">
        <v>106</v>
      </c>
      <c r="BS178" t="s">
        <v>3006</v>
      </c>
      <c r="BT178" t="str">
        <f>HYPERLINK("https%3A%2F%2Fwww.webofscience.com%2Fwos%2Fwoscc%2Ffull-record%2FWOS:000468283500005","View Full Record in Web of Science")</f>
        <v>View Full Record in Web of Science</v>
      </c>
    </row>
    <row r="179" spans="1:72" x14ac:dyDescent="0.25">
      <c r="A179" t="s">
        <v>72</v>
      </c>
      <c r="B179" t="s">
        <v>3007</v>
      </c>
      <c r="C179" t="s">
        <v>74</v>
      </c>
      <c r="D179" t="s">
        <v>74</v>
      </c>
      <c r="E179" t="s">
        <v>74</v>
      </c>
      <c r="F179" t="s">
        <v>3008</v>
      </c>
      <c r="G179" t="s">
        <v>74</v>
      </c>
      <c r="H179" t="s">
        <v>74</v>
      </c>
      <c r="I179" t="s">
        <v>3009</v>
      </c>
      <c r="J179" t="s">
        <v>77</v>
      </c>
      <c r="K179" t="s">
        <v>74</v>
      </c>
      <c r="L179" t="s">
        <v>74</v>
      </c>
      <c r="M179" t="s">
        <v>78</v>
      </c>
      <c r="N179" t="s">
        <v>79</v>
      </c>
      <c r="O179" t="s">
        <v>74</v>
      </c>
      <c r="P179" t="s">
        <v>74</v>
      </c>
      <c r="Q179" t="s">
        <v>74</v>
      </c>
      <c r="R179" t="s">
        <v>74</v>
      </c>
      <c r="S179" t="s">
        <v>74</v>
      </c>
      <c r="T179" t="s">
        <v>3010</v>
      </c>
      <c r="U179" t="s">
        <v>3011</v>
      </c>
      <c r="V179" t="s">
        <v>3012</v>
      </c>
      <c r="W179" t="s">
        <v>3013</v>
      </c>
      <c r="X179" t="s">
        <v>3014</v>
      </c>
      <c r="Y179" t="s">
        <v>3015</v>
      </c>
      <c r="Z179" t="s">
        <v>3016</v>
      </c>
      <c r="AA179" t="s">
        <v>74</v>
      </c>
      <c r="AB179" t="s">
        <v>3017</v>
      </c>
      <c r="AC179" t="s">
        <v>3018</v>
      </c>
      <c r="AD179" t="s">
        <v>3019</v>
      </c>
      <c r="AE179" t="s">
        <v>3020</v>
      </c>
      <c r="AF179" t="s">
        <v>74</v>
      </c>
      <c r="AG179">
        <v>73</v>
      </c>
      <c r="AH179">
        <v>14</v>
      </c>
      <c r="AI179">
        <v>14</v>
      </c>
      <c r="AJ179">
        <v>3</v>
      </c>
      <c r="AK179">
        <v>17</v>
      </c>
      <c r="AL179" t="s">
        <v>157</v>
      </c>
      <c r="AM179" t="s">
        <v>93</v>
      </c>
      <c r="AN179" t="s">
        <v>94</v>
      </c>
      <c r="AO179" t="s">
        <v>95</v>
      </c>
      <c r="AP179" t="s">
        <v>96</v>
      </c>
      <c r="AQ179" t="s">
        <v>74</v>
      </c>
      <c r="AR179" t="s">
        <v>97</v>
      </c>
      <c r="AS179" t="s">
        <v>98</v>
      </c>
      <c r="AT179" t="s">
        <v>370</v>
      </c>
      <c r="AU179">
        <v>2019</v>
      </c>
      <c r="AV179">
        <v>64</v>
      </c>
      <c r="AW179">
        <v>9</v>
      </c>
      <c r="AX179" t="s">
        <v>74</v>
      </c>
      <c r="AY179" t="s">
        <v>74</v>
      </c>
      <c r="AZ179" t="s">
        <v>74</v>
      </c>
      <c r="BA179" t="s">
        <v>74</v>
      </c>
      <c r="BB179" t="s">
        <v>74</v>
      </c>
      <c r="BC179" t="s">
        <v>74</v>
      </c>
      <c r="BD179">
        <v>95012</v>
      </c>
      <c r="BE179" t="s">
        <v>3021</v>
      </c>
      <c r="BF179" t="str">
        <f>HYPERLINK("http://dx.doi.org/10.1088/1361-6560/ab0bd5","http://dx.doi.org/10.1088/1361-6560/ab0bd5")</f>
        <v>http://dx.doi.org/10.1088/1361-6560/ab0bd5</v>
      </c>
      <c r="BG179" t="s">
        <v>74</v>
      </c>
      <c r="BH179" t="s">
        <v>74</v>
      </c>
      <c r="BI179">
        <v>22</v>
      </c>
      <c r="BJ179" t="s">
        <v>101</v>
      </c>
      <c r="BK179" t="s">
        <v>102</v>
      </c>
      <c r="BL179" t="s">
        <v>103</v>
      </c>
      <c r="BM179" t="s">
        <v>2973</v>
      </c>
      <c r="BN179">
        <v>30822765</v>
      </c>
      <c r="BO179" t="s">
        <v>105</v>
      </c>
      <c r="BP179" t="s">
        <v>74</v>
      </c>
      <c r="BQ179" t="s">
        <v>74</v>
      </c>
      <c r="BR179" t="s">
        <v>106</v>
      </c>
      <c r="BS179" t="s">
        <v>3022</v>
      </c>
      <c r="BT179" t="str">
        <f>HYPERLINK("https%3A%2F%2Fwww.webofscience.com%2Fwos%2Fwoscc%2Ffull-record%2FWOS:000466266500003","View Full Record in Web of Science")</f>
        <v>View Full Record in Web of Science</v>
      </c>
    </row>
    <row r="180" spans="1:72" x14ac:dyDescent="0.25">
      <c r="A180" t="s">
        <v>72</v>
      </c>
      <c r="B180" t="s">
        <v>3023</v>
      </c>
      <c r="C180" t="s">
        <v>74</v>
      </c>
      <c r="D180" t="s">
        <v>74</v>
      </c>
      <c r="E180" t="s">
        <v>74</v>
      </c>
      <c r="F180" t="s">
        <v>3024</v>
      </c>
      <c r="G180" t="s">
        <v>74</v>
      </c>
      <c r="H180" t="s">
        <v>74</v>
      </c>
      <c r="I180" t="s">
        <v>3025</v>
      </c>
      <c r="J180" t="s">
        <v>77</v>
      </c>
      <c r="K180" t="s">
        <v>74</v>
      </c>
      <c r="L180" t="s">
        <v>74</v>
      </c>
      <c r="M180" t="s">
        <v>78</v>
      </c>
      <c r="N180" t="s">
        <v>79</v>
      </c>
      <c r="O180" t="s">
        <v>74</v>
      </c>
      <c r="P180" t="s">
        <v>74</v>
      </c>
      <c r="Q180" t="s">
        <v>74</v>
      </c>
      <c r="R180" t="s">
        <v>74</v>
      </c>
      <c r="S180" t="s">
        <v>74</v>
      </c>
      <c r="T180" t="s">
        <v>3026</v>
      </c>
      <c r="U180" t="s">
        <v>3027</v>
      </c>
      <c r="V180" t="s">
        <v>3028</v>
      </c>
      <c r="W180" t="s">
        <v>3029</v>
      </c>
      <c r="X180" t="s">
        <v>3030</v>
      </c>
      <c r="Y180" t="s">
        <v>3031</v>
      </c>
      <c r="Z180" t="s">
        <v>3032</v>
      </c>
      <c r="AA180" t="s">
        <v>3033</v>
      </c>
      <c r="AB180" t="s">
        <v>3034</v>
      </c>
      <c r="AC180" t="s">
        <v>74</v>
      </c>
      <c r="AD180" t="s">
        <v>74</v>
      </c>
      <c r="AE180" t="s">
        <v>74</v>
      </c>
      <c r="AF180" t="s">
        <v>74</v>
      </c>
      <c r="AG180">
        <v>21</v>
      </c>
      <c r="AH180">
        <v>1</v>
      </c>
      <c r="AI180">
        <v>1</v>
      </c>
      <c r="AJ180">
        <v>0</v>
      </c>
      <c r="AK180">
        <v>1</v>
      </c>
      <c r="AL180" t="s">
        <v>92</v>
      </c>
      <c r="AM180" t="s">
        <v>93</v>
      </c>
      <c r="AN180" t="s">
        <v>94</v>
      </c>
      <c r="AO180" t="s">
        <v>95</v>
      </c>
      <c r="AP180" t="s">
        <v>96</v>
      </c>
      <c r="AQ180" t="s">
        <v>74</v>
      </c>
      <c r="AR180" t="s">
        <v>97</v>
      </c>
      <c r="AS180" t="s">
        <v>98</v>
      </c>
      <c r="AT180" t="s">
        <v>386</v>
      </c>
      <c r="AU180">
        <v>2019</v>
      </c>
      <c r="AV180">
        <v>64</v>
      </c>
      <c r="AW180">
        <v>8</v>
      </c>
      <c r="AX180" t="s">
        <v>74</v>
      </c>
      <c r="AY180" t="s">
        <v>74</v>
      </c>
      <c r="AZ180" t="s">
        <v>74</v>
      </c>
      <c r="BA180" t="s">
        <v>74</v>
      </c>
      <c r="BB180" t="s">
        <v>74</v>
      </c>
      <c r="BC180" t="s">
        <v>74</v>
      </c>
      <c r="BD180">
        <v>85002</v>
      </c>
      <c r="BE180" t="s">
        <v>3035</v>
      </c>
      <c r="BF180" t="str">
        <f>HYPERLINK("http://dx.doi.org/10.1088/1361-6560/ab0a7e","http://dx.doi.org/10.1088/1361-6560/ab0a7e")</f>
        <v>http://dx.doi.org/10.1088/1361-6560/ab0a7e</v>
      </c>
      <c r="BG180" t="s">
        <v>74</v>
      </c>
      <c r="BH180" t="s">
        <v>74</v>
      </c>
      <c r="BI180">
        <v>12</v>
      </c>
      <c r="BJ180" t="s">
        <v>101</v>
      </c>
      <c r="BK180" t="s">
        <v>102</v>
      </c>
      <c r="BL180" t="s">
        <v>103</v>
      </c>
      <c r="BM180" t="s">
        <v>3036</v>
      </c>
      <c r="BN180">
        <v>30808009</v>
      </c>
      <c r="BO180" t="s">
        <v>74</v>
      </c>
      <c r="BP180" t="s">
        <v>74</v>
      </c>
      <c r="BQ180" t="s">
        <v>74</v>
      </c>
      <c r="BR180" t="s">
        <v>106</v>
      </c>
      <c r="BS180" t="s">
        <v>3037</v>
      </c>
      <c r="BT180" t="str">
        <f>HYPERLINK("https%3A%2F%2Fwww.webofscience.com%2Fwos%2Fwoscc%2Ffull-record%2FWOS:000518923400002","View Full Record in Web of Science")</f>
        <v>View Full Record in Web of Science</v>
      </c>
    </row>
    <row r="181" spans="1:72" x14ac:dyDescent="0.25">
      <c r="A181" t="s">
        <v>72</v>
      </c>
      <c r="B181" t="s">
        <v>3038</v>
      </c>
      <c r="C181" t="s">
        <v>74</v>
      </c>
      <c r="D181" t="s">
        <v>74</v>
      </c>
      <c r="E181" t="s">
        <v>74</v>
      </c>
      <c r="F181" t="s">
        <v>3039</v>
      </c>
      <c r="G181" t="s">
        <v>74</v>
      </c>
      <c r="H181" t="s">
        <v>74</v>
      </c>
      <c r="I181" t="s">
        <v>3040</v>
      </c>
      <c r="J181" t="s">
        <v>77</v>
      </c>
      <c r="K181" t="s">
        <v>74</v>
      </c>
      <c r="L181" t="s">
        <v>74</v>
      </c>
      <c r="M181" t="s">
        <v>78</v>
      </c>
      <c r="N181" t="s">
        <v>79</v>
      </c>
      <c r="O181" t="s">
        <v>74</v>
      </c>
      <c r="P181" t="s">
        <v>74</v>
      </c>
      <c r="Q181" t="s">
        <v>74</v>
      </c>
      <c r="R181" t="s">
        <v>74</v>
      </c>
      <c r="S181" t="s">
        <v>74</v>
      </c>
      <c r="T181" t="s">
        <v>3041</v>
      </c>
      <c r="U181" t="s">
        <v>3042</v>
      </c>
      <c r="V181" t="s">
        <v>3043</v>
      </c>
      <c r="W181" t="s">
        <v>3044</v>
      </c>
      <c r="X181" t="s">
        <v>3045</v>
      </c>
      <c r="Y181" t="s">
        <v>3046</v>
      </c>
      <c r="Z181" t="s">
        <v>3047</v>
      </c>
      <c r="AA181" t="s">
        <v>3048</v>
      </c>
      <c r="AB181" t="s">
        <v>3049</v>
      </c>
      <c r="AC181" t="s">
        <v>3050</v>
      </c>
      <c r="AD181" t="s">
        <v>3051</v>
      </c>
      <c r="AE181" t="s">
        <v>3052</v>
      </c>
      <c r="AF181" t="s">
        <v>74</v>
      </c>
      <c r="AG181">
        <v>53</v>
      </c>
      <c r="AH181">
        <v>5</v>
      </c>
      <c r="AI181">
        <v>5</v>
      </c>
      <c r="AJ181">
        <v>0</v>
      </c>
      <c r="AK181">
        <v>10</v>
      </c>
      <c r="AL181" t="s">
        <v>92</v>
      </c>
      <c r="AM181" t="s">
        <v>93</v>
      </c>
      <c r="AN181" t="s">
        <v>94</v>
      </c>
      <c r="AO181" t="s">
        <v>95</v>
      </c>
      <c r="AP181" t="s">
        <v>96</v>
      </c>
      <c r="AQ181" t="s">
        <v>74</v>
      </c>
      <c r="AR181" t="s">
        <v>97</v>
      </c>
      <c r="AS181" t="s">
        <v>98</v>
      </c>
      <c r="AT181" t="s">
        <v>386</v>
      </c>
      <c r="AU181">
        <v>2019</v>
      </c>
      <c r="AV181">
        <v>64</v>
      </c>
      <c r="AW181">
        <v>8</v>
      </c>
      <c r="AX181" t="s">
        <v>74</v>
      </c>
      <c r="AY181" t="s">
        <v>74</v>
      </c>
      <c r="AZ181" t="s">
        <v>74</v>
      </c>
      <c r="BA181" t="s">
        <v>74</v>
      </c>
      <c r="BB181" t="s">
        <v>74</v>
      </c>
      <c r="BC181" t="s">
        <v>74</v>
      </c>
      <c r="BD181">
        <v>85014</v>
      </c>
      <c r="BE181" t="s">
        <v>3053</v>
      </c>
      <c r="BF181" t="str">
        <f>HYPERLINK("http://dx.doi.org/10.1088/1361-6560/ab10c1","http://dx.doi.org/10.1088/1361-6560/ab10c1")</f>
        <v>http://dx.doi.org/10.1088/1361-6560/ab10c1</v>
      </c>
      <c r="BG181" t="s">
        <v>74</v>
      </c>
      <c r="BH181" t="s">
        <v>74</v>
      </c>
      <c r="BI181">
        <v>19</v>
      </c>
      <c r="BJ181" t="s">
        <v>101</v>
      </c>
      <c r="BK181" t="s">
        <v>102</v>
      </c>
      <c r="BL181" t="s">
        <v>103</v>
      </c>
      <c r="BM181" t="s">
        <v>2159</v>
      </c>
      <c r="BN181">
        <v>30884468</v>
      </c>
      <c r="BO181" t="s">
        <v>74</v>
      </c>
      <c r="BP181" t="s">
        <v>74</v>
      </c>
      <c r="BQ181" t="s">
        <v>74</v>
      </c>
      <c r="BR181" t="s">
        <v>106</v>
      </c>
      <c r="BS181" t="s">
        <v>3054</v>
      </c>
      <c r="BT181" t="str">
        <f>HYPERLINK("https%3A%2F%2Fwww.webofscience.com%2Fwos%2Fwoscc%2Ffull-record%2FWOS:000464179400006","View Full Record in Web of Science")</f>
        <v>View Full Record in Web of Science</v>
      </c>
    </row>
    <row r="182" spans="1:72" x14ac:dyDescent="0.25">
      <c r="A182" t="s">
        <v>72</v>
      </c>
      <c r="B182" t="s">
        <v>3055</v>
      </c>
      <c r="C182" t="s">
        <v>74</v>
      </c>
      <c r="D182" t="s">
        <v>74</v>
      </c>
      <c r="E182" t="s">
        <v>74</v>
      </c>
      <c r="F182" t="s">
        <v>3056</v>
      </c>
      <c r="G182" t="s">
        <v>74</v>
      </c>
      <c r="H182" t="s">
        <v>74</v>
      </c>
      <c r="I182" t="s">
        <v>3057</v>
      </c>
      <c r="J182" t="s">
        <v>77</v>
      </c>
      <c r="K182" t="s">
        <v>74</v>
      </c>
      <c r="L182" t="s">
        <v>74</v>
      </c>
      <c r="M182" t="s">
        <v>78</v>
      </c>
      <c r="N182" t="s">
        <v>79</v>
      </c>
      <c r="O182" t="s">
        <v>74</v>
      </c>
      <c r="P182" t="s">
        <v>74</v>
      </c>
      <c r="Q182" t="s">
        <v>74</v>
      </c>
      <c r="R182" t="s">
        <v>74</v>
      </c>
      <c r="S182" t="s">
        <v>74</v>
      </c>
      <c r="T182" t="s">
        <v>3058</v>
      </c>
      <c r="U182" t="s">
        <v>3059</v>
      </c>
      <c r="V182" t="s">
        <v>3060</v>
      </c>
      <c r="W182" t="s">
        <v>3061</v>
      </c>
      <c r="X182" t="s">
        <v>3062</v>
      </c>
      <c r="Y182" t="s">
        <v>3063</v>
      </c>
      <c r="Z182" t="s">
        <v>3064</v>
      </c>
      <c r="AA182" t="s">
        <v>74</v>
      </c>
      <c r="AB182" t="s">
        <v>74</v>
      </c>
      <c r="AC182" t="s">
        <v>3065</v>
      </c>
      <c r="AD182" t="s">
        <v>3066</v>
      </c>
      <c r="AE182" t="s">
        <v>3067</v>
      </c>
      <c r="AF182" t="s">
        <v>74</v>
      </c>
      <c r="AG182">
        <v>20</v>
      </c>
      <c r="AH182">
        <v>0</v>
      </c>
      <c r="AI182">
        <v>0</v>
      </c>
      <c r="AJ182">
        <v>0</v>
      </c>
      <c r="AK182">
        <v>2</v>
      </c>
      <c r="AL182" t="s">
        <v>92</v>
      </c>
      <c r="AM182" t="s">
        <v>93</v>
      </c>
      <c r="AN182" t="s">
        <v>94</v>
      </c>
      <c r="AO182" t="s">
        <v>95</v>
      </c>
      <c r="AP182" t="s">
        <v>96</v>
      </c>
      <c r="AQ182" t="s">
        <v>74</v>
      </c>
      <c r="AR182" t="s">
        <v>97</v>
      </c>
      <c r="AS182" t="s">
        <v>98</v>
      </c>
      <c r="AT182" t="s">
        <v>386</v>
      </c>
      <c r="AU182">
        <v>2019</v>
      </c>
      <c r="AV182">
        <v>64</v>
      </c>
      <c r="AW182">
        <v>8</v>
      </c>
      <c r="AX182" t="s">
        <v>74</v>
      </c>
      <c r="AY182" t="s">
        <v>74</v>
      </c>
      <c r="AZ182" t="s">
        <v>74</v>
      </c>
      <c r="BA182" t="s">
        <v>74</v>
      </c>
      <c r="BB182" t="s">
        <v>74</v>
      </c>
      <c r="BC182" t="s">
        <v>74</v>
      </c>
      <c r="BD182">
        <v>85007</v>
      </c>
      <c r="BE182" t="s">
        <v>3068</v>
      </c>
      <c r="BF182" t="str">
        <f>HYPERLINK("http://dx.doi.org/10.1088/1361-6560/ab0b4d","http://dx.doi.org/10.1088/1361-6560/ab0b4d")</f>
        <v>http://dx.doi.org/10.1088/1361-6560/ab0b4d</v>
      </c>
      <c r="BG182" t="s">
        <v>74</v>
      </c>
      <c r="BH182" t="s">
        <v>74</v>
      </c>
      <c r="BI182">
        <v>12</v>
      </c>
      <c r="BJ182" t="s">
        <v>101</v>
      </c>
      <c r="BK182" t="s">
        <v>102</v>
      </c>
      <c r="BL182" t="s">
        <v>103</v>
      </c>
      <c r="BM182" t="s">
        <v>3036</v>
      </c>
      <c r="BN182">
        <v>30818294</v>
      </c>
      <c r="BO182" t="s">
        <v>74</v>
      </c>
      <c r="BP182" t="s">
        <v>74</v>
      </c>
      <c r="BQ182" t="s">
        <v>74</v>
      </c>
      <c r="BR182" t="s">
        <v>106</v>
      </c>
      <c r="BS182" t="s">
        <v>3069</v>
      </c>
      <c r="BT182" t="str">
        <f>HYPERLINK("https%3A%2F%2Fwww.webofscience.com%2Fwos%2Fwoscc%2Ffull-record%2FWOS:000518923400007","View Full Record in Web of Science")</f>
        <v>View Full Record in Web of Science</v>
      </c>
    </row>
    <row r="183" spans="1:72" x14ac:dyDescent="0.25">
      <c r="A183" t="s">
        <v>72</v>
      </c>
      <c r="B183" t="s">
        <v>3070</v>
      </c>
      <c r="C183" t="s">
        <v>74</v>
      </c>
      <c r="D183" t="s">
        <v>74</v>
      </c>
      <c r="E183" t="s">
        <v>74</v>
      </c>
      <c r="F183" t="s">
        <v>3071</v>
      </c>
      <c r="G183" t="s">
        <v>74</v>
      </c>
      <c r="H183" t="s">
        <v>74</v>
      </c>
      <c r="I183" t="s">
        <v>3072</v>
      </c>
      <c r="J183" t="s">
        <v>77</v>
      </c>
      <c r="K183" t="s">
        <v>74</v>
      </c>
      <c r="L183" t="s">
        <v>74</v>
      </c>
      <c r="M183" t="s">
        <v>78</v>
      </c>
      <c r="N183" t="s">
        <v>79</v>
      </c>
      <c r="O183" t="s">
        <v>74</v>
      </c>
      <c r="P183" t="s">
        <v>74</v>
      </c>
      <c r="Q183" t="s">
        <v>74</v>
      </c>
      <c r="R183" t="s">
        <v>74</v>
      </c>
      <c r="S183" t="s">
        <v>74</v>
      </c>
      <c r="T183" t="s">
        <v>3073</v>
      </c>
      <c r="U183" t="s">
        <v>3074</v>
      </c>
      <c r="V183" t="s">
        <v>3075</v>
      </c>
      <c r="W183" t="s">
        <v>3076</v>
      </c>
      <c r="X183" t="s">
        <v>3077</v>
      </c>
      <c r="Y183" t="s">
        <v>3078</v>
      </c>
      <c r="Z183" t="s">
        <v>3079</v>
      </c>
      <c r="AA183" t="s">
        <v>74</v>
      </c>
      <c r="AB183" t="s">
        <v>3080</v>
      </c>
      <c r="AC183" t="s">
        <v>74</v>
      </c>
      <c r="AD183" t="s">
        <v>74</v>
      </c>
      <c r="AE183" t="s">
        <v>74</v>
      </c>
      <c r="AF183" t="s">
        <v>74</v>
      </c>
      <c r="AG183">
        <v>40</v>
      </c>
      <c r="AH183">
        <v>13</v>
      </c>
      <c r="AI183">
        <v>14</v>
      </c>
      <c r="AJ183">
        <v>1</v>
      </c>
      <c r="AK183">
        <v>11</v>
      </c>
      <c r="AL183" t="s">
        <v>157</v>
      </c>
      <c r="AM183" t="s">
        <v>93</v>
      </c>
      <c r="AN183" t="s">
        <v>94</v>
      </c>
      <c r="AO183" t="s">
        <v>95</v>
      </c>
      <c r="AP183" t="s">
        <v>96</v>
      </c>
      <c r="AQ183" t="s">
        <v>74</v>
      </c>
      <c r="AR183" t="s">
        <v>97</v>
      </c>
      <c r="AS183" t="s">
        <v>98</v>
      </c>
      <c r="AT183" t="s">
        <v>471</v>
      </c>
      <c r="AU183">
        <v>2019</v>
      </c>
      <c r="AV183">
        <v>64</v>
      </c>
      <c r="AW183">
        <v>2</v>
      </c>
      <c r="AX183" t="s">
        <v>74</v>
      </c>
      <c r="AY183" t="s">
        <v>74</v>
      </c>
      <c r="AZ183" t="s">
        <v>74</v>
      </c>
      <c r="BA183" t="s">
        <v>74</v>
      </c>
      <c r="BB183" t="s">
        <v>74</v>
      </c>
      <c r="BC183" t="s">
        <v>74</v>
      </c>
      <c r="BD183">
        <v>25006</v>
      </c>
      <c r="BE183" t="s">
        <v>3081</v>
      </c>
      <c r="BF183" t="str">
        <f>HYPERLINK("http://dx.doi.org/10.1088/1361-6560/aaf5d9","http://dx.doi.org/10.1088/1361-6560/aaf5d9")</f>
        <v>http://dx.doi.org/10.1088/1361-6560/aaf5d9</v>
      </c>
      <c r="BG183" t="s">
        <v>74</v>
      </c>
      <c r="BH183" t="s">
        <v>74</v>
      </c>
      <c r="BI183">
        <v>11</v>
      </c>
      <c r="BJ183" t="s">
        <v>101</v>
      </c>
      <c r="BK183" t="s">
        <v>102</v>
      </c>
      <c r="BL183" t="s">
        <v>103</v>
      </c>
      <c r="BM183" t="s">
        <v>3082</v>
      </c>
      <c r="BN183">
        <v>30618412</v>
      </c>
      <c r="BO183" t="s">
        <v>74</v>
      </c>
      <c r="BP183" t="s">
        <v>74</v>
      </c>
      <c r="BQ183" t="s">
        <v>74</v>
      </c>
      <c r="BR183" t="s">
        <v>106</v>
      </c>
      <c r="BS183" t="s">
        <v>3083</v>
      </c>
      <c r="BT183" t="str">
        <f>HYPERLINK("https%3A%2F%2Fwww.webofscience.com%2Fwos%2Fwoscc%2Ffull-record%2FWOS:000455823300003","View Full Record in Web of Science")</f>
        <v>View Full Record in Web of Science</v>
      </c>
    </row>
    <row r="184" spans="1:72" x14ac:dyDescent="0.25">
      <c r="A184" t="s">
        <v>72</v>
      </c>
      <c r="B184" t="s">
        <v>3084</v>
      </c>
      <c r="C184" t="s">
        <v>74</v>
      </c>
      <c r="D184" t="s">
        <v>74</v>
      </c>
      <c r="E184" t="s">
        <v>74</v>
      </c>
      <c r="F184" t="s">
        <v>3085</v>
      </c>
      <c r="G184" t="s">
        <v>74</v>
      </c>
      <c r="H184" t="s">
        <v>74</v>
      </c>
      <c r="I184" t="s">
        <v>3086</v>
      </c>
      <c r="J184" t="s">
        <v>77</v>
      </c>
      <c r="K184" t="s">
        <v>74</v>
      </c>
      <c r="L184" t="s">
        <v>74</v>
      </c>
      <c r="M184" t="s">
        <v>78</v>
      </c>
      <c r="N184" t="s">
        <v>79</v>
      </c>
      <c r="O184" t="s">
        <v>74</v>
      </c>
      <c r="P184" t="s">
        <v>74</v>
      </c>
      <c r="Q184" t="s">
        <v>74</v>
      </c>
      <c r="R184" t="s">
        <v>74</v>
      </c>
      <c r="S184" t="s">
        <v>74</v>
      </c>
      <c r="T184" t="s">
        <v>3087</v>
      </c>
      <c r="U184" t="s">
        <v>3088</v>
      </c>
      <c r="V184" t="s">
        <v>3089</v>
      </c>
      <c r="W184" t="s">
        <v>3090</v>
      </c>
      <c r="X184" t="s">
        <v>3091</v>
      </c>
      <c r="Y184" t="s">
        <v>3092</v>
      </c>
      <c r="Z184" t="s">
        <v>3093</v>
      </c>
      <c r="AA184" t="s">
        <v>3094</v>
      </c>
      <c r="AB184" t="s">
        <v>3095</v>
      </c>
      <c r="AC184" t="s">
        <v>74</v>
      </c>
      <c r="AD184" t="s">
        <v>74</v>
      </c>
      <c r="AE184" t="s">
        <v>74</v>
      </c>
      <c r="AF184" t="s">
        <v>74</v>
      </c>
      <c r="AG184">
        <v>21</v>
      </c>
      <c r="AH184">
        <v>11</v>
      </c>
      <c r="AI184">
        <v>11</v>
      </c>
      <c r="AJ184">
        <v>0</v>
      </c>
      <c r="AK184">
        <v>3</v>
      </c>
      <c r="AL184" t="s">
        <v>92</v>
      </c>
      <c r="AM184" t="s">
        <v>93</v>
      </c>
      <c r="AN184" t="s">
        <v>94</v>
      </c>
      <c r="AO184" t="s">
        <v>95</v>
      </c>
      <c r="AP184" t="s">
        <v>96</v>
      </c>
      <c r="AQ184" t="s">
        <v>74</v>
      </c>
      <c r="AR184" t="s">
        <v>97</v>
      </c>
      <c r="AS184" t="s">
        <v>98</v>
      </c>
      <c r="AT184" t="s">
        <v>509</v>
      </c>
      <c r="AU184">
        <v>2019</v>
      </c>
      <c r="AV184">
        <v>64</v>
      </c>
      <c r="AW184">
        <v>20</v>
      </c>
      <c r="AX184" t="s">
        <v>74</v>
      </c>
      <c r="AY184" t="s">
        <v>74</v>
      </c>
      <c r="AZ184" t="s">
        <v>74</v>
      </c>
      <c r="BA184" t="s">
        <v>74</v>
      </c>
      <c r="BB184" t="s">
        <v>74</v>
      </c>
      <c r="BC184" t="s">
        <v>74</v>
      </c>
      <c r="BD184">
        <v>205021</v>
      </c>
      <c r="BE184" t="s">
        <v>3096</v>
      </c>
      <c r="BF184" t="str">
        <f>HYPERLINK("http://dx.doi.org/10.1088/1361-6560/ab41bd","http://dx.doi.org/10.1088/1361-6560/ab41bd")</f>
        <v>http://dx.doi.org/10.1088/1361-6560/ab41bd</v>
      </c>
      <c r="BG184" t="s">
        <v>74</v>
      </c>
      <c r="BH184" t="s">
        <v>74</v>
      </c>
      <c r="BI184">
        <v>13</v>
      </c>
      <c r="BJ184" t="s">
        <v>101</v>
      </c>
      <c r="BK184" t="s">
        <v>102</v>
      </c>
      <c r="BL184" t="s">
        <v>103</v>
      </c>
      <c r="BM184" t="s">
        <v>741</v>
      </c>
      <c r="BN184">
        <v>31487692</v>
      </c>
      <c r="BO184" t="s">
        <v>74</v>
      </c>
      <c r="BP184" t="s">
        <v>74</v>
      </c>
      <c r="BQ184" t="s">
        <v>74</v>
      </c>
      <c r="BR184" t="s">
        <v>106</v>
      </c>
      <c r="BS184" t="s">
        <v>3097</v>
      </c>
      <c r="BT184" t="str">
        <f>HYPERLINK("https%3A%2F%2Fwww.webofscience.com%2Fwos%2Fwoscc%2Ffull-record%2FWOS:000500247900021","View Full Record in Web of Science")</f>
        <v>View Full Record in Web of Science</v>
      </c>
    </row>
    <row r="185" spans="1:72" x14ac:dyDescent="0.25">
      <c r="A185" t="s">
        <v>72</v>
      </c>
      <c r="B185" t="s">
        <v>3098</v>
      </c>
      <c r="C185" t="s">
        <v>74</v>
      </c>
      <c r="D185" t="s">
        <v>74</v>
      </c>
      <c r="E185" t="s">
        <v>74</v>
      </c>
      <c r="F185" t="s">
        <v>3099</v>
      </c>
      <c r="G185" t="s">
        <v>74</v>
      </c>
      <c r="H185" t="s">
        <v>74</v>
      </c>
      <c r="I185" t="s">
        <v>3100</v>
      </c>
      <c r="J185" t="s">
        <v>77</v>
      </c>
      <c r="K185" t="s">
        <v>74</v>
      </c>
      <c r="L185" t="s">
        <v>74</v>
      </c>
      <c r="M185" t="s">
        <v>78</v>
      </c>
      <c r="N185" t="s">
        <v>79</v>
      </c>
      <c r="O185" t="s">
        <v>74</v>
      </c>
      <c r="P185" t="s">
        <v>74</v>
      </c>
      <c r="Q185" t="s">
        <v>74</v>
      </c>
      <c r="R185" t="s">
        <v>74</v>
      </c>
      <c r="S185" t="s">
        <v>74</v>
      </c>
      <c r="T185" t="s">
        <v>3101</v>
      </c>
      <c r="U185" t="s">
        <v>3102</v>
      </c>
      <c r="V185" t="s">
        <v>3103</v>
      </c>
      <c r="W185" t="s">
        <v>3104</v>
      </c>
      <c r="X185" t="s">
        <v>3105</v>
      </c>
      <c r="Y185" t="s">
        <v>3106</v>
      </c>
      <c r="Z185" t="s">
        <v>3107</v>
      </c>
      <c r="AA185" t="s">
        <v>3108</v>
      </c>
      <c r="AB185" t="s">
        <v>3109</v>
      </c>
      <c r="AC185" t="s">
        <v>3110</v>
      </c>
      <c r="AD185" t="s">
        <v>3111</v>
      </c>
      <c r="AE185" t="s">
        <v>3112</v>
      </c>
      <c r="AF185" t="s">
        <v>74</v>
      </c>
      <c r="AG185">
        <v>41</v>
      </c>
      <c r="AH185">
        <v>6</v>
      </c>
      <c r="AI185">
        <v>7</v>
      </c>
      <c r="AJ185">
        <v>0</v>
      </c>
      <c r="AK185">
        <v>10</v>
      </c>
      <c r="AL185" t="s">
        <v>92</v>
      </c>
      <c r="AM185" t="s">
        <v>93</v>
      </c>
      <c r="AN185" t="s">
        <v>94</v>
      </c>
      <c r="AO185" t="s">
        <v>95</v>
      </c>
      <c r="AP185" t="s">
        <v>96</v>
      </c>
      <c r="AQ185" t="s">
        <v>74</v>
      </c>
      <c r="AR185" t="s">
        <v>97</v>
      </c>
      <c r="AS185" t="s">
        <v>98</v>
      </c>
      <c r="AT185" t="s">
        <v>196</v>
      </c>
      <c r="AU185">
        <v>2019</v>
      </c>
      <c r="AV185">
        <v>64</v>
      </c>
      <c r="AW185">
        <v>15</v>
      </c>
      <c r="AX185" t="s">
        <v>74</v>
      </c>
      <c r="AY185" t="s">
        <v>74</v>
      </c>
      <c r="AZ185" t="s">
        <v>74</v>
      </c>
      <c r="BA185" t="s">
        <v>74</v>
      </c>
      <c r="BB185" t="s">
        <v>74</v>
      </c>
      <c r="BC185" t="s">
        <v>74</v>
      </c>
      <c r="BD185">
        <v>155010</v>
      </c>
      <c r="BE185" t="s">
        <v>3113</v>
      </c>
      <c r="BF185" t="str">
        <f>HYPERLINK("http://dx.doi.org/10.1088/1361-6560/ab2c36","http://dx.doi.org/10.1088/1361-6560/ab2c36")</f>
        <v>http://dx.doi.org/10.1088/1361-6560/ab2c36</v>
      </c>
      <c r="BG185" t="s">
        <v>74</v>
      </c>
      <c r="BH185" t="s">
        <v>74</v>
      </c>
      <c r="BI185">
        <v>9</v>
      </c>
      <c r="BJ185" t="s">
        <v>101</v>
      </c>
      <c r="BK185" t="s">
        <v>102</v>
      </c>
      <c r="BL185" t="s">
        <v>103</v>
      </c>
      <c r="BM185" t="s">
        <v>198</v>
      </c>
      <c r="BN185">
        <v>31234149</v>
      </c>
      <c r="BO185" t="s">
        <v>179</v>
      </c>
      <c r="BP185" t="s">
        <v>74</v>
      </c>
      <c r="BQ185" t="s">
        <v>74</v>
      </c>
      <c r="BR185" t="s">
        <v>106</v>
      </c>
      <c r="BS185" t="s">
        <v>3114</v>
      </c>
      <c r="BT185" t="str">
        <f>HYPERLINK("https%3A%2F%2Fwww.webofscience.com%2Fwos%2Fwoscc%2Ffull-record%2FWOS:000480292700005","View Full Record in Web of Science")</f>
        <v>View Full Record in Web of Science</v>
      </c>
    </row>
    <row r="186" spans="1:72" x14ac:dyDescent="0.25">
      <c r="A186" t="s">
        <v>72</v>
      </c>
      <c r="B186" t="s">
        <v>3115</v>
      </c>
      <c r="C186" t="s">
        <v>74</v>
      </c>
      <c r="D186" t="s">
        <v>74</v>
      </c>
      <c r="E186" t="s">
        <v>74</v>
      </c>
      <c r="F186" t="s">
        <v>3116</v>
      </c>
      <c r="G186" t="s">
        <v>74</v>
      </c>
      <c r="H186" t="s">
        <v>74</v>
      </c>
      <c r="I186" t="s">
        <v>3117</v>
      </c>
      <c r="J186" t="s">
        <v>77</v>
      </c>
      <c r="K186" t="s">
        <v>74</v>
      </c>
      <c r="L186" t="s">
        <v>74</v>
      </c>
      <c r="M186" t="s">
        <v>78</v>
      </c>
      <c r="N186" t="s">
        <v>79</v>
      </c>
      <c r="O186" t="s">
        <v>74</v>
      </c>
      <c r="P186" t="s">
        <v>74</v>
      </c>
      <c r="Q186" t="s">
        <v>74</v>
      </c>
      <c r="R186" t="s">
        <v>74</v>
      </c>
      <c r="S186" t="s">
        <v>74</v>
      </c>
      <c r="T186" t="s">
        <v>3118</v>
      </c>
      <c r="U186" t="s">
        <v>3119</v>
      </c>
      <c r="V186" t="s">
        <v>3120</v>
      </c>
      <c r="W186" t="s">
        <v>3121</v>
      </c>
      <c r="X186" t="s">
        <v>3122</v>
      </c>
      <c r="Y186" t="s">
        <v>3123</v>
      </c>
      <c r="Z186" t="s">
        <v>3124</v>
      </c>
      <c r="AA186" t="s">
        <v>3125</v>
      </c>
      <c r="AB186" t="s">
        <v>3126</v>
      </c>
      <c r="AC186" t="s">
        <v>3127</v>
      </c>
      <c r="AD186" t="s">
        <v>3128</v>
      </c>
      <c r="AE186" t="s">
        <v>3129</v>
      </c>
      <c r="AF186" t="s">
        <v>74</v>
      </c>
      <c r="AG186">
        <v>39</v>
      </c>
      <c r="AH186">
        <v>14</v>
      </c>
      <c r="AI186">
        <v>15</v>
      </c>
      <c r="AJ186">
        <v>1</v>
      </c>
      <c r="AK186">
        <v>6</v>
      </c>
      <c r="AL186" t="s">
        <v>92</v>
      </c>
      <c r="AM186" t="s">
        <v>93</v>
      </c>
      <c r="AN186" t="s">
        <v>94</v>
      </c>
      <c r="AO186" t="s">
        <v>95</v>
      </c>
      <c r="AP186" t="s">
        <v>96</v>
      </c>
      <c r="AQ186" t="s">
        <v>74</v>
      </c>
      <c r="AR186" t="s">
        <v>97</v>
      </c>
      <c r="AS186" t="s">
        <v>98</v>
      </c>
      <c r="AT186" t="s">
        <v>196</v>
      </c>
      <c r="AU186">
        <v>2019</v>
      </c>
      <c r="AV186">
        <v>64</v>
      </c>
      <c r="AW186">
        <v>15</v>
      </c>
      <c r="AX186" t="s">
        <v>74</v>
      </c>
      <c r="AY186" t="s">
        <v>74</v>
      </c>
      <c r="AZ186" t="s">
        <v>74</v>
      </c>
      <c r="BA186" t="s">
        <v>74</v>
      </c>
      <c r="BB186" t="s">
        <v>74</v>
      </c>
      <c r="BC186" t="s">
        <v>74</v>
      </c>
      <c r="BD186">
        <v>155014</v>
      </c>
      <c r="BE186" t="s">
        <v>3130</v>
      </c>
      <c r="BF186" t="str">
        <f>HYPERLINK("http://dx.doi.org/10.1088/1361-6560/ab2752","http://dx.doi.org/10.1088/1361-6560/ab2752")</f>
        <v>http://dx.doi.org/10.1088/1361-6560/ab2752</v>
      </c>
      <c r="BG186" t="s">
        <v>74</v>
      </c>
      <c r="BH186" t="s">
        <v>74</v>
      </c>
      <c r="BI186">
        <v>16</v>
      </c>
      <c r="BJ186" t="s">
        <v>101</v>
      </c>
      <c r="BK186" t="s">
        <v>102</v>
      </c>
      <c r="BL186" t="s">
        <v>103</v>
      </c>
      <c r="BM186" t="s">
        <v>198</v>
      </c>
      <c r="BN186">
        <v>31167173</v>
      </c>
      <c r="BO186" t="s">
        <v>270</v>
      </c>
      <c r="BP186" t="s">
        <v>74</v>
      </c>
      <c r="BQ186" t="s">
        <v>74</v>
      </c>
      <c r="BR186" t="s">
        <v>106</v>
      </c>
      <c r="BS186" t="s">
        <v>3131</v>
      </c>
      <c r="BT186" t="str">
        <f>HYPERLINK("https%3A%2F%2Fwww.webofscience.com%2Fwos%2Fwoscc%2Ffull-record%2FWOS:000480292700009","View Full Record in Web of Science")</f>
        <v>View Full Record in Web of Science</v>
      </c>
    </row>
    <row r="187" spans="1:72" x14ac:dyDescent="0.25">
      <c r="A187" t="s">
        <v>72</v>
      </c>
      <c r="B187" t="s">
        <v>3132</v>
      </c>
      <c r="C187" t="s">
        <v>74</v>
      </c>
      <c r="D187" t="s">
        <v>74</v>
      </c>
      <c r="E187" t="s">
        <v>74</v>
      </c>
      <c r="F187" t="s">
        <v>3133</v>
      </c>
      <c r="G187" t="s">
        <v>74</v>
      </c>
      <c r="H187" t="s">
        <v>74</v>
      </c>
      <c r="I187" t="s">
        <v>3134</v>
      </c>
      <c r="J187" t="s">
        <v>77</v>
      </c>
      <c r="K187" t="s">
        <v>74</v>
      </c>
      <c r="L187" t="s">
        <v>74</v>
      </c>
      <c r="M187" t="s">
        <v>78</v>
      </c>
      <c r="N187" t="s">
        <v>79</v>
      </c>
      <c r="O187" t="s">
        <v>74</v>
      </c>
      <c r="P187" t="s">
        <v>74</v>
      </c>
      <c r="Q187" t="s">
        <v>74</v>
      </c>
      <c r="R187" t="s">
        <v>74</v>
      </c>
      <c r="S187" t="s">
        <v>74</v>
      </c>
      <c r="T187" t="s">
        <v>3135</v>
      </c>
      <c r="U187" t="s">
        <v>3136</v>
      </c>
      <c r="V187" t="s">
        <v>3137</v>
      </c>
      <c r="W187" t="s">
        <v>3138</v>
      </c>
      <c r="X187" t="s">
        <v>3139</v>
      </c>
      <c r="Y187" t="s">
        <v>3140</v>
      </c>
      <c r="Z187" t="s">
        <v>3141</v>
      </c>
      <c r="AA187" t="s">
        <v>3142</v>
      </c>
      <c r="AB187" t="s">
        <v>3143</v>
      </c>
      <c r="AC187" t="s">
        <v>3144</v>
      </c>
      <c r="AD187" t="s">
        <v>3145</v>
      </c>
      <c r="AE187" t="s">
        <v>3146</v>
      </c>
      <c r="AF187" t="s">
        <v>74</v>
      </c>
      <c r="AG187">
        <v>45</v>
      </c>
      <c r="AH187">
        <v>63</v>
      </c>
      <c r="AI187">
        <v>64</v>
      </c>
      <c r="AJ187">
        <v>2</v>
      </c>
      <c r="AK187">
        <v>20</v>
      </c>
      <c r="AL187" t="s">
        <v>92</v>
      </c>
      <c r="AM187" t="s">
        <v>93</v>
      </c>
      <c r="AN187" t="s">
        <v>94</v>
      </c>
      <c r="AO187" t="s">
        <v>95</v>
      </c>
      <c r="AP187" t="s">
        <v>96</v>
      </c>
      <c r="AQ187" t="s">
        <v>74</v>
      </c>
      <c r="AR187" t="s">
        <v>97</v>
      </c>
      <c r="AS187" t="s">
        <v>98</v>
      </c>
      <c r="AT187" t="s">
        <v>196</v>
      </c>
      <c r="AU187">
        <v>2019</v>
      </c>
      <c r="AV187">
        <v>64</v>
      </c>
      <c r="AW187">
        <v>16</v>
      </c>
      <c r="AX187" t="s">
        <v>74</v>
      </c>
      <c r="AY187" t="s">
        <v>74</v>
      </c>
      <c r="AZ187" t="s">
        <v>74</v>
      </c>
      <c r="BA187" t="s">
        <v>74</v>
      </c>
      <c r="BB187" t="s">
        <v>74</v>
      </c>
      <c r="BC187" t="s">
        <v>74</v>
      </c>
      <c r="BD187">
        <v>165002</v>
      </c>
      <c r="BE187" t="s">
        <v>3147</v>
      </c>
      <c r="BF187" t="str">
        <f>HYPERLINK("http://dx.doi.org/10.1088/1361-6560/ab2b72","http://dx.doi.org/10.1088/1361-6560/ab2b72")</f>
        <v>http://dx.doi.org/10.1088/1361-6560/ab2b72</v>
      </c>
      <c r="BG187" t="s">
        <v>74</v>
      </c>
      <c r="BH187" t="s">
        <v>74</v>
      </c>
      <c r="BI187">
        <v>16</v>
      </c>
      <c r="BJ187" t="s">
        <v>101</v>
      </c>
      <c r="BK187" t="s">
        <v>102</v>
      </c>
      <c r="BL187" t="s">
        <v>103</v>
      </c>
      <c r="BM187" t="s">
        <v>1076</v>
      </c>
      <c r="BN187">
        <v>31220814</v>
      </c>
      <c r="BO187" t="s">
        <v>179</v>
      </c>
      <c r="BP187" t="s">
        <v>74</v>
      </c>
      <c r="BQ187" t="s">
        <v>74</v>
      </c>
      <c r="BR187" t="s">
        <v>106</v>
      </c>
      <c r="BS187" t="s">
        <v>3148</v>
      </c>
      <c r="BT187" t="str">
        <f>HYPERLINK("https%3A%2F%2Fwww.webofscience.com%2Fwos%2Fwoscc%2Ffull-record%2FWOS:000481852600002","View Full Record in Web of Science")</f>
        <v>View Full Record in Web of Science</v>
      </c>
    </row>
    <row r="188" spans="1:72" x14ac:dyDescent="0.25">
      <c r="A188" t="s">
        <v>72</v>
      </c>
      <c r="B188" t="s">
        <v>3149</v>
      </c>
      <c r="C188" t="s">
        <v>74</v>
      </c>
      <c r="D188" t="s">
        <v>74</v>
      </c>
      <c r="E188" t="s">
        <v>74</v>
      </c>
      <c r="F188" t="s">
        <v>3150</v>
      </c>
      <c r="G188" t="s">
        <v>74</v>
      </c>
      <c r="H188" t="s">
        <v>74</v>
      </c>
      <c r="I188" t="s">
        <v>3151</v>
      </c>
      <c r="J188" t="s">
        <v>77</v>
      </c>
      <c r="K188" t="s">
        <v>74</v>
      </c>
      <c r="L188" t="s">
        <v>74</v>
      </c>
      <c r="M188" t="s">
        <v>78</v>
      </c>
      <c r="N188" t="s">
        <v>79</v>
      </c>
      <c r="O188" t="s">
        <v>74</v>
      </c>
      <c r="P188" t="s">
        <v>74</v>
      </c>
      <c r="Q188" t="s">
        <v>74</v>
      </c>
      <c r="R188" t="s">
        <v>74</v>
      </c>
      <c r="S188" t="s">
        <v>74</v>
      </c>
      <c r="T188" t="s">
        <v>3152</v>
      </c>
      <c r="U188" t="s">
        <v>3153</v>
      </c>
      <c r="V188" t="s">
        <v>3154</v>
      </c>
      <c r="W188" t="s">
        <v>3155</v>
      </c>
      <c r="X188" t="s">
        <v>3156</v>
      </c>
      <c r="Y188" t="s">
        <v>3157</v>
      </c>
      <c r="Z188" t="s">
        <v>3158</v>
      </c>
      <c r="AA188" t="s">
        <v>3159</v>
      </c>
      <c r="AB188" t="s">
        <v>3160</v>
      </c>
      <c r="AC188" t="s">
        <v>3161</v>
      </c>
      <c r="AD188" t="s">
        <v>3162</v>
      </c>
      <c r="AE188" t="s">
        <v>74</v>
      </c>
      <c r="AF188" t="s">
        <v>74</v>
      </c>
      <c r="AG188">
        <v>28</v>
      </c>
      <c r="AH188">
        <v>15</v>
      </c>
      <c r="AI188">
        <v>15</v>
      </c>
      <c r="AJ188">
        <v>0</v>
      </c>
      <c r="AK188">
        <v>9</v>
      </c>
      <c r="AL188" t="s">
        <v>92</v>
      </c>
      <c r="AM188" t="s">
        <v>93</v>
      </c>
      <c r="AN188" t="s">
        <v>94</v>
      </c>
      <c r="AO188" t="s">
        <v>95</v>
      </c>
      <c r="AP188" t="s">
        <v>96</v>
      </c>
      <c r="AQ188" t="s">
        <v>74</v>
      </c>
      <c r="AR188" t="s">
        <v>97</v>
      </c>
      <c r="AS188" t="s">
        <v>98</v>
      </c>
      <c r="AT188" t="s">
        <v>196</v>
      </c>
      <c r="AU188">
        <v>2019</v>
      </c>
      <c r="AV188">
        <v>64</v>
      </c>
      <c r="AW188">
        <v>16</v>
      </c>
      <c r="AX188" t="s">
        <v>74</v>
      </c>
      <c r="AY188" t="s">
        <v>74</v>
      </c>
      <c r="AZ188" t="s">
        <v>74</v>
      </c>
      <c r="BA188" t="s">
        <v>74</v>
      </c>
      <c r="BB188" t="s">
        <v>74</v>
      </c>
      <c r="BC188" t="s">
        <v>74</v>
      </c>
      <c r="BD188">
        <v>165014</v>
      </c>
      <c r="BE188" t="s">
        <v>3163</v>
      </c>
      <c r="BF188" t="str">
        <f>HYPERLINK("http://dx.doi.org/10.1088/1361-6560/ab0bc9","http://dx.doi.org/10.1088/1361-6560/ab0bc9")</f>
        <v>http://dx.doi.org/10.1088/1361-6560/ab0bc9</v>
      </c>
      <c r="BG188" t="s">
        <v>74</v>
      </c>
      <c r="BH188" t="s">
        <v>74</v>
      </c>
      <c r="BI188">
        <v>14</v>
      </c>
      <c r="BJ188" t="s">
        <v>101</v>
      </c>
      <c r="BK188" t="s">
        <v>102</v>
      </c>
      <c r="BL188" t="s">
        <v>103</v>
      </c>
      <c r="BM188" t="s">
        <v>2045</v>
      </c>
      <c r="BN188">
        <v>30822762</v>
      </c>
      <c r="BO188" t="s">
        <v>270</v>
      </c>
      <c r="BP188" t="s">
        <v>74</v>
      </c>
      <c r="BQ188" t="s">
        <v>74</v>
      </c>
      <c r="BR188" t="s">
        <v>106</v>
      </c>
      <c r="BS188" t="s">
        <v>3164</v>
      </c>
      <c r="BT188" t="str">
        <f>HYPERLINK("https%3A%2F%2Fwww.webofscience.com%2Fwos%2Fwoscc%2Ffull-record%2FWOS:000482525700005","View Full Record in Web of Science")</f>
        <v>View Full Record in Web of Science</v>
      </c>
    </row>
    <row r="189" spans="1:72" x14ac:dyDescent="0.25">
      <c r="A189" t="s">
        <v>72</v>
      </c>
      <c r="B189" t="s">
        <v>3165</v>
      </c>
      <c r="C189" t="s">
        <v>74</v>
      </c>
      <c r="D189" t="s">
        <v>74</v>
      </c>
      <c r="E189" t="s">
        <v>74</v>
      </c>
      <c r="F189" t="s">
        <v>3166</v>
      </c>
      <c r="G189" t="s">
        <v>74</v>
      </c>
      <c r="H189" t="s">
        <v>74</v>
      </c>
      <c r="I189" t="s">
        <v>3167</v>
      </c>
      <c r="J189" t="s">
        <v>77</v>
      </c>
      <c r="K189" t="s">
        <v>74</v>
      </c>
      <c r="L189" t="s">
        <v>74</v>
      </c>
      <c r="M189" t="s">
        <v>78</v>
      </c>
      <c r="N189" t="s">
        <v>79</v>
      </c>
      <c r="O189" t="s">
        <v>74</v>
      </c>
      <c r="P189" t="s">
        <v>74</v>
      </c>
      <c r="Q189" t="s">
        <v>74</v>
      </c>
      <c r="R189" t="s">
        <v>74</v>
      </c>
      <c r="S189" t="s">
        <v>74</v>
      </c>
      <c r="T189" t="s">
        <v>3168</v>
      </c>
      <c r="U189" t="s">
        <v>3169</v>
      </c>
      <c r="V189" t="s">
        <v>3170</v>
      </c>
      <c r="W189" t="s">
        <v>3171</v>
      </c>
      <c r="X189" t="s">
        <v>3172</v>
      </c>
      <c r="Y189" t="s">
        <v>3173</v>
      </c>
      <c r="Z189" t="s">
        <v>3174</v>
      </c>
      <c r="AA189" t="s">
        <v>3175</v>
      </c>
      <c r="AB189" t="s">
        <v>3176</v>
      </c>
      <c r="AC189" t="s">
        <v>3177</v>
      </c>
      <c r="AD189" t="s">
        <v>3178</v>
      </c>
      <c r="AE189" t="s">
        <v>3179</v>
      </c>
      <c r="AF189" t="s">
        <v>74</v>
      </c>
      <c r="AG189">
        <v>47</v>
      </c>
      <c r="AH189">
        <v>79</v>
      </c>
      <c r="AI189">
        <v>83</v>
      </c>
      <c r="AJ189">
        <v>3</v>
      </c>
      <c r="AK189">
        <v>15</v>
      </c>
      <c r="AL189" t="s">
        <v>92</v>
      </c>
      <c r="AM189" t="s">
        <v>93</v>
      </c>
      <c r="AN189" t="s">
        <v>94</v>
      </c>
      <c r="AO189" t="s">
        <v>95</v>
      </c>
      <c r="AP189" t="s">
        <v>96</v>
      </c>
      <c r="AQ189" t="s">
        <v>74</v>
      </c>
      <c r="AR189" t="s">
        <v>97</v>
      </c>
      <c r="AS189" t="s">
        <v>98</v>
      </c>
      <c r="AT189" t="s">
        <v>196</v>
      </c>
      <c r="AU189">
        <v>2019</v>
      </c>
      <c r="AV189">
        <v>64</v>
      </c>
      <c r="AW189">
        <v>16</v>
      </c>
      <c r="AX189" t="s">
        <v>74</v>
      </c>
      <c r="AY189" t="s">
        <v>74</v>
      </c>
      <c r="AZ189" t="s">
        <v>74</v>
      </c>
      <c r="BA189" t="s">
        <v>74</v>
      </c>
      <c r="BB189" t="s">
        <v>74</v>
      </c>
      <c r="BC189" t="s">
        <v>74</v>
      </c>
      <c r="BD189">
        <v>165011</v>
      </c>
      <c r="BE189" t="s">
        <v>3180</v>
      </c>
      <c r="BF189" t="str">
        <f>HYPERLINK("http://dx.doi.org/10.1088/1361-6560/ab2f44","http://dx.doi.org/10.1088/1361-6560/ab2f44")</f>
        <v>http://dx.doi.org/10.1088/1361-6560/ab2f44</v>
      </c>
      <c r="BG189" t="s">
        <v>74</v>
      </c>
      <c r="BH189" t="s">
        <v>74</v>
      </c>
      <c r="BI189">
        <v>12</v>
      </c>
      <c r="BJ189" t="s">
        <v>101</v>
      </c>
      <c r="BK189" t="s">
        <v>102</v>
      </c>
      <c r="BL189" t="s">
        <v>103</v>
      </c>
      <c r="BM189" t="s">
        <v>2045</v>
      </c>
      <c r="BN189">
        <v>31272093</v>
      </c>
      <c r="BO189" t="s">
        <v>74</v>
      </c>
      <c r="BP189" t="s">
        <v>74</v>
      </c>
      <c r="BQ189" t="s">
        <v>74</v>
      </c>
      <c r="BR189" t="s">
        <v>106</v>
      </c>
      <c r="BS189" t="s">
        <v>3181</v>
      </c>
      <c r="BT189" t="str">
        <f>HYPERLINK("https%3A%2F%2Fwww.webofscience.com%2Fwos%2Fwoscc%2Ffull-record%2FWOS:000482525700002","View Full Record in Web of Science")</f>
        <v>View Full Record in Web of Science</v>
      </c>
    </row>
    <row r="190" spans="1:72" x14ac:dyDescent="0.25">
      <c r="A190" t="s">
        <v>72</v>
      </c>
      <c r="B190" t="s">
        <v>3182</v>
      </c>
      <c r="C190" t="s">
        <v>74</v>
      </c>
      <c r="D190" t="s">
        <v>74</v>
      </c>
      <c r="E190" t="s">
        <v>74</v>
      </c>
      <c r="F190" t="s">
        <v>3183</v>
      </c>
      <c r="G190" t="s">
        <v>74</v>
      </c>
      <c r="H190" t="s">
        <v>74</v>
      </c>
      <c r="I190" t="s">
        <v>3184</v>
      </c>
      <c r="J190" t="s">
        <v>77</v>
      </c>
      <c r="K190" t="s">
        <v>74</v>
      </c>
      <c r="L190" t="s">
        <v>74</v>
      </c>
      <c r="M190" t="s">
        <v>78</v>
      </c>
      <c r="N190" t="s">
        <v>79</v>
      </c>
      <c r="O190" t="s">
        <v>74</v>
      </c>
      <c r="P190" t="s">
        <v>74</v>
      </c>
      <c r="Q190" t="s">
        <v>74</v>
      </c>
      <c r="R190" t="s">
        <v>74</v>
      </c>
      <c r="S190" t="s">
        <v>74</v>
      </c>
      <c r="T190" t="s">
        <v>3185</v>
      </c>
      <c r="U190" t="s">
        <v>3186</v>
      </c>
      <c r="V190" t="s">
        <v>3187</v>
      </c>
      <c r="W190" t="s">
        <v>3188</v>
      </c>
      <c r="X190" t="s">
        <v>2019</v>
      </c>
      <c r="Y190" t="s">
        <v>3189</v>
      </c>
      <c r="Z190" t="s">
        <v>3190</v>
      </c>
      <c r="AA190" t="s">
        <v>3191</v>
      </c>
      <c r="AB190" t="s">
        <v>3192</v>
      </c>
      <c r="AC190" t="s">
        <v>3193</v>
      </c>
      <c r="AD190" t="s">
        <v>90</v>
      </c>
      <c r="AE190" t="s">
        <v>3194</v>
      </c>
      <c r="AF190" t="s">
        <v>74</v>
      </c>
      <c r="AG190">
        <v>51</v>
      </c>
      <c r="AH190">
        <v>55</v>
      </c>
      <c r="AI190">
        <v>54</v>
      </c>
      <c r="AJ190">
        <v>1</v>
      </c>
      <c r="AK190">
        <v>26</v>
      </c>
      <c r="AL190" t="s">
        <v>157</v>
      </c>
      <c r="AM190" t="s">
        <v>93</v>
      </c>
      <c r="AN190" t="s">
        <v>94</v>
      </c>
      <c r="AO190" t="s">
        <v>95</v>
      </c>
      <c r="AP190" t="s">
        <v>96</v>
      </c>
      <c r="AQ190" t="s">
        <v>74</v>
      </c>
      <c r="AR190" t="s">
        <v>97</v>
      </c>
      <c r="AS190" t="s">
        <v>98</v>
      </c>
      <c r="AT190" t="s">
        <v>250</v>
      </c>
      <c r="AU190">
        <v>2019</v>
      </c>
      <c r="AV190">
        <v>64</v>
      </c>
      <c r="AW190">
        <v>11</v>
      </c>
      <c r="AX190" t="s">
        <v>74</v>
      </c>
      <c r="AY190" t="s">
        <v>74</v>
      </c>
      <c r="AZ190" t="s">
        <v>74</v>
      </c>
      <c r="BA190" t="s">
        <v>74</v>
      </c>
      <c r="BB190" t="s">
        <v>74</v>
      </c>
      <c r="BC190" t="s">
        <v>74</v>
      </c>
      <c r="BD190">
        <v>115004</v>
      </c>
      <c r="BE190" t="s">
        <v>3195</v>
      </c>
      <c r="BF190" t="str">
        <f>HYPERLINK("http://dx.doi.org/10.1088/1361-6560/ab0dc0","http://dx.doi.org/10.1088/1361-6560/ab0dc0")</f>
        <v>http://dx.doi.org/10.1088/1361-6560/ab0dc0</v>
      </c>
      <c r="BG190" t="s">
        <v>74</v>
      </c>
      <c r="BH190" t="s">
        <v>74</v>
      </c>
      <c r="BI190">
        <v>16</v>
      </c>
      <c r="BJ190" t="s">
        <v>101</v>
      </c>
      <c r="BK190" t="s">
        <v>102</v>
      </c>
      <c r="BL190" t="s">
        <v>103</v>
      </c>
      <c r="BM190" t="s">
        <v>323</v>
      </c>
      <c r="BN190">
        <v>30844784</v>
      </c>
      <c r="BO190" t="s">
        <v>420</v>
      </c>
      <c r="BP190" t="s">
        <v>74</v>
      </c>
      <c r="BQ190" t="s">
        <v>74</v>
      </c>
      <c r="BR190" t="s">
        <v>106</v>
      </c>
      <c r="BS190" t="s">
        <v>3196</v>
      </c>
      <c r="BT190" t="str">
        <f>HYPERLINK("https%3A%2F%2Fwww.webofscience.com%2Fwos%2Fwoscc%2Ffull-record%2FWOS:000468942900004","View Full Record in Web of Science")</f>
        <v>View Full Record in Web of Science</v>
      </c>
    </row>
    <row r="191" spans="1:72" x14ac:dyDescent="0.25">
      <c r="A191" t="s">
        <v>72</v>
      </c>
      <c r="B191" t="s">
        <v>3197</v>
      </c>
      <c r="C191" t="s">
        <v>74</v>
      </c>
      <c r="D191" t="s">
        <v>74</v>
      </c>
      <c r="E191" t="s">
        <v>74</v>
      </c>
      <c r="F191" t="s">
        <v>3198</v>
      </c>
      <c r="G191" t="s">
        <v>74</v>
      </c>
      <c r="H191" t="s">
        <v>74</v>
      </c>
      <c r="I191" t="s">
        <v>3199</v>
      </c>
      <c r="J191" t="s">
        <v>77</v>
      </c>
      <c r="K191" t="s">
        <v>74</v>
      </c>
      <c r="L191" t="s">
        <v>74</v>
      </c>
      <c r="M191" t="s">
        <v>78</v>
      </c>
      <c r="N191" t="s">
        <v>79</v>
      </c>
      <c r="O191" t="s">
        <v>74</v>
      </c>
      <c r="P191" t="s">
        <v>74</v>
      </c>
      <c r="Q191" t="s">
        <v>74</v>
      </c>
      <c r="R191" t="s">
        <v>74</v>
      </c>
      <c r="S191" t="s">
        <v>74</v>
      </c>
      <c r="T191" t="s">
        <v>3200</v>
      </c>
      <c r="U191" t="s">
        <v>3201</v>
      </c>
      <c r="V191" t="s">
        <v>3202</v>
      </c>
      <c r="W191" t="s">
        <v>3203</v>
      </c>
      <c r="X191" t="s">
        <v>3204</v>
      </c>
      <c r="Y191" t="s">
        <v>3205</v>
      </c>
      <c r="Z191" t="s">
        <v>3206</v>
      </c>
      <c r="AA191" t="s">
        <v>3207</v>
      </c>
      <c r="AB191" t="s">
        <v>3208</v>
      </c>
      <c r="AC191" t="s">
        <v>3209</v>
      </c>
      <c r="AD191" t="s">
        <v>607</v>
      </c>
      <c r="AE191" t="s">
        <v>3210</v>
      </c>
      <c r="AF191" t="s">
        <v>74</v>
      </c>
      <c r="AG191">
        <v>58</v>
      </c>
      <c r="AH191">
        <v>91</v>
      </c>
      <c r="AI191">
        <v>103</v>
      </c>
      <c r="AJ191">
        <v>0</v>
      </c>
      <c r="AK191">
        <v>29</v>
      </c>
      <c r="AL191" t="s">
        <v>157</v>
      </c>
      <c r="AM191" t="s">
        <v>93</v>
      </c>
      <c r="AN191" t="s">
        <v>94</v>
      </c>
      <c r="AO191" t="s">
        <v>95</v>
      </c>
      <c r="AP191" t="s">
        <v>96</v>
      </c>
      <c r="AQ191" t="s">
        <v>74</v>
      </c>
      <c r="AR191" t="s">
        <v>97</v>
      </c>
      <c r="AS191" t="s">
        <v>98</v>
      </c>
      <c r="AT191" t="s">
        <v>250</v>
      </c>
      <c r="AU191">
        <v>2019</v>
      </c>
      <c r="AV191">
        <v>64</v>
      </c>
      <c r="AW191">
        <v>11</v>
      </c>
      <c r="AX191" t="s">
        <v>74</v>
      </c>
      <c r="AY191" t="s">
        <v>74</v>
      </c>
      <c r="AZ191" t="s">
        <v>74</v>
      </c>
      <c r="BA191" t="s">
        <v>74</v>
      </c>
      <c r="BB191" t="s">
        <v>74</v>
      </c>
      <c r="BC191" t="s">
        <v>74</v>
      </c>
      <c r="BD191">
        <v>115013</v>
      </c>
      <c r="BE191" t="s">
        <v>3211</v>
      </c>
      <c r="BF191" t="str">
        <f>HYPERLINK("http://dx.doi.org/10.1088/1361-6560/ab18bf","http://dx.doi.org/10.1088/1361-6560/ab18bf")</f>
        <v>http://dx.doi.org/10.1088/1361-6560/ab18bf</v>
      </c>
      <c r="BG191" t="s">
        <v>74</v>
      </c>
      <c r="BH191" t="s">
        <v>74</v>
      </c>
      <c r="BI191">
        <v>16</v>
      </c>
      <c r="BJ191" t="s">
        <v>101</v>
      </c>
      <c r="BK191" t="s">
        <v>102</v>
      </c>
      <c r="BL191" t="s">
        <v>103</v>
      </c>
      <c r="BM191" t="s">
        <v>287</v>
      </c>
      <c r="BN191">
        <v>30978709</v>
      </c>
      <c r="BO191" t="s">
        <v>795</v>
      </c>
      <c r="BP191" t="s">
        <v>74</v>
      </c>
      <c r="BQ191" t="s">
        <v>74</v>
      </c>
      <c r="BR191" t="s">
        <v>106</v>
      </c>
      <c r="BS191" t="s">
        <v>3212</v>
      </c>
      <c r="BT191" t="str">
        <f>HYPERLINK("https%3A%2F%2Fwww.webofscience.com%2Fwos%2Fwoscc%2Ffull-record%2FWOS:000469802000005","View Full Record in Web of Science")</f>
        <v>View Full Record in Web of Science</v>
      </c>
    </row>
    <row r="192" spans="1:72" x14ac:dyDescent="0.25">
      <c r="A192" t="s">
        <v>72</v>
      </c>
      <c r="B192" t="s">
        <v>3213</v>
      </c>
      <c r="C192" t="s">
        <v>74</v>
      </c>
      <c r="D192" t="s">
        <v>74</v>
      </c>
      <c r="E192" t="s">
        <v>74</v>
      </c>
      <c r="F192" t="s">
        <v>3214</v>
      </c>
      <c r="G192" t="s">
        <v>74</v>
      </c>
      <c r="H192" t="s">
        <v>74</v>
      </c>
      <c r="I192" t="s">
        <v>3215</v>
      </c>
      <c r="J192" t="s">
        <v>77</v>
      </c>
      <c r="K192" t="s">
        <v>74</v>
      </c>
      <c r="L192" t="s">
        <v>74</v>
      </c>
      <c r="M192" t="s">
        <v>78</v>
      </c>
      <c r="N192" t="s">
        <v>79</v>
      </c>
      <c r="O192" t="s">
        <v>74</v>
      </c>
      <c r="P192" t="s">
        <v>74</v>
      </c>
      <c r="Q192" t="s">
        <v>74</v>
      </c>
      <c r="R192" t="s">
        <v>74</v>
      </c>
      <c r="S192" t="s">
        <v>74</v>
      </c>
      <c r="T192" t="s">
        <v>3216</v>
      </c>
      <c r="U192" t="s">
        <v>3217</v>
      </c>
      <c r="V192" t="s">
        <v>3218</v>
      </c>
      <c r="W192" t="s">
        <v>3219</v>
      </c>
      <c r="X192" t="s">
        <v>3220</v>
      </c>
      <c r="Y192" t="s">
        <v>3221</v>
      </c>
      <c r="Z192" t="s">
        <v>3222</v>
      </c>
      <c r="AA192" t="s">
        <v>3223</v>
      </c>
      <c r="AB192" t="s">
        <v>3224</v>
      </c>
      <c r="AC192" t="s">
        <v>3225</v>
      </c>
      <c r="AD192" t="s">
        <v>3226</v>
      </c>
      <c r="AE192" t="s">
        <v>3227</v>
      </c>
      <c r="AF192" t="s">
        <v>74</v>
      </c>
      <c r="AG192">
        <v>61</v>
      </c>
      <c r="AH192">
        <v>15</v>
      </c>
      <c r="AI192">
        <v>16</v>
      </c>
      <c r="AJ192">
        <v>0</v>
      </c>
      <c r="AK192">
        <v>4</v>
      </c>
      <c r="AL192" t="s">
        <v>92</v>
      </c>
      <c r="AM192" t="s">
        <v>93</v>
      </c>
      <c r="AN192" t="s">
        <v>94</v>
      </c>
      <c r="AO192" t="s">
        <v>95</v>
      </c>
      <c r="AP192" t="s">
        <v>96</v>
      </c>
      <c r="AQ192" t="s">
        <v>74</v>
      </c>
      <c r="AR192" t="s">
        <v>97</v>
      </c>
      <c r="AS192" t="s">
        <v>98</v>
      </c>
      <c r="AT192" t="s">
        <v>370</v>
      </c>
      <c r="AU192">
        <v>2019</v>
      </c>
      <c r="AV192">
        <v>64</v>
      </c>
      <c r="AW192">
        <v>9</v>
      </c>
      <c r="AX192" t="s">
        <v>74</v>
      </c>
      <c r="AY192" t="s">
        <v>74</v>
      </c>
      <c r="AZ192" t="s">
        <v>74</v>
      </c>
      <c r="BA192" t="s">
        <v>74</v>
      </c>
      <c r="BB192" t="s">
        <v>74</v>
      </c>
      <c r="BC192" t="s">
        <v>74</v>
      </c>
      <c r="BD192">
        <v>95023</v>
      </c>
      <c r="BE192" t="s">
        <v>3228</v>
      </c>
      <c r="BF192" t="str">
        <f>HYPERLINK("http://dx.doi.org/10.1088/1361-6560/ab143f","http://dx.doi.org/10.1088/1361-6560/ab143f")</f>
        <v>http://dx.doi.org/10.1088/1361-6560/ab143f</v>
      </c>
      <c r="BG192" t="s">
        <v>74</v>
      </c>
      <c r="BH192" t="s">
        <v>74</v>
      </c>
      <c r="BI192">
        <v>19</v>
      </c>
      <c r="BJ192" t="s">
        <v>101</v>
      </c>
      <c r="BK192" t="s">
        <v>102</v>
      </c>
      <c r="BL192" t="s">
        <v>103</v>
      </c>
      <c r="BM192" t="s">
        <v>610</v>
      </c>
      <c r="BN192">
        <v>30921780</v>
      </c>
      <c r="BO192" t="s">
        <v>105</v>
      </c>
      <c r="BP192" t="s">
        <v>74</v>
      </c>
      <c r="BQ192" t="s">
        <v>74</v>
      </c>
      <c r="BR192" t="s">
        <v>106</v>
      </c>
      <c r="BS192" t="s">
        <v>3229</v>
      </c>
      <c r="BT192" t="str">
        <f>HYPERLINK("https%3A%2F%2Fwww.webofscience.com%2Fwos%2Fwoscc%2Ffull-record%2FWOS:000466862700002","View Full Record in Web of Science")</f>
        <v>View Full Record in Web of Science</v>
      </c>
    </row>
    <row r="193" spans="1:72" x14ac:dyDescent="0.25">
      <c r="A193" t="s">
        <v>72</v>
      </c>
      <c r="B193" t="s">
        <v>3230</v>
      </c>
      <c r="C193" t="s">
        <v>74</v>
      </c>
      <c r="D193" t="s">
        <v>74</v>
      </c>
      <c r="E193" t="s">
        <v>74</v>
      </c>
      <c r="F193" t="s">
        <v>3231</v>
      </c>
      <c r="G193" t="s">
        <v>74</v>
      </c>
      <c r="H193" t="s">
        <v>74</v>
      </c>
      <c r="I193" t="s">
        <v>3232</v>
      </c>
      <c r="J193" t="s">
        <v>77</v>
      </c>
      <c r="K193" t="s">
        <v>74</v>
      </c>
      <c r="L193" t="s">
        <v>74</v>
      </c>
      <c r="M193" t="s">
        <v>78</v>
      </c>
      <c r="N193" t="s">
        <v>79</v>
      </c>
      <c r="O193" t="s">
        <v>74</v>
      </c>
      <c r="P193" t="s">
        <v>74</v>
      </c>
      <c r="Q193" t="s">
        <v>74</v>
      </c>
      <c r="R193" t="s">
        <v>74</v>
      </c>
      <c r="S193" t="s">
        <v>74</v>
      </c>
      <c r="T193" t="s">
        <v>3233</v>
      </c>
      <c r="U193" t="s">
        <v>3234</v>
      </c>
      <c r="V193" t="s">
        <v>3235</v>
      </c>
      <c r="W193" t="s">
        <v>3236</v>
      </c>
      <c r="X193" t="s">
        <v>3237</v>
      </c>
      <c r="Y193" t="s">
        <v>3238</v>
      </c>
      <c r="Z193" t="s">
        <v>3239</v>
      </c>
      <c r="AA193" t="s">
        <v>74</v>
      </c>
      <c r="AB193" t="s">
        <v>74</v>
      </c>
      <c r="AC193" t="s">
        <v>3240</v>
      </c>
      <c r="AD193" t="s">
        <v>3241</v>
      </c>
      <c r="AE193" t="s">
        <v>3242</v>
      </c>
      <c r="AF193" t="s">
        <v>74</v>
      </c>
      <c r="AG193">
        <v>43</v>
      </c>
      <c r="AH193">
        <v>9</v>
      </c>
      <c r="AI193">
        <v>9</v>
      </c>
      <c r="AJ193">
        <v>1</v>
      </c>
      <c r="AK193">
        <v>7</v>
      </c>
      <c r="AL193" t="s">
        <v>92</v>
      </c>
      <c r="AM193" t="s">
        <v>93</v>
      </c>
      <c r="AN193" t="s">
        <v>94</v>
      </c>
      <c r="AO193" t="s">
        <v>95</v>
      </c>
      <c r="AP193" t="s">
        <v>96</v>
      </c>
      <c r="AQ193" t="s">
        <v>74</v>
      </c>
      <c r="AR193" t="s">
        <v>97</v>
      </c>
      <c r="AS193" t="s">
        <v>98</v>
      </c>
      <c r="AT193" t="s">
        <v>386</v>
      </c>
      <c r="AU193">
        <v>2019</v>
      </c>
      <c r="AV193">
        <v>64</v>
      </c>
      <c r="AW193">
        <v>7</v>
      </c>
      <c r="AX193" t="s">
        <v>74</v>
      </c>
      <c r="AY193" t="s">
        <v>74</v>
      </c>
      <c r="AZ193" t="s">
        <v>74</v>
      </c>
      <c r="BA193" t="s">
        <v>74</v>
      </c>
      <c r="BB193" t="s">
        <v>74</v>
      </c>
      <c r="BC193" t="s">
        <v>74</v>
      </c>
      <c r="BD193">
        <v>75009</v>
      </c>
      <c r="BE193" t="s">
        <v>3243</v>
      </c>
      <c r="BF193" t="str">
        <f>HYPERLINK("http://dx.doi.org/10.1088/1361-6560/ab0e97","http://dx.doi.org/10.1088/1361-6560/ab0e97")</f>
        <v>http://dx.doi.org/10.1088/1361-6560/ab0e97</v>
      </c>
      <c r="BG193" t="s">
        <v>74</v>
      </c>
      <c r="BH193" t="s">
        <v>74</v>
      </c>
      <c r="BI193">
        <v>17</v>
      </c>
      <c r="BJ193" t="s">
        <v>101</v>
      </c>
      <c r="BK193" t="s">
        <v>102</v>
      </c>
      <c r="BL193" t="s">
        <v>103</v>
      </c>
      <c r="BM193" t="s">
        <v>2580</v>
      </c>
      <c r="BN193">
        <v>30856614</v>
      </c>
      <c r="BO193" t="s">
        <v>140</v>
      </c>
      <c r="BP193" t="s">
        <v>74</v>
      </c>
      <c r="BQ193" t="s">
        <v>74</v>
      </c>
      <c r="BR193" t="s">
        <v>106</v>
      </c>
      <c r="BS193" t="s">
        <v>3244</v>
      </c>
      <c r="BT193" t="str">
        <f>HYPERLINK("https%3A%2F%2Fwww.webofscience.com%2Fwos%2Fwoscc%2Ffull-record%2FWOS:000462887300001","View Full Record in Web of Science")</f>
        <v>View Full Record in Web of Science</v>
      </c>
    </row>
    <row r="194" spans="1:72" x14ac:dyDescent="0.25">
      <c r="A194" t="s">
        <v>72</v>
      </c>
      <c r="B194" t="s">
        <v>3245</v>
      </c>
      <c r="C194" t="s">
        <v>74</v>
      </c>
      <c r="D194" t="s">
        <v>74</v>
      </c>
      <c r="E194" t="s">
        <v>74</v>
      </c>
      <c r="F194" t="s">
        <v>3246</v>
      </c>
      <c r="G194" t="s">
        <v>74</v>
      </c>
      <c r="H194" t="s">
        <v>74</v>
      </c>
      <c r="I194" t="s">
        <v>3247</v>
      </c>
      <c r="J194" t="s">
        <v>77</v>
      </c>
      <c r="K194" t="s">
        <v>74</v>
      </c>
      <c r="L194" t="s">
        <v>74</v>
      </c>
      <c r="M194" t="s">
        <v>78</v>
      </c>
      <c r="N194" t="s">
        <v>79</v>
      </c>
      <c r="O194" t="s">
        <v>74</v>
      </c>
      <c r="P194" t="s">
        <v>74</v>
      </c>
      <c r="Q194" t="s">
        <v>74</v>
      </c>
      <c r="R194" t="s">
        <v>74</v>
      </c>
      <c r="S194" t="s">
        <v>74</v>
      </c>
      <c r="T194" t="s">
        <v>3248</v>
      </c>
      <c r="U194" t="s">
        <v>3249</v>
      </c>
      <c r="V194" t="s">
        <v>3250</v>
      </c>
      <c r="W194" t="s">
        <v>3251</v>
      </c>
      <c r="X194" t="s">
        <v>3252</v>
      </c>
      <c r="Y194" t="s">
        <v>3253</v>
      </c>
      <c r="Z194" t="s">
        <v>3254</v>
      </c>
      <c r="AA194" t="s">
        <v>3255</v>
      </c>
      <c r="AB194" t="s">
        <v>3256</v>
      </c>
      <c r="AC194" t="s">
        <v>74</v>
      </c>
      <c r="AD194" t="s">
        <v>74</v>
      </c>
      <c r="AE194" t="s">
        <v>74</v>
      </c>
      <c r="AF194" t="s">
        <v>74</v>
      </c>
      <c r="AG194">
        <v>66</v>
      </c>
      <c r="AH194">
        <v>15</v>
      </c>
      <c r="AI194">
        <v>16</v>
      </c>
      <c r="AJ194">
        <v>0</v>
      </c>
      <c r="AK194">
        <v>17</v>
      </c>
      <c r="AL194" t="s">
        <v>92</v>
      </c>
      <c r="AM194" t="s">
        <v>93</v>
      </c>
      <c r="AN194" t="s">
        <v>94</v>
      </c>
      <c r="AO194" t="s">
        <v>95</v>
      </c>
      <c r="AP194" t="s">
        <v>96</v>
      </c>
      <c r="AQ194" t="s">
        <v>74</v>
      </c>
      <c r="AR194" t="s">
        <v>97</v>
      </c>
      <c r="AS194" t="s">
        <v>98</v>
      </c>
      <c r="AT194" t="s">
        <v>436</v>
      </c>
      <c r="AU194">
        <v>2019</v>
      </c>
      <c r="AV194">
        <v>64</v>
      </c>
      <c r="AW194">
        <v>6</v>
      </c>
      <c r="AX194" t="s">
        <v>74</v>
      </c>
      <c r="AY194" t="s">
        <v>74</v>
      </c>
      <c r="AZ194" t="s">
        <v>74</v>
      </c>
      <c r="BA194" t="s">
        <v>74</v>
      </c>
      <c r="BB194" t="s">
        <v>74</v>
      </c>
      <c r="BC194" t="s">
        <v>74</v>
      </c>
      <c r="BD194">
        <v>65013</v>
      </c>
      <c r="BE194" t="s">
        <v>3257</v>
      </c>
      <c r="BF194" t="str">
        <f>HYPERLINK("http://dx.doi.org/10.1088/1361-6560/ab051c","http://dx.doi.org/10.1088/1361-6560/ab051c")</f>
        <v>http://dx.doi.org/10.1088/1361-6560/ab051c</v>
      </c>
      <c r="BG194" t="s">
        <v>74</v>
      </c>
      <c r="BH194" t="s">
        <v>74</v>
      </c>
      <c r="BI194">
        <v>13</v>
      </c>
      <c r="BJ194" t="s">
        <v>101</v>
      </c>
      <c r="BK194" t="s">
        <v>102</v>
      </c>
      <c r="BL194" t="s">
        <v>103</v>
      </c>
      <c r="BM194" t="s">
        <v>3258</v>
      </c>
      <c r="BN194">
        <v>30731447</v>
      </c>
      <c r="BO194" t="s">
        <v>759</v>
      </c>
      <c r="BP194" t="s">
        <v>74</v>
      </c>
      <c r="BQ194" t="s">
        <v>74</v>
      </c>
      <c r="BR194" t="s">
        <v>106</v>
      </c>
      <c r="BS194" t="s">
        <v>3259</v>
      </c>
      <c r="BT194" t="str">
        <f>HYPERLINK("https%3A%2F%2Fwww.webofscience.com%2Fwos%2Fwoscc%2Ffull-record%2FWOS:000461426100002","View Full Record in Web of Science")</f>
        <v>View Full Record in Web of Science</v>
      </c>
    </row>
    <row r="195" spans="1:72" x14ac:dyDescent="0.25">
      <c r="A195" t="s">
        <v>72</v>
      </c>
      <c r="B195" t="s">
        <v>3260</v>
      </c>
      <c r="C195" t="s">
        <v>74</v>
      </c>
      <c r="D195" t="s">
        <v>74</v>
      </c>
      <c r="E195" t="s">
        <v>74</v>
      </c>
      <c r="F195" t="s">
        <v>3261</v>
      </c>
      <c r="G195" t="s">
        <v>74</v>
      </c>
      <c r="H195" t="s">
        <v>74</v>
      </c>
      <c r="I195" t="s">
        <v>3262</v>
      </c>
      <c r="J195" t="s">
        <v>77</v>
      </c>
      <c r="K195" t="s">
        <v>74</v>
      </c>
      <c r="L195" t="s">
        <v>74</v>
      </c>
      <c r="M195" t="s">
        <v>78</v>
      </c>
      <c r="N195" t="s">
        <v>79</v>
      </c>
      <c r="O195" t="s">
        <v>74</v>
      </c>
      <c r="P195" t="s">
        <v>74</v>
      </c>
      <c r="Q195" t="s">
        <v>74</v>
      </c>
      <c r="R195" t="s">
        <v>74</v>
      </c>
      <c r="S195" t="s">
        <v>74</v>
      </c>
      <c r="T195" t="s">
        <v>3263</v>
      </c>
      <c r="U195" t="s">
        <v>3264</v>
      </c>
      <c r="V195" t="s">
        <v>3265</v>
      </c>
      <c r="W195" t="s">
        <v>3266</v>
      </c>
      <c r="X195" t="s">
        <v>3267</v>
      </c>
      <c r="Y195" t="s">
        <v>3268</v>
      </c>
      <c r="Z195" t="s">
        <v>3269</v>
      </c>
      <c r="AA195" t="s">
        <v>3270</v>
      </c>
      <c r="AB195" t="s">
        <v>3271</v>
      </c>
      <c r="AC195" t="s">
        <v>3272</v>
      </c>
      <c r="AD195" t="s">
        <v>3273</v>
      </c>
      <c r="AE195" t="s">
        <v>3274</v>
      </c>
      <c r="AF195" t="s">
        <v>74</v>
      </c>
      <c r="AG195">
        <v>28</v>
      </c>
      <c r="AH195">
        <v>19</v>
      </c>
      <c r="AI195">
        <v>21</v>
      </c>
      <c r="AJ195">
        <v>3</v>
      </c>
      <c r="AK195">
        <v>49</v>
      </c>
      <c r="AL195" t="s">
        <v>157</v>
      </c>
      <c r="AM195" t="s">
        <v>93</v>
      </c>
      <c r="AN195" t="s">
        <v>94</v>
      </c>
      <c r="AO195" t="s">
        <v>95</v>
      </c>
      <c r="AP195" t="s">
        <v>96</v>
      </c>
      <c r="AQ195" t="s">
        <v>74</v>
      </c>
      <c r="AR195" t="s">
        <v>97</v>
      </c>
      <c r="AS195" t="s">
        <v>98</v>
      </c>
      <c r="AT195" t="s">
        <v>471</v>
      </c>
      <c r="AU195">
        <v>2019</v>
      </c>
      <c r="AV195">
        <v>64</v>
      </c>
      <c r="AW195">
        <v>1</v>
      </c>
      <c r="AX195" t="s">
        <v>74</v>
      </c>
      <c r="AY195" t="s">
        <v>74</v>
      </c>
      <c r="AZ195" t="s">
        <v>74</v>
      </c>
      <c r="BA195" t="s">
        <v>74</v>
      </c>
      <c r="BB195" t="s">
        <v>74</v>
      </c>
      <c r="BC195" t="s">
        <v>74</v>
      </c>
      <c r="BD195">
        <v>15012</v>
      </c>
      <c r="BE195" t="s">
        <v>3275</v>
      </c>
      <c r="BF195" t="str">
        <f>HYPERLINK("http://dx.doi.org/10.1088/1361-6560/aaf441","http://dx.doi.org/10.1088/1361-6560/aaf441")</f>
        <v>http://dx.doi.org/10.1088/1361-6560/aaf441</v>
      </c>
      <c r="BG195" t="s">
        <v>74</v>
      </c>
      <c r="BH195" t="s">
        <v>74</v>
      </c>
      <c r="BI195">
        <v>16</v>
      </c>
      <c r="BJ195" t="s">
        <v>101</v>
      </c>
      <c r="BK195" t="s">
        <v>102</v>
      </c>
      <c r="BL195" t="s">
        <v>103</v>
      </c>
      <c r="BM195" t="s">
        <v>1597</v>
      </c>
      <c r="BN195">
        <v>30524079</v>
      </c>
      <c r="BO195" t="s">
        <v>74</v>
      </c>
      <c r="BP195" t="s">
        <v>74</v>
      </c>
      <c r="BQ195" t="s">
        <v>74</v>
      </c>
      <c r="BR195" t="s">
        <v>106</v>
      </c>
      <c r="BS195" t="s">
        <v>3276</v>
      </c>
      <c r="BT195" t="str">
        <f>HYPERLINK("https%3A%2F%2Fwww.webofscience.com%2Fwos%2Fwoscc%2Ffull-record%2FWOS:000454239200005","View Full Record in Web of Science")</f>
        <v>View Full Record in Web of Science</v>
      </c>
    </row>
    <row r="196" spans="1:72" x14ac:dyDescent="0.25">
      <c r="A196" t="s">
        <v>72</v>
      </c>
      <c r="B196" t="s">
        <v>3277</v>
      </c>
      <c r="C196" t="s">
        <v>74</v>
      </c>
      <c r="D196" t="s">
        <v>74</v>
      </c>
      <c r="E196" t="s">
        <v>74</v>
      </c>
      <c r="F196" t="s">
        <v>3278</v>
      </c>
      <c r="G196" t="s">
        <v>74</v>
      </c>
      <c r="H196" t="s">
        <v>74</v>
      </c>
      <c r="I196" t="s">
        <v>3279</v>
      </c>
      <c r="J196" t="s">
        <v>77</v>
      </c>
      <c r="K196" t="s">
        <v>74</v>
      </c>
      <c r="L196" t="s">
        <v>74</v>
      </c>
      <c r="M196" t="s">
        <v>78</v>
      </c>
      <c r="N196" t="s">
        <v>79</v>
      </c>
      <c r="O196" t="s">
        <v>74</v>
      </c>
      <c r="P196" t="s">
        <v>74</v>
      </c>
      <c r="Q196" t="s">
        <v>74</v>
      </c>
      <c r="R196" t="s">
        <v>74</v>
      </c>
      <c r="S196" t="s">
        <v>74</v>
      </c>
      <c r="T196" t="s">
        <v>3280</v>
      </c>
      <c r="U196" t="s">
        <v>3281</v>
      </c>
      <c r="V196" t="s">
        <v>3282</v>
      </c>
      <c r="W196" t="s">
        <v>3283</v>
      </c>
      <c r="X196" t="s">
        <v>3284</v>
      </c>
      <c r="Y196" t="s">
        <v>3285</v>
      </c>
      <c r="Z196" t="s">
        <v>3286</v>
      </c>
      <c r="AA196" t="s">
        <v>3287</v>
      </c>
      <c r="AB196" t="s">
        <v>3288</v>
      </c>
      <c r="AC196" t="s">
        <v>3289</v>
      </c>
      <c r="AD196" t="s">
        <v>3290</v>
      </c>
      <c r="AE196" t="s">
        <v>3291</v>
      </c>
      <c r="AF196" t="s">
        <v>74</v>
      </c>
      <c r="AG196">
        <v>54</v>
      </c>
      <c r="AH196">
        <v>29</v>
      </c>
      <c r="AI196">
        <v>30</v>
      </c>
      <c r="AJ196">
        <v>0</v>
      </c>
      <c r="AK196">
        <v>10</v>
      </c>
      <c r="AL196" t="s">
        <v>92</v>
      </c>
      <c r="AM196" t="s">
        <v>93</v>
      </c>
      <c r="AN196" t="s">
        <v>94</v>
      </c>
      <c r="AO196" t="s">
        <v>95</v>
      </c>
      <c r="AP196" t="s">
        <v>96</v>
      </c>
      <c r="AQ196" t="s">
        <v>74</v>
      </c>
      <c r="AR196" t="s">
        <v>97</v>
      </c>
      <c r="AS196" t="s">
        <v>98</v>
      </c>
      <c r="AT196" t="s">
        <v>137</v>
      </c>
      <c r="AU196">
        <v>2019</v>
      </c>
      <c r="AV196">
        <v>64</v>
      </c>
      <c r="AW196">
        <v>22</v>
      </c>
      <c r="AX196" t="s">
        <v>74</v>
      </c>
      <c r="AY196" t="s">
        <v>74</v>
      </c>
      <c r="AZ196" t="s">
        <v>74</v>
      </c>
      <c r="BA196" t="s">
        <v>74</v>
      </c>
      <c r="BB196" t="s">
        <v>74</v>
      </c>
      <c r="BC196" t="s">
        <v>74</v>
      </c>
      <c r="BD196">
        <v>225003</v>
      </c>
      <c r="BE196" t="s">
        <v>3292</v>
      </c>
      <c r="BF196" t="str">
        <f>HYPERLINK("http://dx.doi.org/10.1088/1361-6560/ab4d8e","http://dx.doi.org/10.1088/1361-6560/ab4d8e")</f>
        <v>http://dx.doi.org/10.1088/1361-6560/ab4d8e</v>
      </c>
      <c r="BG196" t="s">
        <v>74</v>
      </c>
      <c r="BH196" t="s">
        <v>74</v>
      </c>
      <c r="BI196">
        <v>13</v>
      </c>
      <c r="BJ196" t="s">
        <v>101</v>
      </c>
      <c r="BK196" t="s">
        <v>102</v>
      </c>
      <c r="BL196" t="s">
        <v>103</v>
      </c>
      <c r="BM196" t="s">
        <v>3293</v>
      </c>
      <c r="BN196">
        <v>31610529</v>
      </c>
      <c r="BO196" t="s">
        <v>140</v>
      </c>
      <c r="BP196" t="s">
        <v>74</v>
      </c>
      <c r="BQ196" t="s">
        <v>74</v>
      </c>
      <c r="BR196" t="s">
        <v>106</v>
      </c>
      <c r="BS196" t="s">
        <v>3294</v>
      </c>
      <c r="BT196" t="str">
        <f>HYPERLINK("https%3A%2F%2Fwww.webofscience.com%2Fwos%2Fwoscc%2Ffull-record%2FWOS:000499352700001","View Full Record in Web of Science")</f>
        <v>View Full Record in Web of Science</v>
      </c>
    </row>
    <row r="197" spans="1:72" x14ac:dyDescent="0.25">
      <c r="A197" t="s">
        <v>72</v>
      </c>
      <c r="B197" t="s">
        <v>3295</v>
      </c>
      <c r="C197" t="s">
        <v>74</v>
      </c>
      <c r="D197" t="s">
        <v>74</v>
      </c>
      <c r="E197" t="s">
        <v>74</v>
      </c>
      <c r="F197" t="s">
        <v>3296</v>
      </c>
      <c r="G197" t="s">
        <v>74</v>
      </c>
      <c r="H197" t="s">
        <v>74</v>
      </c>
      <c r="I197" t="s">
        <v>3297</v>
      </c>
      <c r="J197" t="s">
        <v>77</v>
      </c>
      <c r="K197" t="s">
        <v>74</v>
      </c>
      <c r="L197" t="s">
        <v>74</v>
      </c>
      <c r="M197" t="s">
        <v>78</v>
      </c>
      <c r="N197" t="s">
        <v>79</v>
      </c>
      <c r="O197" t="s">
        <v>74</v>
      </c>
      <c r="P197" t="s">
        <v>74</v>
      </c>
      <c r="Q197" t="s">
        <v>74</v>
      </c>
      <c r="R197" t="s">
        <v>74</v>
      </c>
      <c r="S197" t="s">
        <v>74</v>
      </c>
      <c r="T197" t="s">
        <v>3298</v>
      </c>
      <c r="U197" t="s">
        <v>3299</v>
      </c>
      <c r="V197" t="s">
        <v>3300</v>
      </c>
      <c r="W197" t="s">
        <v>3301</v>
      </c>
      <c r="X197" t="s">
        <v>3302</v>
      </c>
      <c r="Y197" t="s">
        <v>3303</v>
      </c>
      <c r="Z197" t="s">
        <v>3304</v>
      </c>
      <c r="AA197" t="s">
        <v>3305</v>
      </c>
      <c r="AB197" t="s">
        <v>3306</v>
      </c>
      <c r="AC197" t="s">
        <v>3307</v>
      </c>
      <c r="AD197" t="s">
        <v>3308</v>
      </c>
      <c r="AE197" t="s">
        <v>3309</v>
      </c>
      <c r="AF197" t="s">
        <v>74</v>
      </c>
      <c r="AG197">
        <v>39</v>
      </c>
      <c r="AH197">
        <v>9</v>
      </c>
      <c r="AI197">
        <v>9</v>
      </c>
      <c r="AJ197">
        <v>0</v>
      </c>
      <c r="AK197">
        <v>3</v>
      </c>
      <c r="AL197" t="s">
        <v>157</v>
      </c>
      <c r="AM197" t="s">
        <v>93</v>
      </c>
      <c r="AN197" t="s">
        <v>94</v>
      </c>
      <c r="AO197" t="s">
        <v>95</v>
      </c>
      <c r="AP197" t="s">
        <v>96</v>
      </c>
      <c r="AQ197" t="s">
        <v>74</v>
      </c>
      <c r="AR197" t="s">
        <v>97</v>
      </c>
      <c r="AS197" t="s">
        <v>98</v>
      </c>
      <c r="AT197" t="s">
        <v>137</v>
      </c>
      <c r="AU197">
        <v>2019</v>
      </c>
      <c r="AV197">
        <v>64</v>
      </c>
      <c r="AW197">
        <v>22</v>
      </c>
      <c r="AX197" t="s">
        <v>74</v>
      </c>
      <c r="AY197" t="s">
        <v>74</v>
      </c>
      <c r="AZ197" t="s">
        <v>74</v>
      </c>
      <c r="BA197" t="s">
        <v>74</v>
      </c>
      <c r="BB197" t="s">
        <v>74</v>
      </c>
      <c r="BC197" t="s">
        <v>74</v>
      </c>
      <c r="BD197">
        <v>225012</v>
      </c>
      <c r="BE197" t="s">
        <v>3310</v>
      </c>
      <c r="BF197" t="str">
        <f>HYPERLINK("http://dx.doi.org/10.1088/1361-6560/ab4d8d","http://dx.doi.org/10.1088/1361-6560/ab4d8d")</f>
        <v>http://dx.doi.org/10.1088/1361-6560/ab4d8d</v>
      </c>
      <c r="BG197" t="s">
        <v>74</v>
      </c>
      <c r="BH197" t="s">
        <v>74</v>
      </c>
      <c r="BI197">
        <v>19</v>
      </c>
      <c r="BJ197" t="s">
        <v>101</v>
      </c>
      <c r="BK197" t="s">
        <v>102</v>
      </c>
      <c r="BL197" t="s">
        <v>103</v>
      </c>
      <c r="BM197" t="s">
        <v>3311</v>
      </c>
      <c r="BN197">
        <v>31610533</v>
      </c>
      <c r="BO197" t="s">
        <v>829</v>
      </c>
      <c r="BP197" t="s">
        <v>74</v>
      </c>
      <c r="BQ197" t="s">
        <v>74</v>
      </c>
      <c r="BR197" t="s">
        <v>106</v>
      </c>
      <c r="BS197" t="s">
        <v>3312</v>
      </c>
      <c r="BT197" t="str">
        <f>HYPERLINK("https%3A%2F%2Fwww.webofscience.com%2Fwos%2Fwoscc%2Ffull-record%2FWOS:000499355100001","View Full Record in Web of Science")</f>
        <v>View Full Record in Web of Science</v>
      </c>
    </row>
    <row r="198" spans="1:72" x14ac:dyDescent="0.25">
      <c r="A198" t="s">
        <v>72</v>
      </c>
      <c r="B198" t="s">
        <v>3313</v>
      </c>
      <c r="C198" t="s">
        <v>74</v>
      </c>
      <c r="D198" t="s">
        <v>74</v>
      </c>
      <c r="E198" t="s">
        <v>74</v>
      </c>
      <c r="F198" t="s">
        <v>3314</v>
      </c>
      <c r="G198" t="s">
        <v>74</v>
      </c>
      <c r="H198" t="s">
        <v>74</v>
      </c>
      <c r="I198" t="s">
        <v>3315</v>
      </c>
      <c r="J198" t="s">
        <v>77</v>
      </c>
      <c r="K198" t="s">
        <v>74</v>
      </c>
      <c r="L198" t="s">
        <v>74</v>
      </c>
      <c r="M198" t="s">
        <v>78</v>
      </c>
      <c r="N198" t="s">
        <v>79</v>
      </c>
      <c r="O198" t="s">
        <v>74</v>
      </c>
      <c r="P198" t="s">
        <v>74</v>
      </c>
      <c r="Q198" t="s">
        <v>74</v>
      </c>
      <c r="R198" t="s">
        <v>74</v>
      </c>
      <c r="S198" t="s">
        <v>74</v>
      </c>
      <c r="T198" t="s">
        <v>3316</v>
      </c>
      <c r="U198" t="s">
        <v>3317</v>
      </c>
      <c r="V198" t="s">
        <v>3318</v>
      </c>
      <c r="W198" t="s">
        <v>3319</v>
      </c>
      <c r="X198" t="s">
        <v>3320</v>
      </c>
      <c r="Y198" t="s">
        <v>3321</v>
      </c>
      <c r="Z198" t="s">
        <v>3322</v>
      </c>
      <c r="AA198" t="s">
        <v>3323</v>
      </c>
      <c r="AB198" t="s">
        <v>3324</v>
      </c>
      <c r="AC198" t="s">
        <v>3325</v>
      </c>
      <c r="AD198" t="s">
        <v>3326</v>
      </c>
      <c r="AE198" t="s">
        <v>3327</v>
      </c>
      <c r="AF198" t="s">
        <v>74</v>
      </c>
      <c r="AG198">
        <v>50</v>
      </c>
      <c r="AH198">
        <v>38</v>
      </c>
      <c r="AI198">
        <v>43</v>
      </c>
      <c r="AJ198">
        <v>1</v>
      </c>
      <c r="AK198">
        <v>63</v>
      </c>
      <c r="AL198" t="s">
        <v>157</v>
      </c>
      <c r="AM198" t="s">
        <v>93</v>
      </c>
      <c r="AN198" t="s">
        <v>94</v>
      </c>
      <c r="AO198" t="s">
        <v>95</v>
      </c>
      <c r="AP198" t="s">
        <v>96</v>
      </c>
      <c r="AQ198" t="s">
        <v>74</v>
      </c>
      <c r="AR198" t="s">
        <v>97</v>
      </c>
      <c r="AS198" t="s">
        <v>98</v>
      </c>
      <c r="AT198" t="s">
        <v>214</v>
      </c>
      <c r="AU198">
        <v>2019</v>
      </c>
      <c r="AV198">
        <v>64</v>
      </c>
      <c r="AW198">
        <v>13</v>
      </c>
      <c r="AX198" t="s">
        <v>74</v>
      </c>
      <c r="AY198" t="s">
        <v>74</v>
      </c>
      <c r="AZ198" t="s">
        <v>74</v>
      </c>
      <c r="BA198" t="s">
        <v>74</v>
      </c>
      <c r="BB198" t="s">
        <v>74</v>
      </c>
      <c r="BC198" t="s">
        <v>74</v>
      </c>
      <c r="BD198">
        <v>135007</v>
      </c>
      <c r="BE198" t="s">
        <v>3328</v>
      </c>
      <c r="BF198" t="str">
        <f>HYPERLINK("http://dx.doi.org/10.1088/1361-6560/ab18db","http://dx.doi.org/10.1088/1361-6560/ab18db")</f>
        <v>http://dx.doi.org/10.1088/1361-6560/ab18db</v>
      </c>
      <c r="BG198" t="s">
        <v>74</v>
      </c>
      <c r="BH198" t="s">
        <v>74</v>
      </c>
      <c r="BI198">
        <v>21</v>
      </c>
      <c r="BJ198" t="s">
        <v>101</v>
      </c>
      <c r="BK198" t="s">
        <v>102</v>
      </c>
      <c r="BL198" t="s">
        <v>103</v>
      </c>
      <c r="BM198" t="s">
        <v>216</v>
      </c>
      <c r="BN198">
        <v>30978718</v>
      </c>
      <c r="BO198" t="s">
        <v>74</v>
      </c>
      <c r="BP198" t="s">
        <v>74</v>
      </c>
      <c r="BQ198" t="s">
        <v>74</v>
      </c>
      <c r="BR198" t="s">
        <v>106</v>
      </c>
      <c r="BS198" t="s">
        <v>3329</v>
      </c>
      <c r="BT198" t="str">
        <f>HYPERLINK("https%3A%2F%2Fwww.webofscience.com%2Fwos%2Fwoscc%2Ffull-record%2FWOS:000473698800007","View Full Record in Web of Science")</f>
        <v>View Full Record in Web of Science</v>
      </c>
    </row>
    <row r="199" spans="1:72" x14ac:dyDescent="0.25">
      <c r="A199" t="s">
        <v>72</v>
      </c>
      <c r="B199" t="s">
        <v>3330</v>
      </c>
      <c r="C199" t="s">
        <v>74</v>
      </c>
      <c r="D199" t="s">
        <v>74</v>
      </c>
      <c r="E199" t="s">
        <v>74</v>
      </c>
      <c r="F199" t="s">
        <v>3331</v>
      </c>
      <c r="G199" t="s">
        <v>74</v>
      </c>
      <c r="H199" t="s">
        <v>74</v>
      </c>
      <c r="I199" t="s">
        <v>3332</v>
      </c>
      <c r="J199" t="s">
        <v>77</v>
      </c>
      <c r="K199" t="s">
        <v>74</v>
      </c>
      <c r="L199" t="s">
        <v>74</v>
      </c>
      <c r="M199" t="s">
        <v>78</v>
      </c>
      <c r="N199" t="s">
        <v>79</v>
      </c>
      <c r="O199" t="s">
        <v>74</v>
      </c>
      <c r="P199" t="s">
        <v>74</v>
      </c>
      <c r="Q199" t="s">
        <v>74</v>
      </c>
      <c r="R199" t="s">
        <v>74</v>
      </c>
      <c r="S199" t="s">
        <v>74</v>
      </c>
      <c r="T199" t="s">
        <v>3333</v>
      </c>
      <c r="U199" t="s">
        <v>3334</v>
      </c>
      <c r="V199" t="s">
        <v>3335</v>
      </c>
      <c r="W199" t="s">
        <v>3336</v>
      </c>
      <c r="X199" t="s">
        <v>3337</v>
      </c>
      <c r="Y199" t="s">
        <v>3338</v>
      </c>
      <c r="Z199" t="s">
        <v>3339</v>
      </c>
      <c r="AA199" t="s">
        <v>3340</v>
      </c>
      <c r="AB199" t="s">
        <v>3341</v>
      </c>
      <c r="AC199" t="s">
        <v>3342</v>
      </c>
      <c r="AD199" t="s">
        <v>3343</v>
      </c>
      <c r="AE199" t="s">
        <v>3344</v>
      </c>
      <c r="AF199" t="s">
        <v>74</v>
      </c>
      <c r="AG199">
        <v>20</v>
      </c>
      <c r="AH199">
        <v>42</v>
      </c>
      <c r="AI199">
        <v>44</v>
      </c>
      <c r="AJ199">
        <v>0</v>
      </c>
      <c r="AK199">
        <v>8</v>
      </c>
      <c r="AL199" t="s">
        <v>92</v>
      </c>
      <c r="AM199" t="s">
        <v>93</v>
      </c>
      <c r="AN199" t="s">
        <v>94</v>
      </c>
      <c r="AO199" t="s">
        <v>95</v>
      </c>
      <c r="AP199" t="s">
        <v>96</v>
      </c>
      <c r="AQ199" t="s">
        <v>74</v>
      </c>
      <c r="AR199" t="s">
        <v>97</v>
      </c>
      <c r="AS199" t="s">
        <v>98</v>
      </c>
      <c r="AT199" t="s">
        <v>214</v>
      </c>
      <c r="AU199">
        <v>2019</v>
      </c>
      <c r="AV199">
        <v>64</v>
      </c>
      <c r="AW199">
        <v>13</v>
      </c>
      <c r="AX199" t="s">
        <v>74</v>
      </c>
      <c r="AY199" t="s">
        <v>74</v>
      </c>
      <c r="AZ199" t="s">
        <v>74</v>
      </c>
      <c r="BA199" t="s">
        <v>74</v>
      </c>
      <c r="BB199" t="s">
        <v>74</v>
      </c>
      <c r="BC199" t="s">
        <v>74</v>
      </c>
      <c r="BD199">
        <v>135011</v>
      </c>
      <c r="BE199" t="s">
        <v>3345</v>
      </c>
      <c r="BF199" t="str">
        <f>HYPERLINK("http://dx.doi.org/10.1088/1361-6560/ab2837","http://dx.doi.org/10.1088/1361-6560/ab2837")</f>
        <v>http://dx.doi.org/10.1088/1361-6560/ab2837</v>
      </c>
      <c r="BG199" t="s">
        <v>74</v>
      </c>
      <c r="BH199" t="s">
        <v>74</v>
      </c>
      <c r="BI199">
        <v>7</v>
      </c>
      <c r="BJ199" t="s">
        <v>101</v>
      </c>
      <c r="BK199" t="s">
        <v>102</v>
      </c>
      <c r="BL199" t="s">
        <v>103</v>
      </c>
      <c r="BM199" t="s">
        <v>2061</v>
      </c>
      <c r="BN199">
        <v>31181560</v>
      </c>
      <c r="BO199" t="s">
        <v>140</v>
      </c>
      <c r="BP199" t="s">
        <v>74</v>
      </c>
      <c r="BQ199" t="s">
        <v>74</v>
      </c>
      <c r="BR199" t="s">
        <v>106</v>
      </c>
      <c r="BS199" t="s">
        <v>3346</v>
      </c>
      <c r="BT199" t="str">
        <f>HYPERLINK("https%3A%2F%2Fwww.webofscience.com%2Fwos%2Fwoscc%2Ffull-record%2FWOS:000474298100003","View Full Record in Web of Science")</f>
        <v>View Full Record in Web of Science</v>
      </c>
    </row>
    <row r="200" spans="1:72" x14ac:dyDescent="0.25">
      <c r="A200" t="s">
        <v>72</v>
      </c>
      <c r="B200" t="s">
        <v>3347</v>
      </c>
      <c r="C200" t="s">
        <v>74</v>
      </c>
      <c r="D200" t="s">
        <v>74</v>
      </c>
      <c r="E200" t="s">
        <v>74</v>
      </c>
      <c r="F200" t="s">
        <v>3348</v>
      </c>
      <c r="G200" t="s">
        <v>74</v>
      </c>
      <c r="H200" t="s">
        <v>74</v>
      </c>
      <c r="I200" t="s">
        <v>3349</v>
      </c>
      <c r="J200" t="s">
        <v>77</v>
      </c>
      <c r="K200" t="s">
        <v>74</v>
      </c>
      <c r="L200" t="s">
        <v>74</v>
      </c>
      <c r="M200" t="s">
        <v>78</v>
      </c>
      <c r="N200" t="s">
        <v>79</v>
      </c>
      <c r="O200" t="s">
        <v>74</v>
      </c>
      <c r="P200" t="s">
        <v>74</v>
      </c>
      <c r="Q200" t="s">
        <v>74</v>
      </c>
      <c r="R200" t="s">
        <v>74</v>
      </c>
      <c r="S200" t="s">
        <v>74</v>
      </c>
      <c r="T200" t="s">
        <v>3350</v>
      </c>
      <c r="U200" t="s">
        <v>3351</v>
      </c>
      <c r="V200" t="s">
        <v>3352</v>
      </c>
      <c r="W200" t="s">
        <v>3353</v>
      </c>
      <c r="X200" t="s">
        <v>3354</v>
      </c>
      <c r="Y200" t="s">
        <v>3355</v>
      </c>
      <c r="Z200" t="s">
        <v>3356</v>
      </c>
      <c r="AA200" t="s">
        <v>3357</v>
      </c>
      <c r="AB200" t="s">
        <v>3358</v>
      </c>
      <c r="AC200" t="s">
        <v>3359</v>
      </c>
      <c r="AD200" t="s">
        <v>3359</v>
      </c>
      <c r="AE200" t="s">
        <v>3360</v>
      </c>
      <c r="AF200" t="s">
        <v>74</v>
      </c>
      <c r="AG200">
        <v>44</v>
      </c>
      <c r="AH200">
        <v>15</v>
      </c>
      <c r="AI200">
        <v>15</v>
      </c>
      <c r="AJ200">
        <v>0</v>
      </c>
      <c r="AK200">
        <v>5</v>
      </c>
      <c r="AL200" t="s">
        <v>92</v>
      </c>
      <c r="AM200" t="s">
        <v>93</v>
      </c>
      <c r="AN200" t="s">
        <v>94</v>
      </c>
      <c r="AO200" t="s">
        <v>95</v>
      </c>
      <c r="AP200" t="s">
        <v>96</v>
      </c>
      <c r="AQ200" t="s">
        <v>74</v>
      </c>
      <c r="AR200" t="s">
        <v>97</v>
      </c>
      <c r="AS200" t="s">
        <v>98</v>
      </c>
      <c r="AT200" t="s">
        <v>250</v>
      </c>
      <c r="AU200">
        <v>2019</v>
      </c>
      <c r="AV200">
        <v>64</v>
      </c>
      <c r="AW200">
        <v>12</v>
      </c>
      <c r="AX200" t="s">
        <v>74</v>
      </c>
      <c r="AY200" t="s">
        <v>74</v>
      </c>
      <c r="AZ200" t="s">
        <v>74</v>
      </c>
      <c r="BA200" t="s">
        <v>74</v>
      </c>
      <c r="BB200" t="s">
        <v>74</v>
      </c>
      <c r="BC200" t="s">
        <v>74</v>
      </c>
      <c r="BD200">
        <v>125012</v>
      </c>
      <c r="BE200" t="s">
        <v>3361</v>
      </c>
      <c r="BF200" t="str">
        <f>HYPERLINK("http://dx.doi.org/10.1088/1361-6560/ab253f","http://dx.doi.org/10.1088/1361-6560/ab253f")</f>
        <v>http://dx.doi.org/10.1088/1361-6560/ab253f</v>
      </c>
      <c r="BG200" t="s">
        <v>74</v>
      </c>
      <c r="BH200" t="s">
        <v>74</v>
      </c>
      <c r="BI200">
        <v>12</v>
      </c>
      <c r="BJ200" t="s">
        <v>101</v>
      </c>
      <c r="BK200" t="s">
        <v>102</v>
      </c>
      <c r="BL200" t="s">
        <v>103</v>
      </c>
      <c r="BM200" t="s">
        <v>357</v>
      </c>
      <c r="BN200">
        <v>31141793</v>
      </c>
      <c r="BO200" t="s">
        <v>74</v>
      </c>
      <c r="BP200" t="s">
        <v>74</v>
      </c>
      <c r="BQ200" t="s">
        <v>74</v>
      </c>
      <c r="BR200" t="s">
        <v>106</v>
      </c>
      <c r="BS200" t="s">
        <v>3362</v>
      </c>
      <c r="BT200" t="str">
        <f>HYPERLINK("https%3A%2F%2Fwww.webofscience.com%2Fwos%2Fwoscc%2Ffull-record%2FWOS:000518929400002","View Full Record in Web of Science")</f>
        <v>View Full Record in Web of Science</v>
      </c>
    </row>
    <row r="201" spans="1:72" x14ac:dyDescent="0.25">
      <c r="A201" t="s">
        <v>72</v>
      </c>
      <c r="B201" t="s">
        <v>3363</v>
      </c>
      <c r="C201" t="s">
        <v>74</v>
      </c>
      <c r="D201" t="s">
        <v>74</v>
      </c>
      <c r="E201" t="s">
        <v>74</v>
      </c>
      <c r="F201" t="s">
        <v>3364</v>
      </c>
      <c r="G201" t="s">
        <v>74</v>
      </c>
      <c r="H201" t="s">
        <v>74</v>
      </c>
      <c r="I201" t="s">
        <v>3365</v>
      </c>
      <c r="J201" t="s">
        <v>77</v>
      </c>
      <c r="K201" t="s">
        <v>74</v>
      </c>
      <c r="L201" t="s">
        <v>74</v>
      </c>
      <c r="M201" t="s">
        <v>78</v>
      </c>
      <c r="N201" t="s">
        <v>79</v>
      </c>
      <c r="O201" t="s">
        <v>74</v>
      </c>
      <c r="P201" t="s">
        <v>74</v>
      </c>
      <c r="Q201" t="s">
        <v>74</v>
      </c>
      <c r="R201" t="s">
        <v>74</v>
      </c>
      <c r="S201" t="s">
        <v>74</v>
      </c>
      <c r="T201" t="s">
        <v>3366</v>
      </c>
      <c r="U201" t="s">
        <v>3367</v>
      </c>
      <c r="V201" t="s">
        <v>3368</v>
      </c>
      <c r="W201" t="s">
        <v>3369</v>
      </c>
      <c r="X201" t="s">
        <v>3370</v>
      </c>
      <c r="Y201" t="s">
        <v>3371</v>
      </c>
      <c r="Z201" t="s">
        <v>3372</v>
      </c>
      <c r="AA201" t="s">
        <v>74</v>
      </c>
      <c r="AB201" t="s">
        <v>3373</v>
      </c>
      <c r="AC201" t="s">
        <v>3374</v>
      </c>
      <c r="AD201" t="s">
        <v>607</v>
      </c>
      <c r="AE201" t="s">
        <v>3375</v>
      </c>
      <c r="AF201" t="s">
        <v>74</v>
      </c>
      <c r="AG201">
        <v>54</v>
      </c>
      <c r="AH201">
        <v>6</v>
      </c>
      <c r="AI201">
        <v>6</v>
      </c>
      <c r="AJ201">
        <v>0</v>
      </c>
      <c r="AK201">
        <v>13</v>
      </c>
      <c r="AL201" t="s">
        <v>157</v>
      </c>
      <c r="AM201" t="s">
        <v>93</v>
      </c>
      <c r="AN201" t="s">
        <v>94</v>
      </c>
      <c r="AO201" t="s">
        <v>95</v>
      </c>
      <c r="AP201" t="s">
        <v>96</v>
      </c>
      <c r="AQ201" t="s">
        <v>74</v>
      </c>
      <c r="AR201" t="s">
        <v>97</v>
      </c>
      <c r="AS201" t="s">
        <v>98</v>
      </c>
      <c r="AT201" t="s">
        <v>370</v>
      </c>
      <c r="AU201">
        <v>2019</v>
      </c>
      <c r="AV201">
        <v>64</v>
      </c>
      <c r="AW201">
        <v>9</v>
      </c>
      <c r="AX201" t="s">
        <v>74</v>
      </c>
      <c r="AY201" t="s">
        <v>74</v>
      </c>
      <c r="AZ201" t="s">
        <v>74</v>
      </c>
      <c r="BA201" t="s">
        <v>74</v>
      </c>
      <c r="BB201" t="s">
        <v>74</v>
      </c>
      <c r="BC201" t="s">
        <v>74</v>
      </c>
      <c r="BD201">
        <v>95020</v>
      </c>
      <c r="BE201" t="s">
        <v>3376</v>
      </c>
      <c r="BF201" t="str">
        <f>HYPERLINK("http://dx.doi.org/10.1088/1361-6560/ab1213","http://dx.doi.org/10.1088/1361-6560/ab1213")</f>
        <v>http://dx.doi.org/10.1088/1361-6560/ab1213</v>
      </c>
      <c r="BG201" t="s">
        <v>74</v>
      </c>
      <c r="BH201" t="s">
        <v>74</v>
      </c>
      <c r="BI201">
        <v>20</v>
      </c>
      <c r="BJ201" t="s">
        <v>101</v>
      </c>
      <c r="BK201" t="s">
        <v>102</v>
      </c>
      <c r="BL201" t="s">
        <v>103</v>
      </c>
      <c r="BM201" t="s">
        <v>372</v>
      </c>
      <c r="BN201">
        <v>30897557</v>
      </c>
      <c r="BO201" t="s">
        <v>105</v>
      </c>
      <c r="BP201" t="s">
        <v>74</v>
      </c>
      <c r="BQ201" t="s">
        <v>74</v>
      </c>
      <c r="BR201" t="s">
        <v>106</v>
      </c>
      <c r="BS201" t="s">
        <v>3377</v>
      </c>
      <c r="BT201" t="str">
        <f>HYPERLINK("https%3A%2F%2Fwww.webofscience.com%2Fwos%2Fwoscc%2Ffull-record%2FWOS:000466572600007","View Full Record in Web of Science")</f>
        <v>View Full Record in Web of Science</v>
      </c>
    </row>
    <row r="202" spans="1:72" x14ac:dyDescent="0.25">
      <c r="A202" t="s">
        <v>72</v>
      </c>
      <c r="B202" t="s">
        <v>3378</v>
      </c>
      <c r="C202" t="s">
        <v>74</v>
      </c>
      <c r="D202" t="s">
        <v>74</v>
      </c>
      <c r="E202" t="s">
        <v>74</v>
      </c>
      <c r="F202" t="s">
        <v>3379</v>
      </c>
      <c r="G202" t="s">
        <v>74</v>
      </c>
      <c r="H202" t="s">
        <v>74</v>
      </c>
      <c r="I202" t="s">
        <v>3380</v>
      </c>
      <c r="J202" t="s">
        <v>77</v>
      </c>
      <c r="K202" t="s">
        <v>74</v>
      </c>
      <c r="L202" t="s">
        <v>74</v>
      </c>
      <c r="M202" t="s">
        <v>78</v>
      </c>
      <c r="N202" t="s">
        <v>79</v>
      </c>
      <c r="O202" t="s">
        <v>74</v>
      </c>
      <c r="P202" t="s">
        <v>74</v>
      </c>
      <c r="Q202" t="s">
        <v>74</v>
      </c>
      <c r="R202" t="s">
        <v>74</v>
      </c>
      <c r="S202" t="s">
        <v>74</v>
      </c>
      <c r="T202" t="s">
        <v>3381</v>
      </c>
      <c r="U202" t="s">
        <v>3382</v>
      </c>
      <c r="V202" t="s">
        <v>3383</v>
      </c>
      <c r="W202" t="s">
        <v>3384</v>
      </c>
      <c r="X202" t="s">
        <v>3385</v>
      </c>
      <c r="Y202" t="s">
        <v>3386</v>
      </c>
      <c r="Z202" t="s">
        <v>3387</v>
      </c>
      <c r="AA202" t="s">
        <v>3388</v>
      </c>
      <c r="AB202" t="s">
        <v>3389</v>
      </c>
      <c r="AC202" t="s">
        <v>3390</v>
      </c>
      <c r="AD202" t="s">
        <v>3391</v>
      </c>
      <c r="AE202" t="s">
        <v>3392</v>
      </c>
      <c r="AF202" t="s">
        <v>74</v>
      </c>
      <c r="AG202">
        <v>28</v>
      </c>
      <c r="AH202">
        <v>17</v>
      </c>
      <c r="AI202">
        <v>18</v>
      </c>
      <c r="AJ202">
        <v>0</v>
      </c>
      <c r="AK202">
        <v>10</v>
      </c>
      <c r="AL202" t="s">
        <v>92</v>
      </c>
      <c r="AM202" t="s">
        <v>93</v>
      </c>
      <c r="AN202" t="s">
        <v>94</v>
      </c>
      <c r="AO202" t="s">
        <v>95</v>
      </c>
      <c r="AP202" t="s">
        <v>96</v>
      </c>
      <c r="AQ202" t="s">
        <v>74</v>
      </c>
      <c r="AR202" t="s">
        <v>97</v>
      </c>
      <c r="AS202" t="s">
        <v>98</v>
      </c>
      <c r="AT202" t="s">
        <v>370</v>
      </c>
      <c r="AU202">
        <v>2019</v>
      </c>
      <c r="AV202">
        <v>64</v>
      </c>
      <c r="AW202">
        <v>9</v>
      </c>
      <c r="AX202" t="s">
        <v>74</v>
      </c>
      <c r="AY202" t="s">
        <v>74</v>
      </c>
      <c r="AZ202" t="s">
        <v>74</v>
      </c>
      <c r="BA202" t="s">
        <v>74</v>
      </c>
      <c r="BB202" t="s">
        <v>74</v>
      </c>
      <c r="BC202" t="s">
        <v>74</v>
      </c>
      <c r="BD202">
        <v>95018</v>
      </c>
      <c r="BE202" t="s">
        <v>3393</v>
      </c>
      <c r="BF202" t="str">
        <f>HYPERLINK("http://dx.doi.org/10.1088/1361-6560/ab12f2","http://dx.doi.org/10.1088/1361-6560/ab12f2")</f>
        <v>http://dx.doi.org/10.1088/1361-6560/ab12f2</v>
      </c>
      <c r="BG202" t="s">
        <v>74</v>
      </c>
      <c r="BH202" t="s">
        <v>74</v>
      </c>
      <c r="BI202">
        <v>13</v>
      </c>
      <c r="BJ202" t="s">
        <v>101</v>
      </c>
      <c r="BK202" t="s">
        <v>102</v>
      </c>
      <c r="BL202" t="s">
        <v>103</v>
      </c>
      <c r="BM202" t="s">
        <v>372</v>
      </c>
      <c r="BN202">
        <v>30909170</v>
      </c>
      <c r="BO202" t="s">
        <v>179</v>
      </c>
      <c r="BP202" t="s">
        <v>74</v>
      </c>
      <c r="BQ202" t="s">
        <v>74</v>
      </c>
      <c r="BR202" t="s">
        <v>106</v>
      </c>
      <c r="BS202" t="s">
        <v>3394</v>
      </c>
      <c r="BT202" t="str">
        <f>HYPERLINK("https%3A%2F%2Fwww.webofscience.com%2Fwos%2Fwoscc%2Ffull-record%2FWOS:000466572600005","View Full Record in Web of Science")</f>
        <v>View Full Record in Web of Science</v>
      </c>
    </row>
    <row r="203" spans="1:72" x14ac:dyDescent="0.25">
      <c r="A203" t="s">
        <v>72</v>
      </c>
      <c r="B203" t="s">
        <v>3395</v>
      </c>
      <c r="C203" t="s">
        <v>74</v>
      </c>
      <c r="D203" t="s">
        <v>74</v>
      </c>
      <c r="E203" t="s">
        <v>74</v>
      </c>
      <c r="F203" t="s">
        <v>3396</v>
      </c>
      <c r="G203" t="s">
        <v>74</v>
      </c>
      <c r="H203" t="s">
        <v>74</v>
      </c>
      <c r="I203" t="s">
        <v>3397</v>
      </c>
      <c r="J203" t="s">
        <v>77</v>
      </c>
      <c r="K203" t="s">
        <v>74</v>
      </c>
      <c r="L203" t="s">
        <v>74</v>
      </c>
      <c r="M203" t="s">
        <v>78</v>
      </c>
      <c r="N203" t="s">
        <v>79</v>
      </c>
      <c r="O203" t="s">
        <v>74</v>
      </c>
      <c r="P203" t="s">
        <v>74</v>
      </c>
      <c r="Q203" t="s">
        <v>74</v>
      </c>
      <c r="R203" t="s">
        <v>74</v>
      </c>
      <c r="S203" t="s">
        <v>74</v>
      </c>
      <c r="T203" t="s">
        <v>3398</v>
      </c>
      <c r="U203" t="s">
        <v>3399</v>
      </c>
      <c r="V203" t="s">
        <v>3400</v>
      </c>
      <c r="W203" t="s">
        <v>3401</v>
      </c>
      <c r="X203" t="s">
        <v>3402</v>
      </c>
      <c r="Y203" t="s">
        <v>3403</v>
      </c>
      <c r="Z203" t="s">
        <v>3404</v>
      </c>
      <c r="AA203" t="s">
        <v>3405</v>
      </c>
      <c r="AB203" t="s">
        <v>3406</v>
      </c>
      <c r="AC203" t="s">
        <v>3407</v>
      </c>
      <c r="AD203" t="s">
        <v>302</v>
      </c>
      <c r="AE203" t="s">
        <v>3408</v>
      </c>
      <c r="AF203" t="s">
        <v>74</v>
      </c>
      <c r="AG203">
        <v>20</v>
      </c>
      <c r="AH203">
        <v>7</v>
      </c>
      <c r="AI203">
        <v>7</v>
      </c>
      <c r="AJ203">
        <v>0</v>
      </c>
      <c r="AK203">
        <v>1</v>
      </c>
      <c r="AL203" t="s">
        <v>92</v>
      </c>
      <c r="AM203" t="s">
        <v>93</v>
      </c>
      <c r="AN203" t="s">
        <v>94</v>
      </c>
      <c r="AO203" t="s">
        <v>95</v>
      </c>
      <c r="AP203" t="s">
        <v>96</v>
      </c>
      <c r="AQ203" t="s">
        <v>74</v>
      </c>
      <c r="AR203" t="s">
        <v>97</v>
      </c>
      <c r="AS203" t="s">
        <v>98</v>
      </c>
      <c r="AT203" t="s">
        <v>370</v>
      </c>
      <c r="AU203">
        <v>2019</v>
      </c>
      <c r="AV203">
        <v>64</v>
      </c>
      <c r="AW203">
        <v>10</v>
      </c>
      <c r="AX203" t="s">
        <v>74</v>
      </c>
      <c r="AY203" t="s">
        <v>74</v>
      </c>
      <c r="AZ203" t="s">
        <v>74</v>
      </c>
      <c r="BA203" t="s">
        <v>74</v>
      </c>
      <c r="BB203" t="s">
        <v>74</v>
      </c>
      <c r="BC203" t="s">
        <v>74</v>
      </c>
      <c r="BD203">
        <v>105012</v>
      </c>
      <c r="BE203" t="s">
        <v>3409</v>
      </c>
      <c r="BF203" t="str">
        <f>HYPERLINK("http://dx.doi.org/10.1088/1361-6560/ab1a62","http://dx.doi.org/10.1088/1361-6560/ab1a62")</f>
        <v>http://dx.doi.org/10.1088/1361-6560/ab1a62</v>
      </c>
      <c r="BG203" t="s">
        <v>74</v>
      </c>
      <c r="BH203" t="s">
        <v>74</v>
      </c>
      <c r="BI203">
        <v>10</v>
      </c>
      <c r="BJ203" t="s">
        <v>101</v>
      </c>
      <c r="BK203" t="s">
        <v>102</v>
      </c>
      <c r="BL203" t="s">
        <v>103</v>
      </c>
      <c r="BM203" t="s">
        <v>1160</v>
      </c>
      <c r="BN203">
        <v>30995626</v>
      </c>
      <c r="BO203" t="s">
        <v>105</v>
      </c>
      <c r="BP203" t="s">
        <v>74</v>
      </c>
      <c r="BQ203" t="s">
        <v>74</v>
      </c>
      <c r="BR203" t="s">
        <v>106</v>
      </c>
      <c r="BS203" t="s">
        <v>3410</v>
      </c>
      <c r="BT203" t="str">
        <f>HYPERLINK("https%3A%2F%2Fwww.webofscience.com%2Fwos%2Fwoscc%2Ffull-record%2FWOS:000467702500007","View Full Record in Web of Science")</f>
        <v>View Full Record in Web of Science</v>
      </c>
    </row>
    <row r="204" spans="1:72" x14ac:dyDescent="0.25">
      <c r="A204" t="s">
        <v>72</v>
      </c>
      <c r="B204" t="s">
        <v>3411</v>
      </c>
      <c r="C204" t="s">
        <v>74</v>
      </c>
      <c r="D204" t="s">
        <v>74</v>
      </c>
      <c r="E204" t="s">
        <v>74</v>
      </c>
      <c r="F204" t="s">
        <v>3412</v>
      </c>
      <c r="G204" t="s">
        <v>74</v>
      </c>
      <c r="H204" t="s">
        <v>74</v>
      </c>
      <c r="I204" t="s">
        <v>3413</v>
      </c>
      <c r="J204" t="s">
        <v>77</v>
      </c>
      <c r="K204" t="s">
        <v>74</v>
      </c>
      <c r="L204" t="s">
        <v>74</v>
      </c>
      <c r="M204" t="s">
        <v>78</v>
      </c>
      <c r="N204" t="s">
        <v>79</v>
      </c>
      <c r="O204" t="s">
        <v>74</v>
      </c>
      <c r="P204" t="s">
        <v>74</v>
      </c>
      <c r="Q204" t="s">
        <v>74</v>
      </c>
      <c r="R204" t="s">
        <v>74</v>
      </c>
      <c r="S204" t="s">
        <v>74</v>
      </c>
      <c r="T204" t="s">
        <v>3414</v>
      </c>
      <c r="U204" t="s">
        <v>3415</v>
      </c>
      <c r="V204" t="s">
        <v>3416</v>
      </c>
      <c r="W204" t="s">
        <v>3417</v>
      </c>
      <c r="X204" t="s">
        <v>463</v>
      </c>
      <c r="Y204" t="s">
        <v>464</v>
      </c>
      <c r="Z204" t="s">
        <v>734</v>
      </c>
      <c r="AA204" t="s">
        <v>3418</v>
      </c>
      <c r="AB204" t="s">
        <v>3419</v>
      </c>
      <c r="AC204" t="s">
        <v>737</v>
      </c>
      <c r="AD204" t="s">
        <v>738</v>
      </c>
      <c r="AE204" t="s">
        <v>3420</v>
      </c>
      <c r="AF204" t="s">
        <v>74</v>
      </c>
      <c r="AG204">
        <v>40</v>
      </c>
      <c r="AH204">
        <v>52</v>
      </c>
      <c r="AI204">
        <v>57</v>
      </c>
      <c r="AJ204">
        <v>1</v>
      </c>
      <c r="AK204">
        <v>10</v>
      </c>
      <c r="AL204" t="s">
        <v>92</v>
      </c>
      <c r="AM204" t="s">
        <v>93</v>
      </c>
      <c r="AN204" t="s">
        <v>94</v>
      </c>
      <c r="AO204" t="s">
        <v>95</v>
      </c>
      <c r="AP204" t="s">
        <v>96</v>
      </c>
      <c r="AQ204" t="s">
        <v>74</v>
      </c>
      <c r="AR204" t="s">
        <v>97</v>
      </c>
      <c r="AS204" t="s">
        <v>98</v>
      </c>
      <c r="AT204" t="s">
        <v>386</v>
      </c>
      <c r="AU204">
        <v>2019</v>
      </c>
      <c r="AV204">
        <v>64</v>
      </c>
      <c r="AW204">
        <v>8</v>
      </c>
      <c r="AX204" t="s">
        <v>74</v>
      </c>
      <c r="AY204" t="s">
        <v>74</v>
      </c>
      <c r="AZ204" t="s">
        <v>74</v>
      </c>
      <c r="BA204" t="s">
        <v>74</v>
      </c>
      <c r="BB204" t="s">
        <v>74</v>
      </c>
      <c r="BC204" t="s">
        <v>74</v>
      </c>
      <c r="BD204">
        <v>85001</v>
      </c>
      <c r="BE204" t="s">
        <v>3421</v>
      </c>
      <c r="BF204" t="str">
        <f>HYPERLINK("http://dx.doi.org/10.1088/1361-6560/ab0b66","http://dx.doi.org/10.1088/1361-6560/ab0b66")</f>
        <v>http://dx.doi.org/10.1088/1361-6560/ab0b66</v>
      </c>
      <c r="BG204" t="s">
        <v>74</v>
      </c>
      <c r="BH204" t="s">
        <v>74</v>
      </c>
      <c r="BI204">
        <v>14</v>
      </c>
      <c r="BJ204" t="s">
        <v>101</v>
      </c>
      <c r="BK204" t="s">
        <v>102</v>
      </c>
      <c r="BL204" t="s">
        <v>103</v>
      </c>
      <c r="BM204" t="s">
        <v>3036</v>
      </c>
      <c r="BN204">
        <v>30818292</v>
      </c>
      <c r="BO204" t="s">
        <v>105</v>
      </c>
      <c r="BP204" t="s">
        <v>74</v>
      </c>
      <c r="BQ204" t="s">
        <v>74</v>
      </c>
      <c r="BR204" t="s">
        <v>106</v>
      </c>
      <c r="BS204" t="s">
        <v>3422</v>
      </c>
      <c r="BT204" t="str">
        <f>HYPERLINK("https%3A%2F%2Fwww.webofscience.com%2Fwos%2Fwoscc%2Ffull-record%2FWOS:000518923400001","View Full Record in Web of Science")</f>
        <v>View Full Record in Web of Science</v>
      </c>
    </row>
    <row r="205" spans="1:72" x14ac:dyDescent="0.25">
      <c r="A205" t="s">
        <v>72</v>
      </c>
      <c r="B205" t="s">
        <v>3423</v>
      </c>
      <c r="C205" t="s">
        <v>74</v>
      </c>
      <c r="D205" t="s">
        <v>74</v>
      </c>
      <c r="E205" t="s">
        <v>74</v>
      </c>
      <c r="F205" t="s">
        <v>3424</v>
      </c>
      <c r="G205" t="s">
        <v>74</v>
      </c>
      <c r="H205" t="s">
        <v>74</v>
      </c>
      <c r="I205" t="s">
        <v>3425</v>
      </c>
      <c r="J205" t="s">
        <v>77</v>
      </c>
      <c r="K205" t="s">
        <v>74</v>
      </c>
      <c r="L205" t="s">
        <v>74</v>
      </c>
      <c r="M205" t="s">
        <v>78</v>
      </c>
      <c r="N205" t="s">
        <v>79</v>
      </c>
      <c r="O205" t="s">
        <v>74</v>
      </c>
      <c r="P205" t="s">
        <v>74</v>
      </c>
      <c r="Q205" t="s">
        <v>74</v>
      </c>
      <c r="R205" t="s">
        <v>74</v>
      </c>
      <c r="S205" t="s">
        <v>74</v>
      </c>
      <c r="T205" t="s">
        <v>3426</v>
      </c>
      <c r="U205" t="s">
        <v>3427</v>
      </c>
      <c r="V205" t="s">
        <v>3428</v>
      </c>
      <c r="W205" t="s">
        <v>3429</v>
      </c>
      <c r="X205" t="s">
        <v>3430</v>
      </c>
      <c r="Y205" t="s">
        <v>3431</v>
      </c>
      <c r="Z205" t="s">
        <v>1889</v>
      </c>
      <c r="AA205" t="s">
        <v>3432</v>
      </c>
      <c r="AB205" t="s">
        <v>3433</v>
      </c>
      <c r="AC205" t="s">
        <v>74</v>
      </c>
      <c r="AD205" t="s">
        <v>74</v>
      </c>
      <c r="AE205" t="s">
        <v>74</v>
      </c>
      <c r="AF205" t="s">
        <v>74</v>
      </c>
      <c r="AG205">
        <v>32</v>
      </c>
      <c r="AH205">
        <v>16</v>
      </c>
      <c r="AI205">
        <v>16</v>
      </c>
      <c r="AJ205">
        <v>0</v>
      </c>
      <c r="AK205">
        <v>5</v>
      </c>
      <c r="AL205" t="s">
        <v>92</v>
      </c>
      <c r="AM205" t="s">
        <v>93</v>
      </c>
      <c r="AN205" t="s">
        <v>94</v>
      </c>
      <c r="AO205" t="s">
        <v>95</v>
      </c>
      <c r="AP205" t="s">
        <v>96</v>
      </c>
      <c r="AQ205" t="s">
        <v>74</v>
      </c>
      <c r="AR205" t="s">
        <v>97</v>
      </c>
      <c r="AS205" t="s">
        <v>98</v>
      </c>
      <c r="AT205" t="s">
        <v>436</v>
      </c>
      <c r="AU205">
        <v>2019</v>
      </c>
      <c r="AV205">
        <v>64</v>
      </c>
      <c r="AW205">
        <v>6</v>
      </c>
      <c r="AX205" t="s">
        <v>74</v>
      </c>
      <c r="AY205" t="s">
        <v>74</v>
      </c>
      <c r="AZ205" t="s">
        <v>74</v>
      </c>
      <c r="BA205" t="s">
        <v>74</v>
      </c>
      <c r="BB205" t="s">
        <v>74</v>
      </c>
      <c r="BC205" t="s">
        <v>74</v>
      </c>
      <c r="BD205">
        <v>65021</v>
      </c>
      <c r="BE205" t="s">
        <v>3434</v>
      </c>
      <c r="BF205" t="str">
        <f>HYPERLINK("http://dx.doi.org/10.1088/1361-6560/aafe58","http://dx.doi.org/10.1088/1361-6560/aafe58")</f>
        <v>http://dx.doi.org/10.1088/1361-6560/aafe58</v>
      </c>
      <c r="BG205" t="s">
        <v>74</v>
      </c>
      <c r="BH205" t="s">
        <v>74</v>
      </c>
      <c r="BI205">
        <v>15</v>
      </c>
      <c r="BJ205" t="s">
        <v>101</v>
      </c>
      <c r="BK205" t="s">
        <v>102</v>
      </c>
      <c r="BL205" t="s">
        <v>103</v>
      </c>
      <c r="BM205" t="s">
        <v>3435</v>
      </c>
      <c r="BN205">
        <v>30641496</v>
      </c>
      <c r="BO205" t="s">
        <v>74</v>
      </c>
      <c r="BP205" t="s">
        <v>74</v>
      </c>
      <c r="BQ205" t="s">
        <v>74</v>
      </c>
      <c r="BR205" t="s">
        <v>106</v>
      </c>
      <c r="BS205" t="s">
        <v>3436</v>
      </c>
      <c r="BT205" t="str">
        <f>HYPERLINK("https%3A%2F%2Fwww.webofscience.com%2Fwos%2Fwoscc%2Ffull-record%2FWOS:000461636100002","View Full Record in Web of Science")</f>
        <v>View Full Record in Web of Science</v>
      </c>
    </row>
    <row r="206" spans="1:72" x14ac:dyDescent="0.25">
      <c r="A206" t="s">
        <v>72</v>
      </c>
      <c r="B206" t="s">
        <v>3437</v>
      </c>
      <c r="C206" t="s">
        <v>74</v>
      </c>
      <c r="D206" t="s">
        <v>74</v>
      </c>
      <c r="E206" t="s">
        <v>74</v>
      </c>
      <c r="F206" t="s">
        <v>3438</v>
      </c>
      <c r="G206" t="s">
        <v>74</v>
      </c>
      <c r="H206" t="s">
        <v>74</v>
      </c>
      <c r="I206" t="s">
        <v>3439</v>
      </c>
      <c r="J206" t="s">
        <v>77</v>
      </c>
      <c r="K206" t="s">
        <v>74</v>
      </c>
      <c r="L206" t="s">
        <v>74</v>
      </c>
      <c r="M206" t="s">
        <v>78</v>
      </c>
      <c r="N206" t="s">
        <v>79</v>
      </c>
      <c r="O206" t="s">
        <v>74</v>
      </c>
      <c r="P206" t="s">
        <v>74</v>
      </c>
      <c r="Q206" t="s">
        <v>74</v>
      </c>
      <c r="R206" t="s">
        <v>74</v>
      </c>
      <c r="S206" t="s">
        <v>74</v>
      </c>
      <c r="T206" t="s">
        <v>3440</v>
      </c>
      <c r="U206" t="s">
        <v>3441</v>
      </c>
      <c r="V206" t="s">
        <v>3442</v>
      </c>
      <c r="W206" t="s">
        <v>3443</v>
      </c>
      <c r="X206" t="s">
        <v>3444</v>
      </c>
      <c r="Y206" t="s">
        <v>3445</v>
      </c>
      <c r="Z206" t="s">
        <v>3446</v>
      </c>
      <c r="AA206" t="s">
        <v>3447</v>
      </c>
      <c r="AB206" t="s">
        <v>3448</v>
      </c>
      <c r="AC206" t="s">
        <v>74</v>
      </c>
      <c r="AD206" t="s">
        <v>74</v>
      </c>
      <c r="AE206" t="s">
        <v>74</v>
      </c>
      <c r="AF206" t="s">
        <v>74</v>
      </c>
      <c r="AG206">
        <v>52</v>
      </c>
      <c r="AH206">
        <v>17</v>
      </c>
      <c r="AI206">
        <v>17</v>
      </c>
      <c r="AJ206">
        <v>1</v>
      </c>
      <c r="AK206">
        <v>23</v>
      </c>
      <c r="AL206" t="s">
        <v>157</v>
      </c>
      <c r="AM206" t="s">
        <v>93</v>
      </c>
      <c r="AN206" t="s">
        <v>94</v>
      </c>
      <c r="AO206" t="s">
        <v>95</v>
      </c>
      <c r="AP206" t="s">
        <v>96</v>
      </c>
      <c r="AQ206" t="s">
        <v>74</v>
      </c>
      <c r="AR206" t="s">
        <v>97</v>
      </c>
      <c r="AS206" t="s">
        <v>98</v>
      </c>
      <c r="AT206" t="s">
        <v>646</v>
      </c>
      <c r="AU206">
        <v>2019</v>
      </c>
      <c r="AV206">
        <v>64</v>
      </c>
      <c r="AW206">
        <v>3</v>
      </c>
      <c r="AX206" t="s">
        <v>74</v>
      </c>
      <c r="AY206" t="s">
        <v>74</v>
      </c>
      <c r="AZ206" t="s">
        <v>74</v>
      </c>
      <c r="BA206" t="s">
        <v>74</v>
      </c>
      <c r="BB206" t="s">
        <v>74</v>
      </c>
      <c r="BC206" t="s">
        <v>74</v>
      </c>
      <c r="BD206">
        <v>35019</v>
      </c>
      <c r="BE206" t="s">
        <v>3449</v>
      </c>
      <c r="BF206" t="str">
        <f>HYPERLINK("http://dx.doi.org/10.1088/1361-6560/aafa86","http://dx.doi.org/10.1088/1361-6560/aafa86")</f>
        <v>http://dx.doi.org/10.1088/1361-6560/aafa86</v>
      </c>
      <c r="BG206" t="s">
        <v>74</v>
      </c>
      <c r="BH206" t="s">
        <v>74</v>
      </c>
      <c r="BI206">
        <v>21</v>
      </c>
      <c r="BJ206" t="s">
        <v>101</v>
      </c>
      <c r="BK206" t="s">
        <v>102</v>
      </c>
      <c r="BL206" t="s">
        <v>103</v>
      </c>
      <c r="BM206" t="s">
        <v>889</v>
      </c>
      <c r="BN206">
        <v>30577036</v>
      </c>
      <c r="BO206" t="s">
        <v>74</v>
      </c>
      <c r="BP206" t="s">
        <v>74</v>
      </c>
      <c r="BQ206" t="s">
        <v>74</v>
      </c>
      <c r="BR206" t="s">
        <v>106</v>
      </c>
      <c r="BS206" t="s">
        <v>3450</v>
      </c>
      <c r="BT206" t="str">
        <f>HYPERLINK("https%3A%2F%2Fwww.webofscience.com%2Fwos%2Fwoscc%2Ffull-record%2FWOS:000457439100004","View Full Record in Web of Science")</f>
        <v>View Full Record in Web of Science</v>
      </c>
    </row>
    <row r="207" spans="1:72" x14ac:dyDescent="0.25">
      <c r="A207" t="s">
        <v>72</v>
      </c>
      <c r="B207" t="s">
        <v>3451</v>
      </c>
      <c r="C207" t="s">
        <v>74</v>
      </c>
      <c r="D207" t="s">
        <v>74</v>
      </c>
      <c r="E207" t="s">
        <v>74</v>
      </c>
      <c r="F207" t="s">
        <v>3452</v>
      </c>
      <c r="G207" t="s">
        <v>74</v>
      </c>
      <c r="H207" t="s">
        <v>74</v>
      </c>
      <c r="I207" t="s">
        <v>3453</v>
      </c>
      <c r="J207" t="s">
        <v>77</v>
      </c>
      <c r="K207" t="s">
        <v>74</v>
      </c>
      <c r="L207" t="s">
        <v>74</v>
      </c>
      <c r="M207" t="s">
        <v>78</v>
      </c>
      <c r="N207" t="s">
        <v>79</v>
      </c>
      <c r="O207" t="s">
        <v>74</v>
      </c>
      <c r="P207" t="s">
        <v>74</v>
      </c>
      <c r="Q207" t="s">
        <v>74</v>
      </c>
      <c r="R207" t="s">
        <v>74</v>
      </c>
      <c r="S207" t="s">
        <v>74</v>
      </c>
      <c r="T207" t="s">
        <v>3454</v>
      </c>
      <c r="U207" t="s">
        <v>3455</v>
      </c>
      <c r="V207" t="s">
        <v>3456</v>
      </c>
      <c r="W207" t="s">
        <v>3457</v>
      </c>
      <c r="X207" t="s">
        <v>3458</v>
      </c>
      <c r="Y207" t="s">
        <v>3459</v>
      </c>
      <c r="Z207" t="s">
        <v>3460</v>
      </c>
      <c r="AA207" t="s">
        <v>74</v>
      </c>
      <c r="AB207" t="s">
        <v>3461</v>
      </c>
      <c r="AC207" t="s">
        <v>3462</v>
      </c>
      <c r="AD207" t="s">
        <v>1258</v>
      </c>
      <c r="AE207" t="s">
        <v>3463</v>
      </c>
      <c r="AF207" t="s">
        <v>74</v>
      </c>
      <c r="AG207">
        <v>39</v>
      </c>
      <c r="AH207">
        <v>15</v>
      </c>
      <c r="AI207">
        <v>16</v>
      </c>
      <c r="AJ207">
        <v>0</v>
      </c>
      <c r="AK207">
        <v>8</v>
      </c>
      <c r="AL207" t="s">
        <v>92</v>
      </c>
      <c r="AM207" t="s">
        <v>93</v>
      </c>
      <c r="AN207" t="s">
        <v>94</v>
      </c>
      <c r="AO207" t="s">
        <v>95</v>
      </c>
      <c r="AP207" t="s">
        <v>96</v>
      </c>
      <c r="AQ207" t="s">
        <v>74</v>
      </c>
      <c r="AR207" t="s">
        <v>97</v>
      </c>
      <c r="AS207" t="s">
        <v>98</v>
      </c>
      <c r="AT207" t="s">
        <v>646</v>
      </c>
      <c r="AU207">
        <v>2019</v>
      </c>
      <c r="AV207">
        <v>64</v>
      </c>
      <c r="AW207">
        <v>4</v>
      </c>
      <c r="AX207" t="s">
        <v>74</v>
      </c>
      <c r="AY207" t="s">
        <v>74</v>
      </c>
      <c r="AZ207" t="s">
        <v>74</v>
      </c>
      <c r="BA207" t="s">
        <v>74</v>
      </c>
      <c r="BB207" t="s">
        <v>74</v>
      </c>
      <c r="BC207" t="s">
        <v>74</v>
      </c>
      <c r="BD207">
        <v>45010</v>
      </c>
      <c r="BE207" t="s">
        <v>3464</v>
      </c>
      <c r="BF207" t="str">
        <f>HYPERLINK("http://dx.doi.org/10.1088/1361-6560/aafd41","http://dx.doi.org/10.1088/1361-6560/aafd41")</f>
        <v>http://dx.doi.org/10.1088/1361-6560/aafd41</v>
      </c>
      <c r="BG207" t="s">
        <v>74</v>
      </c>
      <c r="BH207" t="s">
        <v>74</v>
      </c>
      <c r="BI207">
        <v>9</v>
      </c>
      <c r="BJ207" t="s">
        <v>101</v>
      </c>
      <c r="BK207" t="s">
        <v>102</v>
      </c>
      <c r="BL207" t="s">
        <v>103</v>
      </c>
      <c r="BM207" t="s">
        <v>2650</v>
      </c>
      <c r="BN207">
        <v>30630134</v>
      </c>
      <c r="BO207" t="s">
        <v>140</v>
      </c>
      <c r="BP207" t="s">
        <v>74</v>
      </c>
      <c r="BQ207" t="s">
        <v>74</v>
      </c>
      <c r="BR207" t="s">
        <v>106</v>
      </c>
      <c r="BS207" t="s">
        <v>3465</v>
      </c>
      <c r="BT207" t="str">
        <f>HYPERLINK("https%3A%2F%2Fwww.webofscience.com%2Fwos%2Fwoscc%2Ffull-record%2FWOS:000458375200002","View Full Record in Web of Science")</f>
        <v>View Full Record in Web of Science</v>
      </c>
    </row>
    <row r="208" spans="1:72" x14ac:dyDescent="0.25">
      <c r="A208" t="s">
        <v>72</v>
      </c>
      <c r="B208" t="s">
        <v>3466</v>
      </c>
      <c r="C208" t="s">
        <v>74</v>
      </c>
      <c r="D208" t="s">
        <v>74</v>
      </c>
      <c r="E208" t="s">
        <v>74</v>
      </c>
      <c r="F208" t="s">
        <v>3467</v>
      </c>
      <c r="G208" t="s">
        <v>74</v>
      </c>
      <c r="H208" t="s">
        <v>74</v>
      </c>
      <c r="I208" t="s">
        <v>3468</v>
      </c>
      <c r="J208" t="s">
        <v>77</v>
      </c>
      <c r="K208" t="s">
        <v>74</v>
      </c>
      <c r="L208" t="s">
        <v>74</v>
      </c>
      <c r="M208" t="s">
        <v>78</v>
      </c>
      <c r="N208" t="s">
        <v>79</v>
      </c>
      <c r="O208" t="s">
        <v>74</v>
      </c>
      <c r="P208" t="s">
        <v>74</v>
      </c>
      <c r="Q208" t="s">
        <v>74</v>
      </c>
      <c r="R208" t="s">
        <v>74</v>
      </c>
      <c r="S208" t="s">
        <v>74</v>
      </c>
      <c r="T208" t="s">
        <v>3469</v>
      </c>
      <c r="U208" t="s">
        <v>3470</v>
      </c>
      <c r="V208" t="s">
        <v>3471</v>
      </c>
      <c r="W208" t="s">
        <v>3472</v>
      </c>
      <c r="X208" t="s">
        <v>3473</v>
      </c>
      <c r="Y208" t="s">
        <v>3474</v>
      </c>
      <c r="Z208" t="s">
        <v>3475</v>
      </c>
      <c r="AA208" t="s">
        <v>74</v>
      </c>
      <c r="AB208" t="s">
        <v>3476</v>
      </c>
      <c r="AC208" t="s">
        <v>3477</v>
      </c>
      <c r="AD208" t="s">
        <v>3478</v>
      </c>
      <c r="AE208" t="s">
        <v>3479</v>
      </c>
      <c r="AF208" t="s">
        <v>74</v>
      </c>
      <c r="AG208">
        <v>39</v>
      </c>
      <c r="AH208">
        <v>8</v>
      </c>
      <c r="AI208">
        <v>8</v>
      </c>
      <c r="AJ208">
        <v>1</v>
      </c>
      <c r="AK208">
        <v>14</v>
      </c>
      <c r="AL208" t="s">
        <v>92</v>
      </c>
      <c r="AM208" t="s">
        <v>93</v>
      </c>
      <c r="AN208" t="s">
        <v>94</v>
      </c>
      <c r="AO208" t="s">
        <v>95</v>
      </c>
      <c r="AP208" t="s">
        <v>96</v>
      </c>
      <c r="AQ208" t="s">
        <v>74</v>
      </c>
      <c r="AR208" t="s">
        <v>97</v>
      </c>
      <c r="AS208" t="s">
        <v>98</v>
      </c>
      <c r="AT208" t="s">
        <v>646</v>
      </c>
      <c r="AU208">
        <v>2019</v>
      </c>
      <c r="AV208">
        <v>64</v>
      </c>
      <c r="AW208">
        <v>4</v>
      </c>
      <c r="AX208" t="s">
        <v>74</v>
      </c>
      <c r="AY208" t="s">
        <v>74</v>
      </c>
      <c r="AZ208" t="s">
        <v>74</v>
      </c>
      <c r="BA208" t="s">
        <v>74</v>
      </c>
      <c r="BB208" t="s">
        <v>74</v>
      </c>
      <c r="BC208" t="s">
        <v>74</v>
      </c>
      <c r="BD208">
        <v>45006</v>
      </c>
      <c r="BE208" t="s">
        <v>3480</v>
      </c>
      <c r="BF208" t="str">
        <f>HYPERLINK("http://dx.doi.org/10.1088/1361-6560/aafcc1","http://dx.doi.org/10.1088/1361-6560/aafcc1")</f>
        <v>http://dx.doi.org/10.1088/1361-6560/aafcc1</v>
      </c>
      <c r="BG208" t="s">
        <v>74</v>
      </c>
      <c r="BH208" t="s">
        <v>74</v>
      </c>
      <c r="BI208">
        <v>13</v>
      </c>
      <c r="BJ208" t="s">
        <v>101</v>
      </c>
      <c r="BK208" t="s">
        <v>102</v>
      </c>
      <c r="BL208" t="s">
        <v>103</v>
      </c>
      <c r="BM208" t="s">
        <v>3481</v>
      </c>
      <c r="BN208">
        <v>30625444</v>
      </c>
      <c r="BO208" t="s">
        <v>270</v>
      </c>
      <c r="BP208" t="s">
        <v>74</v>
      </c>
      <c r="BQ208" t="s">
        <v>74</v>
      </c>
      <c r="BR208" t="s">
        <v>106</v>
      </c>
      <c r="BS208" t="s">
        <v>3482</v>
      </c>
      <c r="BT208" t="str">
        <f>HYPERLINK("https%3A%2F%2Fwww.webofscience.com%2Fwos%2Fwoscc%2Ffull-record%2FWOS:000458045500001","View Full Record in Web of Science")</f>
        <v>View Full Record in Web of Science</v>
      </c>
    </row>
    <row r="209" spans="1:72" x14ac:dyDescent="0.25">
      <c r="A209" t="s">
        <v>72</v>
      </c>
      <c r="B209" t="s">
        <v>3483</v>
      </c>
      <c r="C209" t="s">
        <v>74</v>
      </c>
      <c r="D209" t="s">
        <v>74</v>
      </c>
      <c r="E209" t="s">
        <v>74</v>
      </c>
      <c r="F209" t="s">
        <v>3484</v>
      </c>
      <c r="G209" t="s">
        <v>74</v>
      </c>
      <c r="H209" t="s">
        <v>74</v>
      </c>
      <c r="I209" t="s">
        <v>3485</v>
      </c>
      <c r="J209" t="s">
        <v>77</v>
      </c>
      <c r="K209" t="s">
        <v>74</v>
      </c>
      <c r="L209" t="s">
        <v>74</v>
      </c>
      <c r="M209" t="s">
        <v>78</v>
      </c>
      <c r="N209" t="s">
        <v>79</v>
      </c>
      <c r="O209" t="s">
        <v>74</v>
      </c>
      <c r="P209" t="s">
        <v>74</v>
      </c>
      <c r="Q209" t="s">
        <v>74</v>
      </c>
      <c r="R209" t="s">
        <v>74</v>
      </c>
      <c r="S209" t="s">
        <v>74</v>
      </c>
      <c r="T209" t="s">
        <v>3486</v>
      </c>
      <c r="U209" t="s">
        <v>3487</v>
      </c>
      <c r="V209" t="s">
        <v>3488</v>
      </c>
      <c r="W209" t="s">
        <v>3489</v>
      </c>
      <c r="X209" t="s">
        <v>3490</v>
      </c>
      <c r="Y209" t="s">
        <v>3491</v>
      </c>
      <c r="Z209" t="s">
        <v>3492</v>
      </c>
      <c r="AA209" t="s">
        <v>3493</v>
      </c>
      <c r="AB209" t="s">
        <v>3494</v>
      </c>
      <c r="AC209" t="s">
        <v>3495</v>
      </c>
      <c r="AD209" t="s">
        <v>3496</v>
      </c>
      <c r="AE209" t="s">
        <v>3497</v>
      </c>
      <c r="AF209" t="s">
        <v>74</v>
      </c>
      <c r="AG209">
        <v>26</v>
      </c>
      <c r="AH209">
        <v>3</v>
      </c>
      <c r="AI209">
        <v>4</v>
      </c>
      <c r="AJ209">
        <v>0</v>
      </c>
      <c r="AK209">
        <v>0</v>
      </c>
      <c r="AL209" t="s">
        <v>92</v>
      </c>
      <c r="AM209" t="s">
        <v>93</v>
      </c>
      <c r="AN209" t="s">
        <v>94</v>
      </c>
      <c r="AO209" t="s">
        <v>95</v>
      </c>
      <c r="AP209" t="s">
        <v>96</v>
      </c>
      <c r="AQ209" t="s">
        <v>74</v>
      </c>
      <c r="AR209" t="s">
        <v>97</v>
      </c>
      <c r="AS209" t="s">
        <v>98</v>
      </c>
      <c r="AT209" t="s">
        <v>646</v>
      </c>
      <c r="AU209">
        <v>2019</v>
      </c>
      <c r="AV209">
        <v>64</v>
      </c>
      <c r="AW209">
        <v>3</v>
      </c>
      <c r="AX209" t="s">
        <v>74</v>
      </c>
      <c r="AY209" t="s">
        <v>74</v>
      </c>
      <c r="AZ209" t="s">
        <v>74</v>
      </c>
      <c r="BA209" t="s">
        <v>74</v>
      </c>
      <c r="BB209" t="s">
        <v>74</v>
      </c>
      <c r="BC209" t="s">
        <v>74</v>
      </c>
      <c r="BD209" t="s">
        <v>3498</v>
      </c>
      <c r="BE209" t="s">
        <v>3499</v>
      </c>
      <c r="BF209" t="str">
        <f>HYPERLINK("http://dx.doi.org/10.1088/1361-6560/aafa04","http://dx.doi.org/10.1088/1361-6560/aafa04")</f>
        <v>http://dx.doi.org/10.1088/1361-6560/aafa04</v>
      </c>
      <c r="BG209" t="s">
        <v>74</v>
      </c>
      <c r="BH209" t="s">
        <v>74</v>
      </c>
      <c r="BI209">
        <v>9</v>
      </c>
      <c r="BJ209" t="s">
        <v>101</v>
      </c>
      <c r="BK209" t="s">
        <v>102</v>
      </c>
      <c r="BL209" t="s">
        <v>103</v>
      </c>
      <c r="BM209" t="s">
        <v>3500</v>
      </c>
      <c r="BN209">
        <v>30566917</v>
      </c>
      <c r="BO209" t="s">
        <v>74</v>
      </c>
      <c r="BP209" t="s">
        <v>74</v>
      </c>
      <c r="BQ209" t="s">
        <v>74</v>
      </c>
      <c r="BR209" t="s">
        <v>106</v>
      </c>
      <c r="BS209" t="s">
        <v>3501</v>
      </c>
      <c r="BT209" t="str">
        <f>HYPERLINK("https%3A%2F%2Fwww.webofscience.com%2Fwos%2Fwoscc%2Ffull-record%2FWOS:000457439700001","View Full Record in Web of Science")</f>
        <v>View Full Record in Web of Science</v>
      </c>
    </row>
    <row r="210" spans="1:72" x14ac:dyDescent="0.25">
      <c r="A210" t="s">
        <v>72</v>
      </c>
      <c r="B210" t="s">
        <v>3502</v>
      </c>
      <c r="C210" t="s">
        <v>74</v>
      </c>
      <c r="D210" t="s">
        <v>74</v>
      </c>
      <c r="E210" t="s">
        <v>74</v>
      </c>
      <c r="F210" t="s">
        <v>3503</v>
      </c>
      <c r="G210" t="s">
        <v>74</v>
      </c>
      <c r="H210" t="s">
        <v>74</v>
      </c>
      <c r="I210" t="s">
        <v>3504</v>
      </c>
      <c r="J210" t="s">
        <v>77</v>
      </c>
      <c r="K210" t="s">
        <v>74</v>
      </c>
      <c r="L210" t="s">
        <v>74</v>
      </c>
      <c r="M210" t="s">
        <v>78</v>
      </c>
      <c r="N210" t="s">
        <v>79</v>
      </c>
      <c r="O210" t="s">
        <v>74</v>
      </c>
      <c r="P210" t="s">
        <v>74</v>
      </c>
      <c r="Q210" t="s">
        <v>74</v>
      </c>
      <c r="R210" t="s">
        <v>74</v>
      </c>
      <c r="S210" t="s">
        <v>74</v>
      </c>
      <c r="T210" t="s">
        <v>3505</v>
      </c>
      <c r="U210" t="s">
        <v>3506</v>
      </c>
      <c r="V210" t="s">
        <v>3507</v>
      </c>
      <c r="W210" t="s">
        <v>3508</v>
      </c>
      <c r="X210" t="s">
        <v>3509</v>
      </c>
      <c r="Y210" t="s">
        <v>3510</v>
      </c>
      <c r="Z210" t="s">
        <v>3511</v>
      </c>
      <c r="AA210" t="s">
        <v>3512</v>
      </c>
      <c r="AB210" t="s">
        <v>3513</v>
      </c>
      <c r="AC210" t="s">
        <v>3514</v>
      </c>
      <c r="AD210" t="s">
        <v>3515</v>
      </c>
      <c r="AE210" t="s">
        <v>3516</v>
      </c>
      <c r="AF210" t="s">
        <v>74</v>
      </c>
      <c r="AG210">
        <v>31</v>
      </c>
      <c r="AH210">
        <v>44</v>
      </c>
      <c r="AI210">
        <v>49</v>
      </c>
      <c r="AJ210">
        <v>1</v>
      </c>
      <c r="AK210">
        <v>27</v>
      </c>
      <c r="AL210" t="s">
        <v>157</v>
      </c>
      <c r="AM210" t="s">
        <v>93</v>
      </c>
      <c r="AN210" t="s">
        <v>94</v>
      </c>
      <c r="AO210" t="s">
        <v>95</v>
      </c>
      <c r="AP210" t="s">
        <v>96</v>
      </c>
      <c r="AQ210" t="s">
        <v>74</v>
      </c>
      <c r="AR210" t="s">
        <v>97</v>
      </c>
      <c r="AS210" t="s">
        <v>98</v>
      </c>
      <c r="AT210" t="s">
        <v>99</v>
      </c>
      <c r="AU210">
        <v>2019</v>
      </c>
      <c r="AV210">
        <v>64</v>
      </c>
      <c r="AW210">
        <v>23</v>
      </c>
      <c r="AX210" t="s">
        <v>74</v>
      </c>
      <c r="AY210" t="s">
        <v>74</v>
      </c>
      <c r="AZ210" t="s">
        <v>74</v>
      </c>
      <c r="BA210" t="s">
        <v>74</v>
      </c>
      <c r="BB210" t="s">
        <v>74</v>
      </c>
      <c r="BC210" t="s">
        <v>74</v>
      </c>
      <c r="BD210">
        <v>235014</v>
      </c>
      <c r="BE210" t="s">
        <v>3517</v>
      </c>
      <c r="BF210" t="str">
        <f>HYPERLINK("http://dx.doi.org/10.1088/1361-6560/ab5086","http://dx.doi.org/10.1088/1361-6560/ab5086")</f>
        <v>http://dx.doi.org/10.1088/1361-6560/ab5086</v>
      </c>
      <c r="BG210" t="s">
        <v>74</v>
      </c>
      <c r="BH210" t="s">
        <v>74</v>
      </c>
      <c r="BI210">
        <v>13</v>
      </c>
      <c r="BJ210" t="s">
        <v>101</v>
      </c>
      <c r="BK210" t="s">
        <v>102</v>
      </c>
      <c r="BL210" t="s">
        <v>103</v>
      </c>
      <c r="BM210" t="s">
        <v>693</v>
      </c>
      <c r="BN210">
        <v>31645019</v>
      </c>
      <c r="BO210" t="s">
        <v>74</v>
      </c>
      <c r="BP210" t="s">
        <v>74</v>
      </c>
      <c r="BQ210" t="s">
        <v>74</v>
      </c>
      <c r="BR210" t="s">
        <v>106</v>
      </c>
      <c r="BS210" t="s">
        <v>3518</v>
      </c>
      <c r="BT210" t="str">
        <f>HYPERLINK("https%3A%2F%2Fwww.webofscience.com%2Fwos%2Fwoscc%2Ffull-record%2FWOS:000518765200004","View Full Record in Web of Science")</f>
        <v>View Full Record in Web of Science</v>
      </c>
    </row>
    <row r="211" spans="1:72" x14ac:dyDescent="0.25">
      <c r="A211" t="s">
        <v>72</v>
      </c>
      <c r="B211" t="s">
        <v>3519</v>
      </c>
      <c r="C211" t="s">
        <v>74</v>
      </c>
      <c r="D211" t="s">
        <v>74</v>
      </c>
      <c r="E211" t="s">
        <v>74</v>
      </c>
      <c r="F211" t="s">
        <v>3520</v>
      </c>
      <c r="G211" t="s">
        <v>74</v>
      </c>
      <c r="H211" t="s">
        <v>74</v>
      </c>
      <c r="I211" t="s">
        <v>3521</v>
      </c>
      <c r="J211" t="s">
        <v>77</v>
      </c>
      <c r="K211" t="s">
        <v>74</v>
      </c>
      <c r="L211" t="s">
        <v>74</v>
      </c>
      <c r="M211" t="s">
        <v>78</v>
      </c>
      <c r="N211" t="s">
        <v>79</v>
      </c>
      <c r="O211" t="s">
        <v>74</v>
      </c>
      <c r="P211" t="s">
        <v>74</v>
      </c>
      <c r="Q211" t="s">
        <v>74</v>
      </c>
      <c r="R211" t="s">
        <v>74</v>
      </c>
      <c r="S211" t="s">
        <v>74</v>
      </c>
      <c r="T211" t="s">
        <v>3522</v>
      </c>
      <c r="U211" t="s">
        <v>3523</v>
      </c>
      <c r="V211" t="s">
        <v>3524</v>
      </c>
      <c r="W211" t="s">
        <v>3525</v>
      </c>
      <c r="X211" t="s">
        <v>3526</v>
      </c>
      <c r="Y211" t="s">
        <v>3527</v>
      </c>
      <c r="Z211" t="s">
        <v>3528</v>
      </c>
      <c r="AA211" t="s">
        <v>3529</v>
      </c>
      <c r="AB211" t="s">
        <v>3530</v>
      </c>
      <c r="AC211" t="s">
        <v>3531</v>
      </c>
      <c r="AD211" t="s">
        <v>3532</v>
      </c>
      <c r="AE211" t="s">
        <v>3533</v>
      </c>
      <c r="AF211" t="s">
        <v>74</v>
      </c>
      <c r="AG211">
        <v>52</v>
      </c>
      <c r="AH211">
        <v>19</v>
      </c>
      <c r="AI211">
        <v>19</v>
      </c>
      <c r="AJ211">
        <v>0</v>
      </c>
      <c r="AK211">
        <v>21</v>
      </c>
      <c r="AL211" t="s">
        <v>92</v>
      </c>
      <c r="AM211" t="s">
        <v>93</v>
      </c>
      <c r="AN211" t="s">
        <v>94</v>
      </c>
      <c r="AO211" t="s">
        <v>95</v>
      </c>
      <c r="AP211" t="s">
        <v>96</v>
      </c>
      <c r="AQ211" t="s">
        <v>74</v>
      </c>
      <c r="AR211" t="s">
        <v>97</v>
      </c>
      <c r="AS211" t="s">
        <v>98</v>
      </c>
      <c r="AT211" t="s">
        <v>99</v>
      </c>
      <c r="AU211">
        <v>2019</v>
      </c>
      <c r="AV211">
        <v>64</v>
      </c>
      <c r="AW211">
        <v>23</v>
      </c>
      <c r="AX211" t="s">
        <v>74</v>
      </c>
      <c r="AY211" t="s">
        <v>74</v>
      </c>
      <c r="AZ211" t="s">
        <v>74</v>
      </c>
      <c r="BA211" t="s">
        <v>74</v>
      </c>
      <c r="BB211" t="s">
        <v>74</v>
      </c>
      <c r="BC211" t="s">
        <v>74</v>
      </c>
      <c r="BD211">
        <v>235011</v>
      </c>
      <c r="BE211" t="s">
        <v>3534</v>
      </c>
      <c r="BF211" t="str">
        <f>HYPERLINK("http://dx.doi.org/10.1088/1361-6560/ab51db","http://dx.doi.org/10.1088/1361-6560/ab51db")</f>
        <v>http://dx.doi.org/10.1088/1361-6560/ab51db</v>
      </c>
      <c r="BG211" t="s">
        <v>74</v>
      </c>
      <c r="BH211" t="s">
        <v>74</v>
      </c>
      <c r="BI211">
        <v>21</v>
      </c>
      <c r="BJ211" t="s">
        <v>101</v>
      </c>
      <c r="BK211" t="s">
        <v>102</v>
      </c>
      <c r="BL211" t="s">
        <v>103</v>
      </c>
      <c r="BM211" t="s">
        <v>693</v>
      </c>
      <c r="BN211">
        <v>31658457</v>
      </c>
      <c r="BO211" t="s">
        <v>795</v>
      </c>
      <c r="BP211" t="s">
        <v>74</v>
      </c>
      <c r="BQ211" t="s">
        <v>74</v>
      </c>
      <c r="BR211" t="s">
        <v>106</v>
      </c>
      <c r="BS211" t="s">
        <v>3535</v>
      </c>
      <c r="BT211" t="str">
        <f>HYPERLINK("https%3A%2F%2Fwww.webofscience.com%2Fwos%2Fwoscc%2Ffull-record%2FWOS:000518765200001","View Full Record in Web of Science")</f>
        <v>View Full Record in Web of Science</v>
      </c>
    </row>
    <row r="212" spans="1:72" x14ac:dyDescent="0.25">
      <c r="A212" t="s">
        <v>72</v>
      </c>
      <c r="B212" t="s">
        <v>3536</v>
      </c>
      <c r="C212" t="s">
        <v>74</v>
      </c>
      <c r="D212" t="s">
        <v>74</v>
      </c>
      <c r="E212" t="s">
        <v>74</v>
      </c>
      <c r="F212" t="s">
        <v>3537</v>
      </c>
      <c r="G212" t="s">
        <v>74</v>
      </c>
      <c r="H212" t="s">
        <v>74</v>
      </c>
      <c r="I212" t="s">
        <v>3538</v>
      </c>
      <c r="J212" t="s">
        <v>77</v>
      </c>
      <c r="K212" t="s">
        <v>74</v>
      </c>
      <c r="L212" t="s">
        <v>74</v>
      </c>
      <c r="M212" t="s">
        <v>78</v>
      </c>
      <c r="N212" t="s">
        <v>79</v>
      </c>
      <c r="O212" t="s">
        <v>74</v>
      </c>
      <c r="P212" t="s">
        <v>74</v>
      </c>
      <c r="Q212" t="s">
        <v>74</v>
      </c>
      <c r="R212" t="s">
        <v>74</v>
      </c>
      <c r="S212" t="s">
        <v>74</v>
      </c>
      <c r="T212" t="s">
        <v>3539</v>
      </c>
      <c r="U212" t="s">
        <v>3540</v>
      </c>
      <c r="V212" t="s">
        <v>3541</v>
      </c>
      <c r="W212" t="s">
        <v>3542</v>
      </c>
      <c r="X212" t="s">
        <v>3543</v>
      </c>
      <c r="Y212" t="s">
        <v>3544</v>
      </c>
      <c r="Z212" t="s">
        <v>3545</v>
      </c>
      <c r="AA212" t="s">
        <v>3546</v>
      </c>
      <c r="AB212" t="s">
        <v>3547</v>
      </c>
      <c r="AC212" t="s">
        <v>3548</v>
      </c>
      <c r="AD212" t="s">
        <v>3549</v>
      </c>
      <c r="AE212" t="s">
        <v>3550</v>
      </c>
      <c r="AF212" t="s">
        <v>74</v>
      </c>
      <c r="AG212">
        <v>26</v>
      </c>
      <c r="AH212">
        <v>28</v>
      </c>
      <c r="AI212">
        <v>31</v>
      </c>
      <c r="AJ212">
        <v>0</v>
      </c>
      <c r="AK212">
        <v>9</v>
      </c>
      <c r="AL212" t="s">
        <v>92</v>
      </c>
      <c r="AM212" t="s">
        <v>93</v>
      </c>
      <c r="AN212" t="s">
        <v>94</v>
      </c>
      <c r="AO212" t="s">
        <v>95</v>
      </c>
      <c r="AP212" t="s">
        <v>96</v>
      </c>
      <c r="AQ212" t="s">
        <v>74</v>
      </c>
      <c r="AR212" t="s">
        <v>97</v>
      </c>
      <c r="AS212" t="s">
        <v>98</v>
      </c>
      <c r="AT212" t="s">
        <v>137</v>
      </c>
      <c r="AU212">
        <v>2019</v>
      </c>
      <c r="AV212">
        <v>64</v>
      </c>
      <c r="AW212">
        <v>21</v>
      </c>
      <c r="AX212" t="s">
        <v>74</v>
      </c>
      <c r="AY212" t="s">
        <v>74</v>
      </c>
      <c r="AZ212" t="s">
        <v>74</v>
      </c>
      <c r="BA212" t="s">
        <v>74</v>
      </c>
      <c r="BB212" t="s">
        <v>74</v>
      </c>
      <c r="BC212" t="s">
        <v>74</v>
      </c>
      <c r="BD212">
        <v>215020</v>
      </c>
      <c r="BE212" t="s">
        <v>3551</v>
      </c>
      <c r="BF212" t="str">
        <f>HYPERLINK("http://dx.doi.org/10.1088/1361-6560/ab467f","http://dx.doi.org/10.1088/1361-6560/ab467f")</f>
        <v>http://dx.doi.org/10.1088/1361-6560/ab467f</v>
      </c>
      <c r="BG212" t="s">
        <v>74</v>
      </c>
      <c r="BH212" t="s">
        <v>74</v>
      </c>
      <c r="BI212">
        <v>12</v>
      </c>
      <c r="BJ212" t="s">
        <v>101</v>
      </c>
      <c r="BK212" t="s">
        <v>102</v>
      </c>
      <c r="BL212" t="s">
        <v>103</v>
      </c>
      <c r="BM212" t="s">
        <v>3552</v>
      </c>
      <c r="BN212">
        <v>31539892</v>
      </c>
      <c r="BO212" t="s">
        <v>105</v>
      </c>
      <c r="BP212" t="s">
        <v>74</v>
      </c>
      <c r="BQ212" t="s">
        <v>74</v>
      </c>
      <c r="BR212" t="s">
        <v>106</v>
      </c>
      <c r="BS212" t="s">
        <v>3553</v>
      </c>
      <c r="BT212" t="str">
        <f>HYPERLINK("https%3A%2F%2Fwww.webofscience.com%2Fwos%2Fwoscc%2Ffull-record%2FWOS:000494859900001","View Full Record in Web of Science")</f>
        <v>View Full Record in Web of Science</v>
      </c>
    </row>
    <row r="213" spans="1:72" x14ac:dyDescent="0.25">
      <c r="A213" t="s">
        <v>72</v>
      </c>
      <c r="B213" t="s">
        <v>3554</v>
      </c>
      <c r="C213" t="s">
        <v>74</v>
      </c>
      <c r="D213" t="s">
        <v>74</v>
      </c>
      <c r="E213" t="s">
        <v>74</v>
      </c>
      <c r="F213" t="s">
        <v>3555</v>
      </c>
      <c r="G213" t="s">
        <v>74</v>
      </c>
      <c r="H213" t="s">
        <v>74</v>
      </c>
      <c r="I213" t="s">
        <v>3556</v>
      </c>
      <c r="J213" t="s">
        <v>77</v>
      </c>
      <c r="K213" t="s">
        <v>74</v>
      </c>
      <c r="L213" t="s">
        <v>74</v>
      </c>
      <c r="M213" t="s">
        <v>78</v>
      </c>
      <c r="N213" t="s">
        <v>79</v>
      </c>
      <c r="O213" t="s">
        <v>74</v>
      </c>
      <c r="P213" t="s">
        <v>74</v>
      </c>
      <c r="Q213" t="s">
        <v>74</v>
      </c>
      <c r="R213" t="s">
        <v>74</v>
      </c>
      <c r="S213" t="s">
        <v>74</v>
      </c>
      <c r="T213" t="s">
        <v>3557</v>
      </c>
      <c r="U213" t="s">
        <v>3558</v>
      </c>
      <c r="V213" t="s">
        <v>3559</v>
      </c>
      <c r="W213" t="s">
        <v>3560</v>
      </c>
      <c r="X213" t="s">
        <v>2557</v>
      </c>
      <c r="Y213" t="s">
        <v>3561</v>
      </c>
      <c r="Z213" t="s">
        <v>3562</v>
      </c>
      <c r="AA213" t="s">
        <v>3563</v>
      </c>
      <c r="AB213" t="s">
        <v>74</v>
      </c>
      <c r="AC213" t="s">
        <v>3564</v>
      </c>
      <c r="AD213" t="s">
        <v>416</v>
      </c>
      <c r="AE213" t="s">
        <v>3565</v>
      </c>
      <c r="AF213" t="s">
        <v>74</v>
      </c>
      <c r="AG213">
        <v>67</v>
      </c>
      <c r="AH213">
        <v>17</v>
      </c>
      <c r="AI213">
        <v>20</v>
      </c>
      <c r="AJ213">
        <v>0</v>
      </c>
      <c r="AK213">
        <v>19</v>
      </c>
      <c r="AL213" t="s">
        <v>157</v>
      </c>
      <c r="AM213" t="s">
        <v>93</v>
      </c>
      <c r="AN213" t="s">
        <v>94</v>
      </c>
      <c r="AO213" t="s">
        <v>95</v>
      </c>
      <c r="AP213" t="s">
        <v>96</v>
      </c>
      <c r="AQ213" t="s">
        <v>74</v>
      </c>
      <c r="AR213" t="s">
        <v>97</v>
      </c>
      <c r="AS213" t="s">
        <v>98</v>
      </c>
      <c r="AT213" t="s">
        <v>509</v>
      </c>
      <c r="AU213">
        <v>2019</v>
      </c>
      <c r="AV213">
        <v>64</v>
      </c>
      <c r="AW213">
        <v>19</v>
      </c>
      <c r="AX213" t="s">
        <v>74</v>
      </c>
      <c r="AY213" t="s">
        <v>74</v>
      </c>
      <c r="AZ213" t="s">
        <v>74</v>
      </c>
      <c r="BA213" t="s">
        <v>74</v>
      </c>
      <c r="BB213" t="s">
        <v>74</v>
      </c>
      <c r="BC213" t="s">
        <v>74</v>
      </c>
      <c r="BD213">
        <v>195009</v>
      </c>
      <c r="BE213" t="s">
        <v>3566</v>
      </c>
      <c r="BF213" t="str">
        <f>HYPERLINK("http://dx.doi.org/10.1088/1361-6560/ab39c2","http://dx.doi.org/10.1088/1361-6560/ab39c2")</f>
        <v>http://dx.doi.org/10.1088/1361-6560/ab39c2</v>
      </c>
      <c r="BG213" t="s">
        <v>74</v>
      </c>
      <c r="BH213" t="s">
        <v>74</v>
      </c>
      <c r="BI213">
        <v>17</v>
      </c>
      <c r="BJ213" t="s">
        <v>101</v>
      </c>
      <c r="BK213" t="s">
        <v>102</v>
      </c>
      <c r="BL213" t="s">
        <v>103</v>
      </c>
      <c r="BM213" t="s">
        <v>723</v>
      </c>
      <c r="BN213">
        <v>31394518</v>
      </c>
      <c r="BO213" t="s">
        <v>105</v>
      </c>
      <c r="BP213" t="s">
        <v>74</v>
      </c>
      <c r="BQ213" t="s">
        <v>74</v>
      </c>
      <c r="BR213" t="s">
        <v>106</v>
      </c>
      <c r="BS213" t="s">
        <v>3567</v>
      </c>
      <c r="BT213" t="str">
        <f>HYPERLINK("https%3A%2F%2Fwww.webofscience.com%2Fwos%2Fwoscc%2Ffull-record%2FWOS:000505953700003","View Full Record in Web of Science")</f>
        <v>View Full Record in Web of Science</v>
      </c>
    </row>
    <row r="214" spans="1:72" x14ac:dyDescent="0.25">
      <c r="A214" t="s">
        <v>72</v>
      </c>
      <c r="B214" t="s">
        <v>3568</v>
      </c>
      <c r="C214" t="s">
        <v>74</v>
      </c>
      <c r="D214" t="s">
        <v>74</v>
      </c>
      <c r="E214" t="s">
        <v>74</v>
      </c>
      <c r="F214" t="s">
        <v>3569</v>
      </c>
      <c r="G214" t="s">
        <v>74</v>
      </c>
      <c r="H214" t="s">
        <v>74</v>
      </c>
      <c r="I214" t="s">
        <v>3570</v>
      </c>
      <c r="J214" t="s">
        <v>77</v>
      </c>
      <c r="K214" t="s">
        <v>74</v>
      </c>
      <c r="L214" t="s">
        <v>74</v>
      </c>
      <c r="M214" t="s">
        <v>78</v>
      </c>
      <c r="N214" t="s">
        <v>79</v>
      </c>
      <c r="O214" t="s">
        <v>74</v>
      </c>
      <c r="P214" t="s">
        <v>74</v>
      </c>
      <c r="Q214" t="s">
        <v>74</v>
      </c>
      <c r="R214" t="s">
        <v>74</v>
      </c>
      <c r="S214" t="s">
        <v>74</v>
      </c>
      <c r="T214" t="s">
        <v>3571</v>
      </c>
      <c r="U214" t="s">
        <v>3572</v>
      </c>
      <c r="V214" t="s">
        <v>3573</v>
      </c>
      <c r="W214" t="s">
        <v>3574</v>
      </c>
      <c r="X214" t="s">
        <v>3575</v>
      </c>
      <c r="Y214" t="s">
        <v>3576</v>
      </c>
      <c r="Z214" t="s">
        <v>3577</v>
      </c>
      <c r="AA214" t="s">
        <v>3578</v>
      </c>
      <c r="AB214" t="s">
        <v>3579</v>
      </c>
      <c r="AC214" t="s">
        <v>3580</v>
      </c>
      <c r="AD214" t="s">
        <v>3581</v>
      </c>
      <c r="AE214" t="s">
        <v>3582</v>
      </c>
      <c r="AF214" t="s">
        <v>74</v>
      </c>
      <c r="AG214">
        <v>57</v>
      </c>
      <c r="AH214">
        <v>16</v>
      </c>
      <c r="AI214">
        <v>16</v>
      </c>
      <c r="AJ214">
        <v>0</v>
      </c>
      <c r="AK214">
        <v>7</v>
      </c>
      <c r="AL214" t="s">
        <v>92</v>
      </c>
      <c r="AM214" t="s">
        <v>93</v>
      </c>
      <c r="AN214" t="s">
        <v>94</v>
      </c>
      <c r="AO214" t="s">
        <v>95</v>
      </c>
      <c r="AP214" t="s">
        <v>96</v>
      </c>
      <c r="AQ214" t="s">
        <v>74</v>
      </c>
      <c r="AR214" t="s">
        <v>97</v>
      </c>
      <c r="AS214" t="s">
        <v>98</v>
      </c>
      <c r="AT214" t="s">
        <v>176</v>
      </c>
      <c r="AU214">
        <v>2019</v>
      </c>
      <c r="AV214">
        <v>64</v>
      </c>
      <c r="AW214">
        <v>17</v>
      </c>
      <c r="AX214" t="s">
        <v>74</v>
      </c>
      <c r="AY214" t="s">
        <v>74</v>
      </c>
      <c r="AZ214" t="s">
        <v>74</v>
      </c>
      <c r="BA214" t="s">
        <v>74</v>
      </c>
      <c r="BB214" t="s">
        <v>74</v>
      </c>
      <c r="BC214" t="s">
        <v>74</v>
      </c>
      <c r="BD214">
        <v>175021</v>
      </c>
      <c r="BE214" t="s">
        <v>3583</v>
      </c>
      <c r="BF214" t="str">
        <f>HYPERLINK("http://dx.doi.org/10.1088/1361-6560/ab2c7c","http://dx.doi.org/10.1088/1361-6560/ab2c7c")</f>
        <v>http://dx.doi.org/10.1088/1361-6560/ab2c7c</v>
      </c>
      <c r="BG214" t="s">
        <v>74</v>
      </c>
      <c r="BH214" t="s">
        <v>74</v>
      </c>
      <c r="BI214">
        <v>14</v>
      </c>
      <c r="BJ214" t="s">
        <v>101</v>
      </c>
      <c r="BK214" t="s">
        <v>102</v>
      </c>
      <c r="BL214" t="s">
        <v>103</v>
      </c>
      <c r="BM214" t="s">
        <v>178</v>
      </c>
      <c r="BN214">
        <v>31239419</v>
      </c>
      <c r="BO214" t="s">
        <v>1993</v>
      </c>
      <c r="BP214" t="s">
        <v>74</v>
      </c>
      <c r="BQ214" t="s">
        <v>74</v>
      </c>
      <c r="BR214" t="s">
        <v>106</v>
      </c>
      <c r="BS214" t="s">
        <v>3584</v>
      </c>
      <c r="BT214" t="str">
        <f>HYPERLINK("https%3A%2F%2Fwww.webofscience.com%2Fwos%2Fwoscc%2Ffull-record%2FWOS:000484728400006","View Full Record in Web of Science")</f>
        <v>View Full Record in Web of Science</v>
      </c>
    </row>
    <row r="215" spans="1:72" x14ac:dyDescent="0.25">
      <c r="A215" t="s">
        <v>72</v>
      </c>
      <c r="B215" t="s">
        <v>3585</v>
      </c>
      <c r="C215" t="s">
        <v>74</v>
      </c>
      <c r="D215" t="s">
        <v>74</v>
      </c>
      <c r="E215" t="s">
        <v>74</v>
      </c>
      <c r="F215" t="s">
        <v>3586</v>
      </c>
      <c r="G215" t="s">
        <v>74</v>
      </c>
      <c r="H215" t="s">
        <v>74</v>
      </c>
      <c r="I215" t="s">
        <v>3587</v>
      </c>
      <c r="J215" t="s">
        <v>77</v>
      </c>
      <c r="K215" t="s">
        <v>74</v>
      </c>
      <c r="L215" t="s">
        <v>74</v>
      </c>
      <c r="M215" t="s">
        <v>78</v>
      </c>
      <c r="N215" t="s">
        <v>79</v>
      </c>
      <c r="O215" t="s">
        <v>74</v>
      </c>
      <c r="P215" t="s">
        <v>74</v>
      </c>
      <c r="Q215" t="s">
        <v>74</v>
      </c>
      <c r="R215" t="s">
        <v>74</v>
      </c>
      <c r="S215" t="s">
        <v>74</v>
      </c>
      <c r="T215" t="s">
        <v>3588</v>
      </c>
      <c r="U215" t="s">
        <v>3589</v>
      </c>
      <c r="V215" t="s">
        <v>3590</v>
      </c>
      <c r="W215" t="s">
        <v>3591</v>
      </c>
      <c r="X215" t="s">
        <v>2791</v>
      </c>
      <c r="Y215" t="s">
        <v>3592</v>
      </c>
      <c r="Z215" t="s">
        <v>3593</v>
      </c>
      <c r="AA215" t="s">
        <v>74</v>
      </c>
      <c r="AB215" t="s">
        <v>3594</v>
      </c>
      <c r="AC215" t="s">
        <v>3595</v>
      </c>
      <c r="AD215" t="s">
        <v>3595</v>
      </c>
      <c r="AE215" t="s">
        <v>3596</v>
      </c>
      <c r="AF215" t="s">
        <v>74</v>
      </c>
      <c r="AG215">
        <v>33</v>
      </c>
      <c r="AH215">
        <v>8</v>
      </c>
      <c r="AI215">
        <v>8</v>
      </c>
      <c r="AJ215">
        <v>0</v>
      </c>
      <c r="AK215">
        <v>3</v>
      </c>
      <c r="AL215" t="s">
        <v>157</v>
      </c>
      <c r="AM215" t="s">
        <v>93</v>
      </c>
      <c r="AN215" t="s">
        <v>94</v>
      </c>
      <c r="AO215" t="s">
        <v>95</v>
      </c>
      <c r="AP215" t="s">
        <v>96</v>
      </c>
      <c r="AQ215" t="s">
        <v>74</v>
      </c>
      <c r="AR215" t="s">
        <v>97</v>
      </c>
      <c r="AS215" t="s">
        <v>98</v>
      </c>
      <c r="AT215" t="s">
        <v>196</v>
      </c>
      <c r="AU215">
        <v>2019</v>
      </c>
      <c r="AV215">
        <v>64</v>
      </c>
      <c r="AW215">
        <v>16</v>
      </c>
      <c r="AX215" t="s">
        <v>74</v>
      </c>
      <c r="AY215" t="s">
        <v>74</v>
      </c>
      <c r="AZ215" t="s">
        <v>74</v>
      </c>
      <c r="BA215" t="s">
        <v>74</v>
      </c>
      <c r="BB215" t="s">
        <v>74</v>
      </c>
      <c r="BC215" t="s">
        <v>74</v>
      </c>
      <c r="BD215">
        <v>165013</v>
      </c>
      <c r="BE215" t="s">
        <v>3597</v>
      </c>
      <c r="BF215" t="str">
        <f>HYPERLINK("http://dx.doi.org/10.1088/1361-6560/ab1df9","http://dx.doi.org/10.1088/1361-6560/ab1df9")</f>
        <v>http://dx.doi.org/10.1088/1361-6560/ab1df9</v>
      </c>
      <c r="BG215" t="s">
        <v>74</v>
      </c>
      <c r="BH215" t="s">
        <v>74</v>
      </c>
      <c r="BI215">
        <v>14</v>
      </c>
      <c r="BJ215" t="s">
        <v>101</v>
      </c>
      <c r="BK215" t="s">
        <v>102</v>
      </c>
      <c r="BL215" t="s">
        <v>103</v>
      </c>
      <c r="BM215" t="s">
        <v>2045</v>
      </c>
      <c r="BN215">
        <v>31039556</v>
      </c>
      <c r="BO215" t="s">
        <v>270</v>
      </c>
      <c r="BP215" t="s">
        <v>74</v>
      </c>
      <c r="BQ215" t="s">
        <v>74</v>
      </c>
      <c r="BR215" t="s">
        <v>106</v>
      </c>
      <c r="BS215" t="s">
        <v>3598</v>
      </c>
      <c r="BT215" t="str">
        <f>HYPERLINK("https%3A%2F%2Fwww.webofscience.com%2Fwos%2Fwoscc%2Ffull-record%2FWOS:000482525700004","View Full Record in Web of Science")</f>
        <v>View Full Record in Web of Science</v>
      </c>
    </row>
    <row r="216" spans="1:72" x14ac:dyDescent="0.25">
      <c r="A216" t="s">
        <v>72</v>
      </c>
      <c r="B216" t="s">
        <v>3599</v>
      </c>
      <c r="C216" t="s">
        <v>74</v>
      </c>
      <c r="D216" t="s">
        <v>74</v>
      </c>
      <c r="E216" t="s">
        <v>74</v>
      </c>
      <c r="F216" t="s">
        <v>3600</v>
      </c>
      <c r="G216" t="s">
        <v>74</v>
      </c>
      <c r="H216" t="s">
        <v>74</v>
      </c>
      <c r="I216" t="s">
        <v>3601</v>
      </c>
      <c r="J216" t="s">
        <v>77</v>
      </c>
      <c r="K216" t="s">
        <v>74</v>
      </c>
      <c r="L216" t="s">
        <v>74</v>
      </c>
      <c r="M216" t="s">
        <v>78</v>
      </c>
      <c r="N216" t="s">
        <v>79</v>
      </c>
      <c r="O216" t="s">
        <v>74</v>
      </c>
      <c r="P216" t="s">
        <v>74</v>
      </c>
      <c r="Q216" t="s">
        <v>74</v>
      </c>
      <c r="R216" t="s">
        <v>74</v>
      </c>
      <c r="S216" t="s">
        <v>74</v>
      </c>
      <c r="T216" t="s">
        <v>3602</v>
      </c>
      <c r="U216" t="s">
        <v>3603</v>
      </c>
      <c r="V216" t="s">
        <v>3604</v>
      </c>
      <c r="W216" t="s">
        <v>3605</v>
      </c>
      <c r="X216" t="s">
        <v>3606</v>
      </c>
      <c r="Y216" t="s">
        <v>3607</v>
      </c>
      <c r="Z216" t="s">
        <v>603</v>
      </c>
      <c r="AA216" t="s">
        <v>3608</v>
      </c>
      <c r="AB216" t="s">
        <v>3609</v>
      </c>
      <c r="AC216" t="s">
        <v>606</v>
      </c>
      <c r="AD216" t="s">
        <v>607</v>
      </c>
      <c r="AE216" t="s">
        <v>3610</v>
      </c>
      <c r="AF216" t="s">
        <v>74</v>
      </c>
      <c r="AG216">
        <v>36</v>
      </c>
      <c r="AH216">
        <v>24</v>
      </c>
      <c r="AI216">
        <v>26</v>
      </c>
      <c r="AJ216">
        <v>3</v>
      </c>
      <c r="AK216">
        <v>15</v>
      </c>
      <c r="AL216" t="s">
        <v>92</v>
      </c>
      <c r="AM216" t="s">
        <v>93</v>
      </c>
      <c r="AN216" t="s">
        <v>94</v>
      </c>
      <c r="AO216" t="s">
        <v>95</v>
      </c>
      <c r="AP216" t="s">
        <v>96</v>
      </c>
      <c r="AQ216" t="s">
        <v>74</v>
      </c>
      <c r="AR216" t="s">
        <v>97</v>
      </c>
      <c r="AS216" t="s">
        <v>98</v>
      </c>
      <c r="AT216" t="s">
        <v>196</v>
      </c>
      <c r="AU216">
        <v>2019</v>
      </c>
      <c r="AV216">
        <v>64</v>
      </c>
      <c r="AW216">
        <v>16</v>
      </c>
      <c r="AX216" t="s">
        <v>74</v>
      </c>
      <c r="AY216" t="s">
        <v>74</v>
      </c>
      <c r="AZ216" t="s">
        <v>74</v>
      </c>
      <c r="BA216" t="s">
        <v>74</v>
      </c>
      <c r="BB216" t="s">
        <v>74</v>
      </c>
      <c r="BC216" t="s">
        <v>74</v>
      </c>
      <c r="BD216">
        <v>165020</v>
      </c>
      <c r="BE216" t="s">
        <v>3611</v>
      </c>
      <c r="BF216" t="str">
        <f>HYPERLINK("http://dx.doi.org/10.1088/1361-6560/ab2d66","http://dx.doi.org/10.1088/1361-6560/ab2d66")</f>
        <v>http://dx.doi.org/10.1088/1361-6560/ab2d66</v>
      </c>
      <c r="BG216" t="s">
        <v>74</v>
      </c>
      <c r="BH216" t="s">
        <v>74</v>
      </c>
      <c r="BI216">
        <v>17</v>
      </c>
      <c r="BJ216" t="s">
        <v>101</v>
      </c>
      <c r="BK216" t="s">
        <v>102</v>
      </c>
      <c r="BL216" t="s">
        <v>103</v>
      </c>
      <c r="BM216" t="s">
        <v>2045</v>
      </c>
      <c r="BN216">
        <v>31247607</v>
      </c>
      <c r="BO216" t="s">
        <v>105</v>
      </c>
      <c r="BP216" t="s">
        <v>74</v>
      </c>
      <c r="BQ216" t="s">
        <v>74</v>
      </c>
      <c r="BR216" t="s">
        <v>106</v>
      </c>
      <c r="BS216" t="s">
        <v>3612</v>
      </c>
      <c r="BT216" t="str">
        <f>HYPERLINK("https%3A%2F%2Fwww.webofscience.com%2Fwos%2Fwoscc%2Ffull-record%2FWOS:000482525700011","View Full Record in Web of Science")</f>
        <v>View Full Record in Web of Science</v>
      </c>
    </row>
    <row r="217" spans="1:72" x14ac:dyDescent="0.25">
      <c r="A217" t="s">
        <v>72</v>
      </c>
      <c r="B217" t="s">
        <v>3613</v>
      </c>
      <c r="C217" t="s">
        <v>74</v>
      </c>
      <c r="D217" t="s">
        <v>74</v>
      </c>
      <c r="E217" t="s">
        <v>74</v>
      </c>
      <c r="F217" t="s">
        <v>3614</v>
      </c>
      <c r="G217" t="s">
        <v>74</v>
      </c>
      <c r="H217" t="s">
        <v>74</v>
      </c>
      <c r="I217" t="s">
        <v>3615</v>
      </c>
      <c r="J217" t="s">
        <v>77</v>
      </c>
      <c r="K217" t="s">
        <v>74</v>
      </c>
      <c r="L217" t="s">
        <v>74</v>
      </c>
      <c r="M217" t="s">
        <v>78</v>
      </c>
      <c r="N217" t="s">
        <v>79</v>
      </c>
      <c r="O217" t="s">
        <v>74</v>
      </c>
      <c r="P217" t="s">
        <v>74</v>
      </c>
      <c r="Q217" t="s">
        <v>74</v>
      </c>
      <c r="R217" t="s">
        <v>74</v>
      </c>
      <c r="S217" t="s">
        <v>74</v>
      </c>
      <c r="T217" t="s">
        <v>3616</v>
      </c>
      <c r="U217" t="s">
        <v>3617</v>
      </c>
      <c r="V217" t="s">
        <v>3618</v>
      </c>
      <c r="W217" t="s">
        <v>3619</v>
      </c>
      <c r="X217" t="s">
        <v>3620</v>
      </c>
      <c r="Y217" t="s">
        <v>3621</v>
      </c>
      <c r="Z217" t="s">
        <v>3622</v>
      </c>
      <c r="AA217" t="s">
        <v>3623</v>
      </c>
      <c r="AB217" t="s">
        <v>3624</v>
      </c>
      <c r="AC217" t="s">
        <v>3625</v>
      </c>
      <c r="AD217" t="s">
        <v>3626</v>
      </c>
      <c r="AE217" t="s">
        <v>3627</v>
      </c>
      <c r="AF217" t="s">
        <v>74</v>
      </c>
      <c r="AG217">
        <v>50</v>
      </c>
      <c r="AH217">
        <v>52</v>
      </c>
      <c r="AI217">
        <v>54</v>
      </c>
      <c r="AJ217">
        <v>2</v>
      </c>
      <c r="AK217">
        <v>20</v>
      </c>
      <c r="AL217" t="s">
        <v>92</v>
      </c>
      <c r="AM217" t="s">
        <v>93</v>
      </c>
      <c r="AN217" t="s">
        <v>94</v>
      </c>
      <c r="AO217" t="s">
        <v>95</v>
      </c>
      <c r="AP217" t="s">
        <v>96</v>
      </c>
      <c r="AQ217" t="s">
        <v>74</v>
      </c>
      <c r="AR217" t="s">
        <v>97</v>
      </c>
      <c r="AS217" t="s">
        <v>98</v>
      </c>
      <c r="AT217" t="s">
        <v>196</v>
      </c>
      <c r="AU217">
        <v>2019</v>
      </c>
      <c r="AV217">
        <v>64</v>
      </c>
      <c r="AW217">
        <v>16</v>
      </c>
      <c r="AX217" t="s">
        <v>74</v>
      </c>
      <c r="AY217" t="s">
        <v>74</v>
      </c>
      <c r="AZ217" t="s">
        <v>74</v>
      </c>
      <c r="BA217" t="s">
        <v>74</v>
      </c>
      <c r="BB217" t="s">
        <v>74</v>
      </c>
      <c r="BC217" t="s">
        <v>74</v>
      </c>
      <c r="BD217">
        <v>165008</v>
      </c>
      <c r="BE217" t="s">
        <v>3628</v>
      </c>
      <c r="BF217" t="str">
        <f>HYPERLINK("http://dx.doi.org/10.1088/1361-6560/ab2f47","http://dx.doi.org/10.1088/1361-6560/ab2f47")</f>
        <v>http://dx.doi.org/10.1088/1361-6560/ab2f47</v>
      </c>
      <c r="BG217" t="s">
        <v>74</v>
      </c>
      <c r="BH217" t="s">
        <v>74</v>
      </c>
      <c r="BI217">
        <v>11</v>
      </c>
      <c r="BJ217" t="s">
        <v>101</v>
      </c>
      <c r="BK217" t="s">
        <v>102</v>
      </c>
      <c r="BL217" t="s">
        <v>103</v>
      </c>
      <c r="BM217" t="s">
        <v>1076</v>
      </c>
      <c r="BN217">
        <v>31272095</v>
      </c>
      <c r="BO217" t="s">
        <v>105</v>
      </c>
      <c r="BP217" t="s">
        <v>74</v>
      </c>
      <c r="BQ217" t="s">
        <v>74</v>
      </c>
      <c r="BR217" t="s">
        <v>106</v>
      </c>
      <c r="BS217" t="s">
        <v>3629</v>
      </c>
      <c r="BT217" t="str">
        <f>HYPERLINK("https%3A%2F%2Fwww.webofscience.com%2Fwos%2Fwoscc%2Ffull-record%2FWOS:000481852600008","View Full Record in Web of Science")</f>
        <v>View Full Record in Web of Science</v>
      </c>
    </row>
    <row r="218" spans="1:72" x14ac:dyDescent="0.25">
      <c r="A218" t="s">
        <v>72</v>
      </c>
      <c r="B218" t="s">
        <v>3630</v>
      </c>
      <c r="C218" t="s">
        <v>74</v>
      </c>
      <c r="D218" t="s">
        <v>74</v>
      </c>
      <c r="E218" t="s">
        <v>74</v>
      </c>
      <c r="F218" t="s">
        <v>3631</v>
      </c>
      <c r="G218" t="s">
        <v>74</v>
      </c>
      <c r="H218" t="s">
        <v>74</v>
      </c>
      <c r="I218" t="s">
        <v>3632</v>
      </c>
      <c r="J218" t="s">
        <v>77</v>
      </c>
      <c r="K218" t="s">
        <v>74</v>
      </c>
      <c r="L218" t="s">
        <v>74</v>
      </c>
      <c r="M218" t="s">
        <v>78</v>
      </c>
      <c r="N218" t="s">
        <v>79</v>
      </c>
      <c r="O218" t="s">
        <v>74</v>
      </c>
      <c r="P218" t="s">
        <v>74</v>
      </c>
      <c r="Q218" t="s">
        <v>74</v>
      </c>
      <c r="R218" t="s">
        <v>74</v>
      </c>
      <c r="S218" t="s">
        <v>74</v>
      </c>
      <c r="T218" t="s">
        <v>3633</v>
      </c>
      <c r="U218" t="s">
        <v>3634</v>
      </c>
      <c r="V218" t="s">
        <v>3635</v>
      </c>
      <c r="W218" t="s">
        <v>3636</v>
      </c>
      <c r="X218" t="s">
        <v>3637</v>
      </c>
      <c r="Y218" t="s">
        <v>3638</v>
      </c>
      <c r="Z218" t="s">
        <v>1499</v>
      </c>
      <c r="AA218" t="s">
        <v>3639</v>
      </c>
      <c r="AB218" t="s">
        <v>3640</v>
      </c>
      <c r="AC218" t="s">
        <v>3641</v>
      </c>
      <c r="AD218" t="s">
        <v>1503</v>
      </c>
      <c r="AE218" t="s">
        <v>3642</v>
      </c>
      <c r="AF218" t="s">
        <v>74</v>
      </c>
      <c r="AG218">
        <v>10</v>
      </c>
      <c r="AH218">
        <v>3</v>
      </c>
      <c r="AI218">
        <v>3</v>
      </c>
      <c r="AJ218">
        <v>0</v>
      </c>
      <c r="AK218">
        <v>3</v>
      </c>
      <c r="AL218" t="s">
        <v>92</v>
      </c>
      <c r="AM218" t="s">
        <v>93</v>
      </c>
      <c r="AN218" t="s">
        <v>94</v>
      </c>
      <c r="AO218" t="s">
        <v>95</v>
      </c>
      <c r="AP218" t="s">
        <v>96</v>
      </c>
      <c r="AQ218" t="s">
        <v>74</v>
      </c>
      <c r="AR218" t="s">
        <v>97</v>
      </c>
      <c r="AS218" t="s">
        <v>98</v>
      </c>
      <c r="AT218" t="s">
        <v>214</v>
      </c>
      <c r="AU218">
        <v>2019</v>
      </c>
      <c r="AV218">
        <v>64</v>
      </c>
      <c r="AW218">
        <v>13</v>
      </c>
      <c r="AX218" t="s">
        <v>74</v>
      </c>
      <c r="AY218" t="s">
        <v>74</v>
      </c>
      <c r="AZ218" t="s">
        <v>74</v>
      </c>
      <c r="BA218" t="s">
        <v>74</v>
      </c>
      <c r="BB218" t="s">
        <v>74</v>
      </c>
      <c r="BC218" t="s">
        <v>74</v>
      </c>
      <c r="BD218" t="s">
        <v>3643</v>
      </c>
      <c r="BE218" t="s">
        <v>3644</v>
      </c>
      <c r="BF218" t="str">
        <f>HYPERLINK("http://dx.doi.org/10.1088/1361-6560/ab2920","http://dx.doi.org/10.1088/1361-6560/ab2920")</f>
        <v>http://dx.doi.org/10.1088/1361-6560/ab2920</v>
      </c>
      <c r="BG218" t="s">
        <v>74</v>
      </c>
      <c r="BH218" t="s">
        <v>74</v>
      </c>
      <c r="BI218">
        <v>6</v>
      </c>
      <c r="BJ218" t="s">
        <v>101</v>
      </c>
      <c r="BK218" t="s">
        <v>102</v>
      </c>
      <c r="BL218" t="s">
        <v>103</v>
      </c>
      <c r="BM218" t="s">
        <v>3645</v>
      </c>
      <c r="BN218">
        <v>31189139</v>
      </c>
      <c r="BO218" t="s">
        <v>74</v>
      </c>
      <c r="BP218" t="s">
        <v>74</v>
      </c>
      <c r="BQ218" t="s">
        <v>74</v>
      </c>
      <c r="BR218" t="s">
        <v>106</v>
      </c>
      <c r="BS218" t="s">
        <v>3646</v>
      </c>
      <c r="BT218" t="str">
        <f>HYPERLINK("https%3A%2F%2Fwww.webofscience.com%2Fwos%2Fwoscc%2Ffull-record%2FWOS:000473700100001","View Full Record in Web of Science")</f>
        <v>View Full Record in Web of Science</v>
      </c>
    </row>
    <row r="219" spans="1:72" x14ac:dyDescent="0.25">
      <c r="A219" t="s">
        <v>72</v>
      </c>
      <c r="B219" t="s">
        <v>3647</v>
      </c>
      <c r="C219" t="s">
        <v>74</v>
      </c>
      <c r="D219" t="s">
        <v>74</v>
      </c>
      <c r="E219" t="s">
        <v>74</v>
      </c>
      <c r="F219" t="s">
        <v>3648</v>
      </c>
      <c r="G219" t="s">
        <v>74</v>
      </c>
      <c r="H219" t="s">
        <v>74</v>
      </c>
      <c r="I219" t="s">
        <v>3649</v>
      </c>
      <c r="J219" t="s">
        <v>77</v>
      </c>
      <c r="K219" t="s">
        <v>74</v>
      </c>
      <c r="L219" t="s">
        <v>74</v>
      </c>
      <c r="M219" t="s">
        <v>78</v>
      </c>
      <c r="N219" t="s">
        <v>79</v>
      </c>
      <c r="O219" t="s">
        <v>74</v>
      </c>
      <c r="P219" t="s">
        <v>74</v>
      </c>
      <c r="Q219" t="s">
        <v>74</v>
      </c>
      <c r="R219" t="s">
        <v>74</v>
      </c>
      <c r="S219" t="s">
        <v>74</v>
      </c>
      <c r="T219" t="s">
        <v>3650</v>
      </c>
      <c r="U219" t="s">
        <v>3651</v>
      </c>
      <c r="V219" t="s">
        <v>3652</v>
      </c>
      <c r="W219" t="s">
        <v>3653</v>
      </c>
      <c r="X219" t="s">
        <v>3654</v>
      </c>
      <c r="Y219" t="s">
        <v>3655</v>
      </c>
      <c r="Z219" t="s">
        <v>3656</v>
      </c>
      <c r="AA219" t="s">
        <v>3657</v>
      </c>
      <c r="AB219" t="s">
        <v>3658</v>
      </c>
      <c r="AC219" t="s">
        <v>3659</v>
      </c>
      <c r="AD219" t="s">
        <v>3660</v>
      </c>
      <c r="AE219" t="s">
        <v>3661</v>
      </c>
      <c r="AF219" t="s">
        <v>74</v>
      </c>
      <c r="AG219">
        <v>50</v>
      </c>
      <c r="AH219">
        <v>36</v>
      </c>
      <c r="AI219">
        <v>37</v>
      </c>
      <c r="AJ219">
        <v>3</v>
      </c>
      <c r="AK219">
        <v>29</v>
      </c>
      <c r="AL219" t="s">
        <v>92</v>
      </c>
      <c r="AM219" t="s">
        <v>93</v>
      </c>
      <c r="AN219" t="s">
        <v>94</v>
      </c>
      <c r="AO219" t="s">
        <v>95</v>
      </c>
      <c r="AP219" t="s">
        <v>96</v>
      </c>
      <c r="AQ219" t="s">
        <v>74</v>
      </c>
      <c r="AR219" t="s">
        <v>97</v>
      </c>
      <c r="AS219" t="s">
        <v>98</v>
      </c>
      <c r="AT219" t="s">
        <v>214</v>
      </c>
      <c r="AU219">
        <v>2019</v>
      </c>
      <c r="AV219">
        <v>64</v>
      </c>
      <c r="AW219">
        <v>14</v>
      </c>
      <c r="AX219" t="s">
        <v>74</v>
      </c>
      <c r="AY219" t="s">
        <v>74</v>
      </c>
      <c r="AZ219" t="s">
        <v>74</v>
      </c>
      <c r="BA219" t="s">
        <v>74</v>
      </c>
      <c r="BB219" t="s">
        <v>74</v>
      </c>
      <c r="BC219" t="s">
        <v>74</v>
      </c>
      <c r="BD219">
        <v>145004</v>
      </c>
      <c r="BE219" t="s">
        <v>3662</v>
      </c>
      <c r="BF219" t="str">
        <f>HYPERLINK("http://dx.doi.org/10.1088/1361-6560/ab23a3","http://dx.doi.org/10.1088/1361-6560/ab23a3")</f>
        <v>http://dx.doi.org/10.1088/1361-6560/ab23a3</v>
      </c>
      <c r="BG219" t="s">
        <v>74</v>
      </c>
      <c r="BH219" t="s">
        <v>74</v>
      </c>
      <c r="BI219">
        <v>15</v>
      </c>
      <c r="BJ219" t="s">
        <v>101</v>
      </c>
      <c r="BK219" t="s">
        <v>102</v>
      </c>
      <c r="BL219" t="s">
        <v>103</v>
      </c>
      <c r="BM219" t="s">
        <v>529</v>
      </c>
      <c r="BN219">
        <v>31117056</v>
      </c>
      <c r="BO219" t="s">
        <v>420</v>
      </c>
      <c r="BP219" t="s">
        <v>74</v>
      </c>
      <c r="BQ219" t="s">
        <v>74</v>
      </c>
      <c r="BR219" t="s">
        <v>106</v>
      </c>
      <c r="BS219" t="s">
        <v>3663</v>
      </c>
      <c r="BT219" t="str">
        <f>HYPERLINK("https%3A%2F%2Fwww.webofscience.com%2Fwos%2Fwoscc%2Ffull-record%2FWOS:000475378800004","View Full Record in Web of Science")</f>
        <v>View Full Record in Web of Science</v>
      </c>
    </row>
    <row r="220" spans="1:72" x14ac:dyDescent="0.25">
      <c r="A220" t="s">
        <v>72</v>
      </c>
      <c r="B220" t="s">
        <v>3664</v>
      </c>
      <c r="C220" t="s">
        <v>74</v>
      </c>
      <c r="D220" t="s">
        <v>74</v>
      </c>
      <c r="E220" t="s">
        <v>74</v>
      </c>
      <c r="F220" t="s">
        <v>3665</v>
      </c>
      <c r="G220" t="s">
        <v>74</v>
      </c>
      <c r="H220" t="s">
        <v>74</v>
      </c>
      <c r="I220" t="s">
        <v>3666</v>
      </c>
      <c r="J220" t="s">
        <v>77</v>
      </c>
      <c r="K220" t="s">
        <v>74</v>
      </c>
      <c r="L220" t="s">
        <v>74</v>
      </c>
      <c r="M220" t="s">
        <v>78</v>
      </c>
      <c r="N220" t="s">
        <v>79</v>
      </c>
      <c r="O220" t="s">
        <v>74</v>
      </c>
      <c r="P220" t="s">
        <v>74</v>
      </c>
      <c r="Q220" t="s">
        <v>74</v>
      </c>
      <c r="R220" t="s">
        <v>74</v>
      </c>
      <c r="S220" t="s">
        <v>74</v>
      </c>
      <c r="T220" t="s">
        <v>3667</v>
      </c>
      <c r="U220" t="s">
        <v>3668</v>
      </c>
      <c r="V220" t="s">
        <v>3669</v>
      </c>
      <c r="W220" t="s">
        <v>3670</v>
      </c>
      <c r="X220" t="s">
        <v>3671</v>
      </c>
      <c r="Y220" t="s">
        <v>3672</v>
      </c>
      <c r="Z220" t="s">
        <v>3673</v>
      </c>
      <c r="AA220" t="s">
        <v>3674</v>
      </c>
      <c r="AB220" t="s">
        <v>3675</v>
      </c>
      <c r="AC220" t="s">
        <v>3676</v>
      </c>
      <c r="AD220" t="s">
        <v>3677</v>
      </c>
      <c r="AE220" t="s">
        <v>3678</v>
      </c>
      <c r="AF220" t="s">
        <v>74</v>
      </c>
      <c r="AG220">
        <v>16</v>
      </c>
      <c r="AH220">
        <v>4</v>
      </c>
      <c r="AI220">
        <v>4</v>
      </c>
      <c r="AJ220">
        <v>2</v>
      </c>
      <c r="AK220">
        <v>4</v>
      </c>
      <c r="AL220" t="s">
        <v>92</v>
      </c>
      <c r="AM220" t="s">
        <v>93</v>
      </c>
      <c r="AN220" t="s">
        <v>94</v>
      </c>
      <c r="AO220" t="s">
        <v>95</v>
      </c>
      <c r="AP220" t="s">
        <v>96</v>
      </c>
      <c r="AQ220" t="s">
        <v>74</v>
      </c>
      <c r="AR220" t="s">
        <v>97</v>
      </c>
      <c r="AS220" t="s">
        <v>98</v>
      </c>
      <c r="AT220" t="s">
        <v>250</v>
      </c>
      <c r="AU220">
        <v>2019</v>
      </c>
      <c r="AV220">
        <v>64</v>
      </c>
      <c r="AW220">
        <v>11</v>
      </c>
      <c r="AX220" t="s">
        <v>74</v>
      </c>
      <c r="AY220" t="s">
        <v>74</v>
      </c>
      <c r="AZ220" t="s">
        <v>74</v>
      </c>
      <c r="BA220" t="s">
        <v>74</v>
      </c>
      <c r="BB220" t="s">
        <v>74</v>
      </c>
      <c r="BC220" t="s">
        <v>74</v>
      </c>
      <c r="BD220">
        <v>115024</v>
      </c>
      <c r="BE220" t="s">
        <v>3679</v>
      </c>
      <c r="BF220" t="str">
        <f>HYPERLINK("http://dx.doi.org/10.1088/1361-6560/ab0db1","http://dx.doi.org/10.1088/1361-6560/ab0db1")</f>
        <v>http://dx.doi.org/10.1088/1361-6560/ab0db1</v>
      </c>
      <c r="BG220" t="s">
        <v>74</v>
      </c>
      <c r="BH220" t="s">
        <v>74</v>
      </c>
      <c r="BI220">
        <v>15</v>
      </c>
      <c r="BJ220" t="s">
        <v>101</v>
      </c>
      <c r="BK220" t="s">
        <v>102</v>
      </c>
      <c r="BL220" t="s">
        <v>103</v>
      </c>
      <c r="BM220" t="s">
        <v>305</v>
      </c>
      <c r="BN220">
        <v>30844767</v>
      </c>
      <c r="BO220" t="s">
        <v>74</v>
      </c>
      <c r="BP220" t="s">
        <v>74</v>
      </c>
      <c r="BQ220" t="s">
        <v>74</v>
      </c>
      <c r="BR220" t="s">
        <v>106</v>
      </c>
      <c r="BS220" t="s">
        <v>3680</v>
      </c>
      <c r="BT220" t="str">
        <f>HYPERLINK("https%3A%2F%2Fwww.webofscience.com%2Fwos%2Fwoscc%2Ffull-record%2FWOS:000470205600008","View Full Record in Web of Science")</f>
        <v>View Full Record in Web of Science</v>
      </c>
    </row>
    <row r="221" spans="1:72" x14ac:dyDescent="0.25">
      <c r="A221" t="s">
        <v>72</v>
      </c>
      <c r="B221" t="s">
        <v>3681</v>
      </c>
      <c r="C221" t="s">
        <v>74</v>
      </c>
      <c r="D221" t="s">
        <v>74</v>
      </c>
      <c r="E221" t="s">
        <v>74</v>
      </c>
      <c r="F221" t="s">
        <v>3682</v>
      </c>
      <c r="G221" t="s">
        <v>74</v>
      </c>
      <c r="H221" t="s">
        <v>74</v>
      </c>
      <c r="I221" t="s">
        <v>3683</v>
      </c>
      <c r="J221" t="s">
        <v>77</v>
      </c>
      <c r="K221" t="s">
        <v>74</v>
      </c>
      <c r="L221" t="s">
        <v>74</v>
      </c>
      <c r="M221" t="s">
        <v>78</v>
      </c>
      <c r="N221" t="s">
        <v>79</v>
      </c>
      <c r="O221" t="s">
        <v>74</v>
      </c>
      <c r="P221" t="s">
        <v>74</v>
      </c>
      <c r="Q221" t="s">
        <v>74</v>
      </c>
      <c r="R221" t="s">
        <v>74</v>
      </c>
      <c r="S221" t="s">
        <v>74</v>
      </c>
      <c r="T221" t="s">
        <v>3684</v>
      </c>
      <c r="U221" t="s">
        <v>3685</v>
      </c>
      <c r="V221" t="s">
        <v>3686</v>
      </c>
      <c r="W221" t="s">
        <v>3687</v>
      </c>
      <c r="X221" t="s">
        <v>3688</v>
      </c>
      <c r="Y221" t="s">
        <v>3689</v>
      </c>
      <c r="Z221" t="s">
        <v>3690</v>
      </c>
      <c r="AA221" t="s">
        <v>3432</v>
      </c>
      <c r="AB221" t="s">
        <v>3691</v>
      </c>
      <c r="AC221" t="s">
        <v>3692</v>
      </c>
      <c r="AD221" t="s">
        <v>3692</v>
      </c>
      <c r="AE221" t="s">
        <v>3693</v>
      </c>
      <c r="AF221" t="s">
        <v>74</v>
      </c>
      <c r="AG221">
        <v>29</v>
      </c>
      <c r="AH221">
        <v>16</v>
      </c>
      <c r="AI221">
        <v>16</v>
      </c>
      <c r="AJ221">
        <v>1</v>
      </c>
      <c r="AK221">
        <v>8</v>
      </c>
      <c r="AL221" t="s">
        <v>92</v>
      </c>
      <c r="AM221" t="s">
        <v>93</v>
      </c>
      <c r="AN221" t="s">
        <v>94</v>
      </c>
      <c r="AO221" t="s">
        <v>95</v>
      </c>
      <c r="AP221" t="s">
        <v>96</v>
      </c>
      <c r="AQ221" t="s">
        <v>74</v>
      </c>
      <c r="AR221" t="s">
        <v>97</v>
      </c>
      <c r="AS221" t="s">
        <v>98</v>
      </c>
      <c r="AT221" t="s">
        <v>250</v>
      </c>
      <c r="AU221">
        <v>2019</v>
      </c>
      <c r="AV221">
        <v>64</v>
      </c>
      <c r="AW221">
        <v>12</v>
      </c>
      <c r="AX221" t="s">
        <v>74</v>
      </c>
      <c r="AY221" t="s">
        <v>74</v>
      </c>
      <c r="AZ221" t="s">
        <v>74</v>
      </c>
      <c r="BA221" t="s">
        <v>74</v>
      </c>
      <c r="BB221" t="s">
        <v>74</v>
      </c>
      <c r="BC221" t="s">
        <v>74</v>
      </c>
      <c r="BD221">
        <v>125005</v>
      </c>
      <c r="BE221" t="s">
        <v>3694</v>
      </c>
      <c r="BF221" t="str">
        <f>HYPERLINK("http://dx.doi.org/10.1088/1361-6560/ab1d6f","http://dx.doi.org/10.1088/1361-6560/ab1d6f")</f>
        <v>http://dx.doi.org/10.1088/1361-6560/ab1d6f</v>
      </c>
      <c r="BG221" t="s">
        <v>74</v>
      </c>
      <c r="BH221" t="s">
        <v>74</v>
      </c>
      <c r="BI221">
        <v>10</v>
      </c>
      <c r="BJ221" t="s">
        <v>101</v>
      </c>
      <c r="BK221" t="s">
        <v>102</v>
      </c>
      <c r="BL221" t="s">
        <v>103</v>
      </c>
      <c r="BM221" t="s">
        <v>3695</v>
      </c>
      <c r="BN221">
        <v>31035271</v>
      </c>
      <c r="BO221" t="s">
        <v>74</v>
      </c>
      <c r="BP221" t="s">
        <v>74</v>
      </c>
      <c r="BQ221" t="s">
        <v>74</v>
      </c>
      <c r="BR221" t="s">
        <v>106</v>
      </c>
      <c r="BS221" t="s">
        <v>3696</v>
      </c>
      <c r="BT221" t="str">
        <f>HYPERLINK("https%3A%2F%2Fwww.webofscience.com%2Fwos%2Fwoscc%2Ffull-record%2FWOS:000471635900001","View Full Record in Web of Science")</f>
        <v>View Full Record in Web of Science</v>
      </c>
    </row>
    <row r="222" spans="1:72" x14ac:dyDescent="0.25">
      <c r="A222" t="s">
        <v>72</v>
      </c>
      <c r="B222" t="s">
        <v>3697</v>
      </c>
      <c r="C222" t="s">
        <v>74</v>
      </c>
      <c r="D222" t="s">
        <v>74</v>
      </c>
      <c r="E222" t="s">
        <v>74</v>
      </c>
      <c r="F222" t="s">
        <v>3698</v>
      </c>
      <c r="G222" t="s">
        <v>74</v>
      </c>
      <c r="H222" t="s">
        <v>74</v>
      </c>
      <c r="I222" t="s">
        <v>3699</v>
      </c>
      <c r="J222" t="s">
        <v>77</v>
      </c>
      <c r="K222" t="s">
        <v>74</v>
      </c>
      <c r="L222" t="s">
        <v>74</v>
      </c>
      <c r="M222" t="s">
        <v>78</v>
      </c>
      <c r="N222" t="s">
        <v>79</v>
      </c>
      <c r="O222" t="s">
        <v>74</v>
      </c>
      <c r="P222" t="s">
        <v>74</v>
      </c>
      <c r="Q222" t="s">
        <v>74</v>
      </c>
      <c r="R222" t="s">
        <v>74</v>
      </c>
      <c r="S222" t="s">
        <v>74</v>
      </c>
      <c r="T222" t="s">
        <v>3700</v>
      </c>
      <c r="U222" t="s">
        <v>3701</v>
      </c>
      <c r="V222" t="s">
        <v>3702</v>
      </c>
      <c r="W222" t="s">
        <v>3703</v>
      </c>
      <c r="X222" t="s">
        <v>3704</v>
      </c>
      <c r="Y222" t="s">
        <v>3705</v>
      </c>
      <c r="Z222" t="s">
        <v>3706</v>
      </c>
      <c r="AA222" t="s">
        <v>3707</v>
      </c>
      <c r="AB222" t="s">
        <v>74</v>
      </c>
      <c r="AC222" t="s">
        <v>3708</v>
      </c>
      <c r="AD222" t="s">
        <v>3709</v>
      </c>
      <c r="AE222" t="s">
        <v>3710</v>
      </c>
      <c r="AF222" t="s">
        <v>74</v>
      </c>
      <c r="AG222">
        <v>38</v>
      </c>
      <c r="AH222">
        <v>3</v>
      </c>
      <c r="AI222">
        <v>3</v>
      </c>
      <c r="AJ222">
        <v>0</v>
      </c>
      <c r="AK222">
        <v>9</v>
      </c>
      <c r="AL222" t="s">
        <v>92</v>
      </c>
      <c r="AM222" t="s">
        <v>93</v>
      </c>
      <c r="AN222" t="s">
        <v>94</v>
      </c>
      <c r="AO222" t="s">
        <v>95</v>
      </c>
      <c r="AP222" t="s">
        <v>96</v>
      </c>
      <c r="AQ222" t="s">
        <v>74</v>
      </c>
      <c r="AR222" t="s">
        <v>97</v>
      </c>
      <c r="AS222" t="s">
        <v>98</v>
      </c>
      <c r="AT222" t="s">
        <v>386</v>
      </c>
      <c r="AU222">
        <v>2019</v>
      </c>
      <c r="AV222">
        <v>64</v>
      </c>
      <c r="AW222">
        <v>7</v>
      </c>
      <c r="AX222" t="s">
        <v>74</v>
      </c>
      <c r="AY222" t="s">
        <v>74</v>
      </c>
      <c r="AZ222" t="s">
        <v>74</v>
      </c>
      <c r="BA222" t="s">
        <v>74</v>
      </c>
      <c r="BB222" t="s">
        <v>74</v>
      </c>
      <c r="BC222" t="s">
        <v>74</v>
      </c>
      <c r="BD222">
        <v>75001</v>
      </c>
      <c r="BE222" t="s">
        <v>3711</v>
      </c>
      <c r="BF222" t="str">
        <f>HYPERLINK("http://dx.doi.org/10.1088/1361-6560/ab055c","http://dx.doi.org/10.1088/1361-6560/ab055c")</f>
        <v>http://dx.doi.org/10.1088/1361-6560/ab055c</v>
      </c>
      <c r="BG222" t="s">
        <v>74</v>
      </c>
      <c r="BH222" t="s">
        <v>74</v>
      </c>
      <c r="BI222">
        <v>11</v>
      </c>
      <c r="BJ222" t="s">
        <v>101</v>
      </c>
      <c r="BK222" t="s">
        <v>102</v>
      </c>
      <c r="BL222" t="s">
        <v>103</v>
      </c>
      <c r="BM222" t="s">
        <v>2615</v>
      </c>
      <c r="BN222">
        <v>30736021</v>
      </c>
      <c r="BO222" t="s">
        <v>74</v>
      </c>
      <c r="BP222" t="s">
        <v>74</v>
      </c>
      <c r="BQ222" t="s">
        <v>74</v>
      </c>
      <c r="BR222" t="s">
        <v>106</v>
      </c>
      <c r="BS222" t="s">
        <v>3712</v>
      </c>
      <c r="BT222" t="str">
        <f>HYPERLINK("https%3A%2F%2Fwww.webofscience.com%2Fwos%2Fwoscc%2Ffull-record%2FWOS:000462050200001","View Full Record in Web of Science")</f>
        <v>View Full Record in Web of Science</v>
      </c>
    </row>
    <row r="223" spans="1:72" x14ac:dyDescent="0.25">
      <c r="A223" t="s">
        <v>72</v>
      </c>
      <c r="B223" t="s">
        <v>3713</v>
      </c>
      <c r="C223" t="s">
        <v>74</v>
      </c>
      <c r="D223" t="s">
        <v>74</v>
      </c>
      <c r="E223" t="s">
        <v>74</v>
      </c>
      <c r="F223" t="s">
        <v>3714</v>
      </c>
      <c r="G223" t="s">
        <v>74</v>
      </c>
      <c r="H223" t="s">
        <v>74</v>
      </c>
      <c r="I223" t="s">
        <v>3715</v>
      </c>
      <c r="J223" t="s">
        <v>77</v>
      </c>
      <c r="K223" t="s">
        <v>74</v>
      </c>
      <c r="L223" t="s">
        <v>74</v>
      </c>
      <c r="M223" t="s">
        <v>78</v>
      </c>
      <c r="N223" t="s">
        <v>79</v>
      </c>
      <c r="O223" t="s">
        <v>74</v>
      </c>
      <c r="P223" t="s">
        <v>74</v>
      </c>
      <c r="Q223" t="s">
        <v>74</v>
      </c>
      <c r="R223" t="s">
        <v>74</v>
      </c>
      <c r="S223" t="s">
        <v>74</v>
      </c>
      <c r="T223" t="s">
        <v>3716</v>
      </c>
      <c r="U223" t="s">
        <v>3717</v>
      </c>
      <c r="V223" t="s">
        <v>3718</v>
      </c>
      <c r="W223" t="s">
        <v>3719</v>
      </c>
      <c r="X223" t="s">
        <v>3720</v>
      </c>
      <c r="Y223" t="s">
        <v>3721</v>
      </c>
      <c r="Z223" t="s">
        <v>3722</v>
      </c>
      <c r="AA223" t="s">
        <v>74</v>
      </c>
      <c r="AB223" t="s">
        <v>3723</v>
      </c>
      <c r="AC223" t="s">
        <v>74</v>
      </c>
      <c r="AD223" t="s">
        <v>74</v>
      </c>
      <c r="AE223" t="s">
        <v>74</v>
      </c>
      <c r="AF223" t="s">
        <v>74</v>
      </c>
      <c r="AG223">
        <v>40</v>
      </c>
      <c r="AH223">
        <v>11</v>
      </c>
      <c r="AI223">
        <v>11</v>
      </c>
      <c r="AJ223">
        <v>0</v>
      </c>
      <c r="AK223">
        <v>9</v>
      </c>
      <c r="AL223" t="s">
        <v>92</v>
      </c>
      <c r="AM223" t="s">
        <v>93</v>
      </c>
      <c r="AN223" t="s">
        <v>94</v>
      </c>
      <c r="AO223" t="s">
        <v>95</v>
      </c>
      <c r="AP223" t="s">
        <v>96</v>
      </c>
      <c r="AQ223" t="s">
        <v>74</v>
      </c>
      <c r="AR223" t="s">
        <v>97</v>
      </c>
      <c r="AS223" t="s">
        <v>98</v>
      </c>
      <c r="AT223" t="s">
        <v>436</v>
      </c>
      <c r="AU223">
        <v>2019</v>
      </c>
      <c r="AV223">
        <v>64</v>
      </c>
      <c r="AW223">
        <v>6</v>
      </c>
      <c r="AX223" t="s">
        <v>74</v>
      </c>
      <c r="AY223" t="s">
        <v>74</v>
      </c>
      <c r="AZ223" t="s">
        <v>74</v>
      </c>
      <c r="BA223" t="s">
        <v>74</v>
      </c>
      <c r="BB223" t="s">
        <v>74</v>
      </c>
      <c r="BC223" t="s">
        <v>74</v>
      </c>
      <c r="BD223">
        <v>65022</v>
      </c>
      <c r="BE223" t="s">
        <v>3724</v>
      </c>
      <c r="BF223" t="str">
        <f>HYPERLINK("http://dx.doi.org/10.1088/1361-6560/aaf976","http://dx.doi.org/10.1088/1361-6560/aaf976")</f>
        <v>http://dx.doi.org/10.1088/1361-6560/aaf976</v>
      </c>
      <c r="BG223" t="s">
        <v>74</v>
      </c>
      <c r="BH223" t="s">
        <v>74</v>
      </c>
      <c r="BI223">
        <v>12</v>
      </c>
      <c r="BJ223" t="s">
        <v>101</v>
      </c>
      <c r="BK223" t="s">
        <v>102</v>
      </c>
      <c r="BL223" t="s">
        <v>103</v>
      </c>
      <c r="BM223" t="s">
        <v>3435</v>
      </c>
      <c r="BN223">
        <v>30561373</v>
      </c>
      <c r="BO223" t="s">
        <v>74</v>
      </c>
      <c r="BP223" t="s">
        <v>74</v>
      </c>
      <c r="BQ223" t="s">
        <v>74</v>
      </c>
      <c r="BR223" t="s">
        <v>106</v>
      </c>
      <c r="BS223" t="s">
        <v>3725</v>
      </c>
      <c r="BT223" t="str">
        <f>HYPERLINK("https%3A%2F%2Fwww.webofscience.com%2Fwos%2Fwoscc%2Ffull-record%2FWOS:000461636100003","View Full Record in Web of Science")</f>
        <v>View Full Record in Web of Science</v>
      </c>
    </row>
    <row r="224" spans="1:72" x14ac:dyDescent="0.25">
      <c r="A224" t="s">
        <v>72</v>
      </c>
      <c r="B224" t="s">
        <v>3726</v>
      </c>
      <c r="C224" t="s">
        <v>74</v>
      </c>
      <c r="D224" t="s">
        <v>74</v>
      </c>
      <c r="E224" t="s">
        <v>74</v>
      </c>
      <c r="F224" t="s">
        <v>3727</v>
      </c>
      <c r="G224" t="s">
        <v>74</v>
      </c>
      <c r="H224" t="s">
        <v>74</v>
      </c>
      <c r="I224" t="s">
        <v>3728</v>
      </c>
      <c r="J224" t="s">
        <v>77</v>
      </c>
      <c r="K224" t="s">
        <v>74</v>
      </c>
      <c r="L224" t="s">
        <v>74</v>
      </c>
      <c r="M224" t="s">
        <v>78</v>
      </c>
      <c r="N224" t="s">
        <v>79</v>
      </c>
      <c r="O224" t="s">
        <v>74</v>
      </c>
      <c r="P224" t="s">
        <v>74</v>
      </c>
      <c r="Q224" t="s">
        <v>74</v>
      </c>
      <c r="R224" t="s">
        <v>74</v>
      </c>
      <c r="S224" t="s">
        <v>74</v>
      </c>
      <c r="T224" t="s">
        <v>3729</v>
      </c>
      <c r="U224" t="s">
        <v>3730</v>
      </c>
      <c r="V224" t="s">
        <v>3731</v>
      </c>
      <c r="W224" t="s">
        <v>3732</v>
      </c>
      <c r="X224" t="s">
        <v>3733</v>
      </c>
      <c r="Y224" t="s">
        <v>3734</v>
      </c>
      <c r="Z224" t="s">
        <v>3735</v>
      </c>
      <c r="AA224" t="s">
        <v>3736</v>
      </c>
      <c r="AB224" t="s">
        <v>3737</v>
      </c>
      <c r="AC224" t="s">
        <v>3738</v>
      </c>
      <c r="AD224" t="s">
        <v>3739</v>
      </c>
      <c r="AE224" t="s">
        <v>3740</v>
      </c>
      <c r="AF224" t="s">
        <v>74</v>
      </c>
      <c r="AG224">
        <v>33</v>
      </c>
      <c r="AH224">
        <v>2</v>
      </c>
      <c r="AI224">
        <v>2</v>
      </c>
      <c r="AJ224">
        <v>0</v>
      </c>
      <c r="AK224">
        <v>5</v>
      </c>
      <c r="AL224" t="s">
        <v>92</v>
      </c>
      <c r="AM224" t="s">
        <v>93</v>
      </c>
      <c r="AN224" t="s">
        <v>94</v>
      </c>
      <c r="AO224" t="s">
        <v>95</v>
      </c>
      <c r="AP224" t="s">
        <v>96</v>
      </c>
      <c r="AQ224" t="s">
        <v>74</v>
      </c>
      <c r="AR224" t="s">
        <v>97</v>
      </c>
      <c r="AS224" t="s">
        <v>98</v>
      </c>
      <c r="AT224" t="s">
        <v>471</v>
      </c>
      <c r="AU224">
        <v>2019</v>
      </c>
      <c r="AV224">
        <v>64</v>
      </c>
      <c r="AW224">
        <v>2</v>
      </c>
      <c r="AX224" t="s">
        <v>74</v>
      </c>
      <c r="AY224" t="s">
        <v>74</v>
      </c>
      <c r="AZ224" t="s">
        <v>74</v>
      </c>
      <c r="BA224" t="s">
        <v>74</v>
      </c>
      <c r="BB224" t="s">
        <v>74</v>
      </c>
      <c r="BC224" t="s">
        <v>74</v>
      </c>
      <c r="BD224" t="s">
        <v>3741</v>
      </c>
      <c r="BE224" t="s">
        <v>3742</v>
      </c>
      <c r="BF224" t="str">
        <f>HYPERLINK("http://dx.doi.org/10.1088/1361-6560/aaf97a","http://dx.doi.org/10.1088/1361-6560/aaf97a")</f>
        <v>http://dx.doi.org/10.1088/1361-6560/aaf97a</v>
      </c>
      <c r="BG224" t="s">
        <v>74</v>
      </c>
      <c r="BH224" t="s">
        <v>74</v>
      </c>
      <c r="BI224">
        <v>11</v>
      </c>
      <c r="BJ224" t="s">
        <v>101</v>
      </c>
      <c r="BK224" t="s">
        <v>102</v>
      </c>
      <c r="BL224" t="s">
        <v>103</v>
      </c>
      <c r="BM224" t="s">
        <v>3743</v>
      </c>
      <c r="BN224">
        <v>30562166</v>
      </c>
      <c r="BO224" t="s">
        <v>140</v>
      </c>
      <c r="BP224" t="s">
        <v>74</v>
      </c>
      <c r="BQ224" t="s">
        <v>74</v>
      </c>
      <c r="BR224" t="s">
        <v>106</v>
      </c>
      <c r="BS224" t="s">
        <v>3744</v>
      </c>
      <c r="BT224" t="str">
        <f>HYPERLINK("https%3A%2F%2Fwww.webofscience.com%2Fwos%2Fwoscc%2Ffull-record%2FWOS:000456177400001","View Full Record in Web of Science")</f>
        <v>View Full Record in Web of Science</v>
      </c>
    </row>
    <row r="225" spans="1:72" x14ac:dyDescent="0.25">
      <c r="A225" t="s">
        <v>72</v>
      </c>
      <c r="B225" t="s">
        <v>3745</v>
      </c>
      <c r="C225" t="s">
        <v>74</v>
      </c>
      <c r="D225" t="s">
        <v>74</v>
      </c>
      <c r="E225" t="s">
        <v>74</v>
      </c>
      <c r="F225" t="s">
        <v>3746</v>
      </c>
      <c r="G225" t="s">
        <v>74</v>
      </c>
      <c r="H225" t="s">
        <v>74</v>
      </c>
      <c r="I225" t="s">
        <v>3747</v>
      </c>
      <c r="J225" t="s">
        <v>77</v>
      </c>
      <c r="K225" t="s">
        <v>74</v>
      </c>
      <c r="L225" t="s">
        <v>74</v>
      </c>
      <c r="M225" t="s">
        <v>78</v>
      </c>
      <c r="N225" t="s">
        <v>79</v>
      </c>
      <c r="O225" t="s">
        <v>74</v>
      </c>
      <c r="P225" t="s">
        <v>74</v>
      </c>
      <c r="Q225" t="s">
        <v>74</v>
      </c>
      <c r="R225" t="s">
        <v>74</v>
      </c>
      <c r="S225" t="s">
        <v>74</v>
      </c>
      <c r="T225" t="s">
        <v>3748</v>
      </c>
      <c r="U225" t="s">
        <v>3749</v>
      </c>
      <c r="V225" t="s">
        <v>3750</v>
      </c>
      <c r="W225" t="s">
        <v>3751</v>
      </c>
      <c r="X225" t="s">
        <v>3752</v>
      </c>
      <c r="Y225" t="s">
        <v>3753</v>
      </c>
      <c r="Z225" t="s">
        <v>3754</v>
      </c>
      <c r="AA225" t="s">
        <v>74</v>
      </c>
      <c r="AB225" t="s">
        <v>3755</v>
      </c>
      <c r="AC225" t="s">
        <v>74</v>
      </c>
      <c r="AD225" t="s">
        <v>74</v>
      </c>
      <c r="AE225" t="s">
        <v>74</v>
      </c>
      <c r="AF225" t="s">
        <v>74</v>
      </c>
      <c r="AG225">
        <v>32</v>
      </c>
      <c r="AH225">
        <v>3</v>
      </c>
      <c r="AI225">
        <v>5</v>
      </c>
      <c r="AJ225">
        <v>1</v>
      </c>
      <c r="AK225">
        <v>12</v>
      </c>
      <c r="AL225" t="s">
        <v>92</v>
      </c>
      <c r="AM225" t="s">
        <v>93</v>
      </c>
      <c r="AN225" t="s">
        <v>94</v>
      </c>
      <c r="AO225" t="s">
        <v>95</v>
      </c>
      <c r="AP225" t="s">
        <v>96</v>
      </c>
      <c r="AQ225" t="s">
        <v>74</v>
      </c>
      <c r="AR225" t="s">
        <v>97</v>
      </c>
      <c r="AS225" t="s">
        <v>98</v>
      </c>
      <c r="AT225" t="s">
        <v>99</v>
      </c>
      <c r="AU225">
        <v>2019</v>
      </c>
      <c r="AV225">
        <v>64</v>
      </c>
      <c r="AW225">
        <v>23</v>
      </c>
      <c r="AX225" t="s">
        <v>74</v>
      </c>
      <c r="AY225" t="s">
        <v>74</v>
      </c>
      <c r="AZ225" t="s">
        <v>74</v>
      </c>
      <c r="BA225" t="s">
        <v>74</v>
      </c>
      <c r="BB225" t="s">
        <v>74</v>
      </c>
      <c r="BC225" t="s">
        <v>74</v>
      </c>
      <c r="BD225">
        <v>235006</v>
      </c>
      <c r="BE225" t="s">
        <v>3756</v>
      </c>
      <c r="BF225" t="str">
        <f>HYPERLINK("http://dx.doi.org/10.1088/1361-6560/ab47c0","http://dx.doi.org/10.1088/1361-6560/ab47c0")</f>
        <v>http://dx.doi.org/10.1088/1361-6560/ab47c0</v>
      </c>
      <c r="BG225" t="s">
        <v>74</v>
      </c>
      <c r="BH225" t="s">
        <v>74</v>
      </c>
      <c r="BI225">
        <v>13</v>
      </c>
      <c r="BJ225" t="s">
        <v>101</v>
      </c>
      <c r="BK225" t="s">
        <v>102</v>
      </c>
      <c r="BL225" t="s">
        <v>103</v>
      </c>
      <c r="BM225" t="s">
        <v>3757</v>
      </c>
      <c r="BN225">
        <v>31553960</v>
      </c>
      <c r="BO225" t="s">
        <v>74</v>
      </c>
      <c r="BP225" t="s">
        <v>74</v>
      </c>
      <c r="BQ225" t="s">
        <v>74</v>
      </c>
      <c r="BR225" t="s">
        <v>106</v>
      </c>
      <c r="BS225" t="s">
        <v>3758</v>
      </c>
      <c r="BT225" t="str">
        <f>HYPERLINK("https%3A%2F%2Fwww.webofscience.com%2Fwos%2Fwoscc%2Ffull-record%2FWOS:000499358900001","View Full Record in Web of Science")</f>
        <v>View Full Record in Web of Science</v>
      </c>
    </row>
    <row r="226" spans="1:72" x14ac:dyDescent="0.25">
      <c r="A226" t="s">
        <v>72</v>
      </c>
      <c r="B226" t="s">
        <v>3759</v>
      </c>
      <c r="C226" t="s">
        <v>74</v>
      </c>
      <c r="D226" t="s">
        <v>74</v>
      </c>
      <c r="E226" t="s">
        <v>74</v>
      </c>
      <c r="F226" t="s">
        <v>3760</v>
      </c>
      <c r="G226" t="s">
        <v>74</v>
      </c>
      <c r="H226" t="s">
        <v>74</v>
      </c>
      <c r="I226" t="s">
        <v>3761</v>
      </c>
      <c r="J226" t="s">
        <v>77</v>
      </c>
      <c r="K226" t="s">
        <v>74</v>
      </c>
      <c r="L226" t="s">
        <v>74</v>
      </c>
      <c r="M226" t="s">
        <v>78</v>
      </c>
      <c r="N226" t="s">
        <v>79</v>
      </c>
      <c r="O226" t="s">
        <v>74</v>
      </c>
      <c r="P226" t="s">
        <v>74</v>
      </c>
      <c r="Q226" t="s">
        <v>74</v>
      </c>
      <c r="R226" t="s">
        <v>74</v>
      </c>
      <c r="S226" t="s">
        <v>74</v>
      </c>
      <c r="T226" t="s">
        <v>3762</v>
      </c>
      <c r="U226" t="s">
        <v>3763</v>
      </c>
      <c r="V226" t="s">
        <v>3764</v>
      </c>
      <c r="W226" t="s">
        <v>3765</v>
      </c>
      <c r="X226" t="s">
        <v>3766</v>
      </c>
      <c r="Y226" t="s">
        <v>3767</v>
      </c>
      <c r="Z226" t="s">
        <v>3768</v>
      </c>
      <c r="AA226" t="s">
        <v>3769</v>
      </c>
      <c r="AB226" t="s">
        <v>3770</v>
      </c>
      <c r="AC226" t="s">
        <v>3771</v>
      </c>
      <c r="AD226" t="s">
        <v>607</v>
      </c>
      <c r="AE226" t="s">
        <v>3772</v>
      </c>
      <c r="AF226" t="s">
        <v>74</v>
      </c>
      <c r="AG226">
        <v>35</v>
      </c>
      <c r="AH226">
        <v>5</v>
      </c>
      <c r="AI226">
        <v>5</v>
      </c>
      <c r="AJ226">
        <v>0</v>
      </c>
      <c r="AK226">
        <v>6</v>
      </c>
      <c r="AL226" t="s">
        <v>92</v>
      </c>
      <c r="AM226" t="s">
        <v>93</v>
      </c>
      <c r="AN226" t="s">
        <v>94</v>
      </c>
      <c r="AO226" t="s">
        <v>95</v>
      </c>
      <c r="AP226" t="s">
        <v>96</v>
      </c>
      <c r="AQ226" t="s">
        <v>74</v>
      </c>
      <c r="AR226" t="s">
        <v>97</v>
      </c>
      <c r="AS226" t="s">
        <v>98</v>
      </c>
      <c r="AT226" t="s">
        <v>137</v>
      </c>
      <c r="AU226">
        <v>2019</v>
      </c>
      <c r="AV226">
        <v>64</v>
      </c>
      <c r="AW226">
        <v>22</v>
      </c>
      <c r="AX226" t="s">
        <v>74</v>
      </c>
      <c r="AY226" t="s">
        <v>74</v>
      </c>
      <c r="AZ226" t="s">
        <v>74</v>
      </c>
      <c r="BA226" t="s">
        <v>74</v>
      </c>
      <c r="BB226" t="s">
        <v>74</v>
      </c>
      <c r="BC226" t="s">
        <v>74</v>
      </c>
      <c r="BD226">
        <v>225013</v>
      </c>
      <c r="BE226" t="s">
        <v>3773</v>
      </c>
      <c r="BF226" t="str">
        <f>HYPERLINK("http://dx.doi.org/10.1088/1361-6560/ab4c0d","http://dx.doi.org/10.1088/1361-6560/ab4c0d")</f>
        <v>http://dx.doi.org/10.1088/1361-6560/ab4c0d</v>
      </c>
      <c r="BG226" t="s">
        <v>74</v>
      </c>
      <c r="BH226" t="s">
        <v>74</v>
      </c>
      <c r="BI226">
        <v>13</v>
      </c>
      <c r="BJ226" t="s">
        <v>101</v>
      </c>
      <c r="BK226" t="s">
        <v>102</v>
      </c>
      <c r="BL226" t="s">
        <v>103</v>
      </c>
      <c r="BM226" t="s">
        <v>3774</v>
      </c>
      <c r="BN226">
        <v>31593930</v>
      </c>
      <c r="BO226" t="s">
        <v>105</v>
      </c>
      <c r="BP226" t="s">
        <v>74</v>
      </c>
      <c r="BQ226" t="s">
        <v>74</v>
      </c>
      <c r="BR226" t="s">
        <v>106</v>
      </c>
      <c r="BS226" t="s">
        <v>3775</v>
      </c>
      <c r="BT226" t="str">
        <f>HYPERLINK("https%3A%2F%2Fwww.webofscience.com%2Fwos%2Fwoscc%2Ffull-record%2FWOS:000500814100001","View Full Record in Web of Science")</f>
        <v>View Full Record in Web of Science</v>
      </c>
    </row>
    <row r="227" spans="1:72" x14ac:dyDescent="0.25">
      <c r="A227" t="s">
        <v>72</v>
      </c>
      <c r="B227" t="s">
        <v>3776</v>
      </c>
      <c r="C227" t="s">
        <v>74</v>
      </c>
      <c r="D227" t="s">
        <v>74</v>
      </c>
      <c r="E227" t="s">
        <v>74</v>
      </c>
      <c r="F227" t="s">
        <v>3777</v>
      </c>
      <c r="G227" t="s">
        <v>74</v>
      </c>
      <c r="H227" t="s">
        <v>74</v>
      </c>
      <c r="I227" t="s">
        <v>3778</v>
      </c>
      <c r="J227" t="s">
        <v>77</v>
      </c>
      <c r="K227" t="s">
        <v>74</v>
      </c>
      <c r="L227" t="s">
        <v>74</v>
      </c>
      <c r="M227" t="s">
        <v>78</v>
      </c>
      <c r="N227" t="s">
        <v>79</v>
      </c>
      <c r="O227" t="s">
        <v>74</v>
      </c>
      <c r="P227" t="s">
        <v>74</v>
      </c>
      <c r="Q227" t="s">
        <v>74</v>
      </c>
      <c r="R227" t="s">
        <v>74</v>
      </c>
      <c r="S227" t="s">
        <v>74</v>
      </c>
      <c r="T227" t="s">
        <v>3779</v>
      </c>
      <c r="U227" t="s">
        <v>3780</v>
      </c>
      <c r="V227" t="s">
        <v>3781</v>
      </c>
      <c r="W227" t="s">
        <v>3782</v>
      </c>
      <c r="X227" t="s">
        <v>3783</v>
      </c>
      <c r="Y227" t="s">
        <v>3784</v>
      </c>
      <c r="Z227" t="s">
        <v>3785</v>
      </c>
      <c r="AA227" t="s">
        <v>74</v>
      </c>
      <c r="AB227" t="s">
        <v>74</v>
      </c>
      <c r="AC227" t="s">
        <v>3786</v>
      </c>
      <c r="AD227" t="s">
        <v>3787</v>
      </c>
      <c r="AE227" t="s">
        <v>3788</v>
      </c>
      <c r="AF227" t="s">
        <v>74</v>
      </c>
      <c r="AG227">
        <v>26</v>
      </c>
      <c r="AH227">
        <v>4</v>
      </c>
      <c r="AI227">
        <v>4</v>
      </c>
      <c r="AJ227">
        <v>0</v>
      </c>
      <c r="AK227">
        <v>6</v>
      </c>
      <c r="AL227" t="s">
        <v>157</v>
      </c>
      <c r="AM227" t="s">
        <v>93</v>
      </c>
      <c r="AN227" t="s">
        <v>94</v>
      </c>
      <c r="AO227" t="s">
        <v>95</v>
      </c>
      <c r="AP227" t="s">
        <v>96</v>
      </c>
      <c r="AQ227" t="s">
        <v>74</v>
      </c>
      <c r="AR227" t="s">
        <v>97</v>
      </c>
      <c r="AS227" t="s">
        <v>98</v>
      </c>
      <c r="AT227" t="s">
        <v>509</v>
      </c>
      <c r="AU227">
        <v>2019</v>
      </c>
      <c r="AV227">
        <v>64</v>
      </c>
      <c r="AW227">
        <v>20</v>
      </c>
      <c r="AX227" t="s">
        <v>74</v>
      </c>
      <c r="AY227" t="s">
        <v>74</v>
      </c>
      <c r="AZ227" t="s">
        <v>74</v>
      </c>
      <c r="BA227" t="s">
        <v>74</v>
      </c>
      <c r="BB227" t="s">
        <v>74</v>
      </c>
      <c r="BC227" t="s">
        <v>74</v>
      </c>
      <c r="BD227">
        <v>205009</v>
      </c>
      <c r="BE227" t="s">
        <v>3789</v>
      </c>
      <c r="BF227" t="str">
        <f>HYPERLINK("http://dx.doi.org/10.1088/1361-6560/ab47c8","http://dx.doi.org/10.1088/1361-6560/ab47c8")</f>
        <v>http://dx.doi.org/10.1088/1361-6560/ab47c8</v>
      </c>
      <c r="BG227" t="s">
        <v>74</v>
      </c>
      <c r="BH227" t="s">
        <v>74</v>
      </c>
      <c r="BI227">
        <v>13</v>
      </c>
      <c r="BJ227" t="s">
        <v>101</v>
      </c>
      <c r="BK227" t="s">
        <v>102</v>
      </c>
      <c r="BL227" t="s">
        <v>103</v>
      </c>
      <c r="BM227" t="s">
        <v>741</v>
      </c>
      <c r="BN227">
        <v>31553964</v>
      </c>
      <c r="BO227" t="s">
        <v>140</v>
      </c>
      <c r="BP227" t="s">
        <v>74</v>
      </c>
      <c r="BQ227" t="s">
        <v>74</v>
      </c>
      <c r="BR227" t="s">
        <v>106</v>
      </c>
      <c r="BS227" t="s">
        <v>3790</v>
      </c>
      <c r="BT227" t="str">
        <f>HYPERLINK("https%3A%2F%2Fwww.webofscience.com%2Fwos%2Fwoscc%2Ffull-record%2FWOS:000500247900009","View Full Record in Web of Science")</f>
        <v>View Full Record in Web of Science</v>
      </c>
    </row>
    <row r="228" spans="1:72" x14ac:dyDescent="0.25">
      <c r="A228" t="s">
        <v>72</v>
      </c>
      <c r="B228" t="s">
        <v>3791</v>
      </c>
      <c r="C228" t="s">
        <v>74</v>
      </c>
      <c r="D228" t="s">
        <v>74</v>
      </c>
      <c r="E228" t="s">
        <v>74</v>
      </c>
      <c r="F228" t="s">
        <v>3792</v>
      </c>
      <c r="G228" t="s">
        <v>74</v>
      </c>
      <c r="H228" t="s">
        <v>74</v>
      </c>
      <c r="I228" t="s">
        <v>3793</v>
      </c>
      <c r="J228" t="s">
        <v>77</v>
      </c>
      <c r="K228" t="s">
        <v>74</v>
      </c>
      <c r="L228" t="s">
        <v>74</v>
      </c>
      <c r="M228" t="s">
        <v>78</v>
      </c>
      <c r="N228" t="s">
        <v>79</v>
      </c>
      <c r="O228" t="s">
        <v>74</v>
      </c>
      <c r="P228" t="s">
        <v>74</v>
      </c>
      <c r="Q228" t="s">
        <v>74</v>
      </c>
      <c r="R228" t="s">
        <v>74</v>
      </c>
      <c r="S228" t="s">
        <v>74</v>
      </c>
      <c r="T228" t="s">
        <v>3794</v>
      </c>
      <c r="U228" t="s">
        <v>3795</v>
      </c>
      <c r="V228" t="s">
        <v>3796</v>
      </c>
      <c r="W228" t="s">
        <v>3797</v>
      </c>
      <c r="X228" t="s">
        <v>3798</v>
      </c>
      <c r="Y228" t="s">
        <v>3799</v>
      </c>
      <c r="Z228" t="s">
        <v>3800</v>
      </c>
      <c r="AA228" t="s">
        <v>3801</v>
      </c>
      <c r="AB228" t="s">
        <v>3802</v>
      </c>
      <c r="AC228" t="s">
        <v>3803</v>
      </c>
      <c r="AD228" t="s">
        <v>3804</v>
      </c>
      <c r="AE228" t="s">
        <v>3805</v>
      </c>
      <c r="AF228" t="s">
        <v>74</v>
      </c>
      <c r="AG228">
        <v>44</v>
      </c>
      <c r="AH228">
        <v>24</v>
      </c>
      <c r="AI228">
        <v>27</v>
      </c>
      <c r="AJ228">
        <v>0</v>
      </c>
      <c r="AK228">
        <v>17</v>
      </c>
      <c r="AL228" t="s">
        <v>92</v>
      </c>
      <c r="AM228" t="s">
        <v>93</v>
      </c>
      <c r="AN228" t="s">
        <v>94</v>
      </c>
      <c r="AO228" t="s">
        <v>95</v>
      </c>
      <c r="AP228" t="s">
        <v>96</v>
      </c>
      <c r="AQ228" t="s">
        <v>74</v>
      </c>
      <c r="AR228" t="s">
        <v>97</v>
      </c>
      <c r="AS228" t="s">
        <v>98</v>
      </c>
      <c r="AT228" t="s">
        <v>176</v>
      </c>
      <c r="AU228">
        <v>2019</v>
      </c>
      <c r="AV228">
        <v>64</v>
      </c>
      <c r="AW228">
        <v>18</v>
      </c>
      <c r="AX228" t="s">
        <v>74</v>
      </c>
      <c r="AY228" t="s">
        <v>74</v>
      </c>
      <c r="AZ228" t="s">
        <v>74</v>
      </c>
      <c r="BA228" t="s">
        <v>74</v>
      </c>
      <c r="BB228" t="s">
        <v>74</v>
      </c>
      <c r="BC228" t="s">
        <v>74</v>
      </c>
      <c r="BD228">
        <v>184001</v>
      </c>
      <c r="BE228" t="s">
        <v>3806</v>
      </c>
      <c r="BF228" t="str">
        <f>HYPERLINK("http://dx.doi.org/10.1088/1361-6560/ab36a1","http://dx.doi.org/10.1088/1361-6560/ab36a1")</f>
        <v>http://dx.doi.org/10.1088/1361-6560/ab36a1</v>
      </c>
      <c r="BG228" t="s">
        <v>74</v>
      </c>
      <c r="BH228" t="s">
        <v>74</v>
      </c>
      <c r="BI228">
        <v>12</v>
      </c>
      <c r="BJ228" t="s">
        <v>101</v>
      </c>
      <c r="BK228" t="s">
        <v>102</v>
      </c>
      <c r="BL228" t="s">
        <v>103</v>
      </c>
      <c r="BM228" t="s">
        <v>3807</v>
      </c>
      <c r="BN228">
        <v>31357187</v>
      </c>
      <c r="BO228" t="s">
        <v>270</v>
      </c>
      <c r="BP228" t="s">
        <v>74</v>
      </c>
      <c r="BQ228" t="s">
        <v>74</v>
      </c>
      <c r="BR228" t="s">
        <v>106</v>
      </c>
      <c r="BS228" t="s">
        <v>3808</v>
      </c>
      <c r="BT228" t="str">
        <f>HYPERLINK("https%3A%2F%2Fwww.webofscience.com%2Fwos%2Fwoscc%2Ffull-record%2FWOS:000485720000001","View Full Record in Web of Science")</f>
        <v>View Full Record in Web of Science</v>
      </c>
    </row>
    <row r="229" spans="1:72" x14ac:dyDescent="0.25">
      <c r="A229" t="s">
        <v>72</v>
      </c>
      <c r="B229" t="s">
        <v>3809</v>
      </c>
      <c r="C229" t="s">
        <v>74</v>
      </c>
      <c r="D229" t="s">
        <v>74</v>
      </c>
      <c r="E229" t="s">
        <v>74</v>
      </c>
      <c r="F229" t="s">
        <v>3810</v>
      </c>
      <c r="G229" t="s">
        <v>74</v>
      </c>
      <c r="H229" t="s">
        <v>74</v>
      </c>
      <c r="I229" t="s">
        <v>3811</v>
      </c>
      <c r="J229" t="s">
        <v>77</v>
      </c>
      <c r="K229" t="s">
        <v>74</v>
      </c>
      <c r="L229" t="s">
        <v>74</v>
      </c>
      <c r="M229" t="s">
        <v>78</v>
      </c>
      <c r="N229" t="s">
        <v>79</v>
      </c>
      <c r="O229" t="s">
        <v>74</v>
      </c>
      <c r="P229" t="s">
        <v>74</v>
      </c>
      <c r="Q229" t="s">
        <v>74</v>
      </c>
      <c r="R229" t="s">
        <v>74</v>
      </c>
      <c r="S229" t="s">
        <v>74</v>
      </c>
      <c r="T229" t="s">
        <v>3812</v>
      </c>
      <c r="U229" t="s">
        <v>3813</v>
      </c>
      <c r="V229" t="s">
        <v>3814</v>
      </c>
      <c r="W229" t="s">
        <v>3815</v>
      </c>
      <c r="X229" t="s">
        <v>3816</v>
      </c>
      <c r="Y229" t="s">
        <v>3817</v>
      </c>
      <c r="Z229" t="s">
        <v>1792</v>
      </c>
      <c r="AA229" t="s">
        <v>74</v>
      </c>
      <c r="AB229" t="s">
        <v>74</v>
      </c>
      <c r="AC229" t="s">
        <v>3818</v>
      </c>
      <c r="AD229" t="s">
        <v>3819</v>
      </c>
      <c r="AE229" t="s">
        <v>3820</v>
      </c>
      <c r="AF229" t="s">
        <v>74</v>
      </c>
      <c r="AG229">
        <v>77</v>
      </c>
      <c r="AH229">
        <v>21</v>
      </c>
      <c r="AI229">
        <v>24</v>
      </c>
      <c r="AJ229">
        <v>0</v>
      </c>
      <c r="AK229">
        <v>9</v>
      </c>
      <c r="AL229" t="s">
        <v>157</v>
      </c>
      <c r="AM229" t="s">
        <v>93</v>
      </c>
      <c r="AN229" t="s">
        <v>94</v>
      </c>
      <c r="AO229" t="s">
        <v>95</v>
      </c>
      <c r="AP229" t="s">
        <v>96</v>
      </c>
      <c r="AQ229" t="s">
        <v>74</v>
      </c>
      <c r="AR229" t="s">
        <v>97</v>
      </c>
      <c r="AS229" t="s">
        <v>98</v>
      </c>
      <c r="AT229" t="s">
        <v>176</v>
      </c>
      <c r="AU229">
        <v>2019</v>
      </c>
      <c r="AV229">
        <v>64</v>
      </c>
      <c r="AW229">
        <v>17</v>
      </c>
      <c r="AX229" t="s">
        <v>74</v>
      </c>
      <c r="AY229" t="s">
        <v>74</v>
      </c>
      <c r="AZ229" t="s">
        <v>74</v>
      </c>
      <c r="BA229" t="s">
        <v>74</v>
      </c>
      <c r="BB229" t="s">
        <v>74</v>
      </c>
      <c r="BC229" t="s">
        <v>74</v>
      </c>
      <c r="BD229">
        <v>175022</v>
      </c>
      <c r="BE229" t="s">
        <v>3821</v>
      </c>
      <c r="BF229" t="str">
        <f>HYPERLINK("http://dx.doi.org/10.1088/1361-6560/ab2485","http://dx.doi.org/10.1088/1361-6560/ab2485")</f>
        <v>http://dx.doi.org/10.1088/1361-6560/ab2485</v>
      </c>
      <c r="BG229" t="s">
        <v>74</v>
      </c>
      <c r="BH229" t="s">
        <v>74</v>
      </c>
      <c r="BI229">
        <v>15</v>
      </c>
      <c r="BJ229" t="s">
        <v>101</v>
      </c>
      <c r="BK229" t="s">
        <v>102</v>
      </c>
      <c r="BL229" t="s">
        <v>103</v>
      </c>
      <c r="BM229" t="s">
        <v>178</v>
      </c>
      <c r="BN229">
        <v>31125985</v>
      </c>
      <c r="BO229" t="s">
        <v>105</v>
      </c>
      <c r="BP229" t="s">
        <v>74</v>
      </c>
      <c r="BQ229" t="s">
        <v>74</v>
      </c>
      <c r="BR229" t="s">
        <v>106</v>
      </c>
      <c r="BS229" t="s">
        <v>3822</v>
      </c>
      <c r="BT229" t="str">
        <f>HYPERLINK("https%3A%2F%2Fwww.webofscience.com%2Fwos%2Fwoscc%2Ffull-record%2FWOS:000484728400007","View Full Record in Web of Science")</f>
        <v>View Full Record in Web of Science</v>
      </c>
    </row>
    <row r="230" spans="1:72" x14ac:dyDescent="0.25">
      <c r="A230" t="s">
        <v>72</v>
      </c>
      <c r="B230" t="s">
        <v>3823</v>
      </c>
      <c r="C230" t="s">
        <v>74</v>
      </c>
      <c r="D230" t="s">
        <v>74</v>
      </c>
      <c r="E230" t="s">
        <v>74</v>
      </c>
      <c r="F230" t="s">
        <v>3824</v>
      </c>
      <c r="G230" t="s">
        <v>74</v>
      </c>
      <c r="H230" t="s">
        <v>74</v>
      </c>
      <c r="I230" t="s">
        <v>3825</v>
      </c>
      <c r="J230" t="s">
        <v>77</v>
      </c>
      <c r="K230" t="s">
        <v>74</v>
      </c>
      <c r="L230" t="s">
        <v>74</v>
      </c>
      <c r="M230" t="s">
        <v>78</v>
      </c>
      <c r="N230" t="s">
        <v>79</v>
      </c>
      <c r="O230" t="s">
        <v>74</v>
      </c>
      <c r="P230" t="s">
        <v>74</v>
      </c>
      <c r="Q230" t="s">
        <v>74</v>
      </c>
      <c r="R230" t="s">
        <v>74</v>
      </c>
      <c r="S230" t="s">
        <v>74</v>
      </c>
      <c r="T230" t="s">
        <v>3826</v>
      </c>
      <c r="U230" t="s">
        <v>3827</v>
      </c>
      <c r="V230" t="s">
        <v>3828</v>
      </c>
      <c r="W230" t="s">
        <v>3829</v>
      </c>
      <c r="X230" t="s">
        <v>3830</v>
      </c>
      <c r="Y230" t="s">
        <v>3831</v>
      </c>
      <c r="Z230" t="s">
        <v>3832</v>
      </c>
      <c r="AA230" t="s">
        <v>3833</v>
      </c>
      <c r="AB230" t="s">
        <v>3834</v>
      </c>
      <c r="AC230" t="s">
        <v>3835</v>
      </c>
      <c r="AD230" t="s">
        <v>3836</v>
      </c>
      <c r="AE230" t="s">
        <v>3837</v>
      </c>
      <c r="AF230" t="s">
        <v>74</v>
      </c>
      <c r="AG230">
        <v>78</v>
      </c>
      <c r="AH230">
        <v>19</v>
      </c>
      <c r="AI230">
        <v>19</v>
      </c>
      <c r="AJ230">
        <v>1</v>
      </c>
      <c r="AK230">
        <v>63</v>
      </c>
      <c r="AL230" t="s">
        <v>157</v>
      </c>
      <c r="AM230" t="s">
        <v>93</v>
      </c>
      <c r="AN230" t="s">
        <v>94</v>
      </c>
      <c r="AO230" t="s">
        <v>95</v>
      </c>
      <c r="AP230" t="s">
        <v>96</v>
      </c>
      <c r="AQ230" t="s">
        <v>74</v>
      </c>
      <c r="AR230" t="s">
        <v>97</v>
      </c>
      <c r="AS230" t="s">
        <v>98</v>
      </c>
      <c r="AT230" t="s">
        <v>196</v>
      </c>
      <c r="AU230">
        <v>2019</v>
      </c>
      <c r="AV230">
        <v>64</v>
      </c>
      <c r="AW230">
        <v>16</v>
      </c>
      <c r="AX230" t="s">
        <v>74</v>
      </c>
      <c r="AY230" t="s">
        <v>74</v>
      </c>
      <c r="AZ230" t="s">
        <v>74</v>
      </c>
      <c r="BA230" t="s">
        <v>74</v>
      </c>
      <c r="BB230" t="s">
        <v>74</v>
      </c>
      <c r="BC230" t="s">
        <v>74</v>
      </c>
      <c r="BD230">
        <v>165017</v>
      </c>
      <c r="BE230" t="s">
        <v>3838</v>
      </c>
      <c r="BF230" t="str">
        <f>HYPERLINK("http://dx.doi.org/10.1088/1361-6560/ab325e","http://dx.doi.org/10.1088/1361-6560/ab325e")</f>
        <v>http://dx.doi.org/10.1088/1361-6560/ab325e</v>
      </c>
      <c r="BG230" t="s">
        <v>74</v>
      </c>
      <c r="BH230" t="s">
        <v>74</v>
      </c>
      <c r="BI230">
        <v>17</v>
      </c>
      <c r="BJ230" t="s">
        <v>101</v>
      </c>
      <c r="BK230" t="s">
        <v>102</v>
      </c>
      <c r="BL230" t="s">
        <v>103</v>
      </c>
      <c r="BM230" t="s">
        <v>2045</v>
      </c>
      <c r="BN230">
        <v>31433791</v>
      </c>
      <c r="BO230" t="s">
        <v>74</v>
      </c>
      <c r="BP230" t="s">
        <v>74</v>
      </c>
      <c r="BQ230" t="s">
        <v>74</v>
      </c>
      <c r="BR230" t="s">
        <v>106</v>
      </c>
      <c r="BS230" t="s">
        <v>3839</v>
      </c>
      <c r="BT230" t="str">
        <f>HYPERLINK("https%3A%2F%2Fwww.webofscience.com%2Fwos%2Fwoscc%2Ffull-record%2FWOS:000482525700008","View Full Record in Web of Science")</f>
        <v>View Full Record in Web of Science</v>
      </c>
    </row>
    <row r="231" spans="1:72" x14ac:dyDescent="0.25">
      <c r="A231" t="s">
        <v>72</v>
      </c>
      <c r="B231" t="s">
        <v>3840</v>
      </c>
      <c r="C231" t="s">
        <v>74</v>
      </c>
      <c r="D231" t="s">
        <v>74</v>
      </c>
      <c r="E231" t="s">
        <v>74</v>
      </c>
      <c r="F231" t="s">
        <v>3841</v>
      </c>
      <c r="G231" t="s">
        <v>74</v>
      </c>
      <c r="H231" t="s">
        <v>74</v>
      </c>
      <c r="I231" t="s">
        <v>3842</v>
      </c>
      <c r="J231" t="s">
        <v>77</v>
      </c>
      <c r="K231" t="s">
        <v>74</v>
      </c>
      <c r="L231" t="s">
        <v>74</v>
      </c>
      <c r="M231" t="s">
        <v>78</v>
      </c>
      <c r="N231" t="s">
        <v>79</v>
      </c>
      <c r="O231" t="s">
        <v>74</v>
      </c>
      <c r="P231" t="s">
        <v>74</v>
      </c>
      <c r="Q231" t="s">
        <v>74</v>
      </c>
      <c r="R231" t="s">
        <v>74</v>
      </c>
      <c r="S231" t="s">
        <v>74</v>
      </c>
      <c r="T231" t="s">
        <v>3843</v>
      </c>
      <c r="U231" t="s">
        <v>3844</v>
      </c>
      <c r="V231" t="s">
        <v>3845</v>
      </c>
      <c r="W231" t="s">
        <v>3846</v>
      </c>
      <c r="X231" t="s">
        <v>3847</v>
      </c>
      <c r="Y231" t="s">
        <v>3848</v>
      </c>
      <c r="Z231" t="s">
        <v>3849</v>
      </c>
      <c r="AA231" t="s">
        <v>3850</v>
      </c>
      <c r="AB231" t="s">
        <v>3851</v>
      </c>
      <c r="AC231" t="s">
        <v>3852</v>
      </c>
      <c r="AD231" t="s">
        <v>3853</v>
      </c>
      <c r="AE231" t="s">
        <v>3854</v>
      </c>
      <c r="AF231" t="s">
        <v>74</v>
      </c>
      <c r="AG231">
        <v>45</v>
      </c>
      <c r="AH231">
        <v>8</v>
      </c>
      <c r="AI231">
        <v>8</v>
      </c>
      <c r="AJ231">
        <v>0</v>
      </c>
      <c r="AK231">
        <v>1</v>
      </c>
      <c r="AL231" t="s">
        <v>92</v>
      </c>
      <c r="AM231" t="s">
        <v>93</v>
      </c>
      <c r="AN231" t="s">
        <v>94</v>
      </c>
      <c r="AO231" t="s">
        <v>95</v>
      </c>
      <c r="AP231" t="s">
        <v>96</v>
      </c>
      <c r="AQ231" t="s">
        <v>74</v>
      </c>
      <c r="AR231" t="s">
        <v>97</v>
      </c>
      <c r="AS231" t="s">
        <v>98</v>
      </c>
      <c r="AT231" t="s">
        <v>196</v>
      </c>
      <c r="AU231">
        <v>2019</v>
      </c>
      <c r="AV231">
        <v>64</v>
      </c>
      <c r="AW231">
        <v>16</v>
      </c>
      <c r="AX231" t="s">
        <v>74</v>
      </c>
      <c r="AY231" t="s">
        <v>74</v>
      </c>
      <c r="AZ231" t="s">
        <v>74</v>
      </c>
      <c r="BA231" t="s">
        <v>74</v>
      </c>
      <c r="BB231" t="s">
        <v>74</v>
      </c>
      <c r="BC231" t="s">
        <v>74</v>
      </c>
      <c r="BD231">
        <v>165001</v>
      </c>
      <c r="BE231" t="s">
        <v>3855</v>
      </c>
      <c r="BF231" t="str">
        <f>HYPERLINK("http://dx.doi.org/10.1088/1361-6560/ab2db1","http://dx.doi.org/10.1088/1361-6560/ab2db1")</f>
        <v>http://dx.doi.org/10.1088/1361-6560/ab2db1</v>
      </c>
      <c r="BG231" t="s">
        <v>74</v>
      </c>
      <c r="BH231" t="s">
        <v>74</v>
      </c>
      <c r="BI231">
        <v>14</v>
      </c>
      <c r="BJ231" t="s">
        <v>101</v>
      </c>
      <c r="BK231" t="s">
        <v>102</v>
      </c>
      <c r="BL231" t="s">
        <v>103</v>
      </c>
      <c r="BM231" t="s">
        <v>1076</v>
      </c>
      <c r="BN231">
        <v>31252419</v>
      </c>
      <c r="BO231" t="s">
        <v>74</v>
      </c>
      <c r="BP231" t="s">
        <v>74</v>
      </c>
      <c r="BQ231" t="s">
        <v>74</v>
      </c>
      <c r="BR231" t="s">
        <v>106</v>
      </c>
      <c r="BS231" t="s">
        <v>3856</v>
      </c>
      <c r="BT231" t="str">
        <f>HYPERLINK("https%3A%2F%2Fwww.webofscience.com%2Fwos%2Fwoscc%2Ffull-record%2FWOS:000481852600001","View Full Record in Web of Science")</f>
        <v>View Full Record in Web of Science</v>
      </c>
    </row>
    <row r="232" spans="1:72" x14ac:dyDescent="0.25">
      <c r="A232" t="s">
        <v>72</v>
      </c>
      <c r="B232" t="s">
        <v>3857</v>
      </c>
      <c r="C232" t="s">
        <v>74</v>
      </c>
      <c r="D232" t="s">
        <v>74</v>
      </c>
      <c r="E232" t="s">
        <v>74</v>
      </c>
      <c r="F232" t="s">
        <v>3858</v>
      </c>
      <c r="G232" t="s">
        <v>74</v>
      </c>
      <c r="H232" t="s">
        <v>74</v>
      </c>
      <c r="I232" t="s">
        <v>3859</v>
      </c>
      <c r="J232" t="s">
        <v>77</v>
      </c>
      <c r="K232" t="s">
        <v>74</v>
      </c>
      <c r="L232" t="s">
        <v>74</v>
      </c>
      <c r="M232" t="s">
        <v>78</v>
      </c>
      <c r="N232" t="s">
        <v>79</v>
      </c>
      <c r="O232" t="s">
        <v>74</v>
      </c>
      <c r="P232" t="s">
        <v>74</v>
      </c>
      <c r="Q232" t="s">
        <v>74</v>
      </c>
      <c r="R232" t="s">
        <v>74</v>
      </c>
      <c r="S232" t="s">
        <v>74</v>
      </c>
      <c r="T232" t="s">
        <v>3860</v>
      </c>
      <c r="U232" t="s">
        <v>3861</v>
      </c>
      <c r="V232" t="s">
        <v>3862</v>
      </c>
      <c r="W232" t="s">
        <v>3863</v>
      </c>
      <c r="X232" t="s">
        <v>3864</v>
      </c>
      <c r="Y232" t="s">
        <v>3865</v>
      </c>
      <c r="Z232" t="s">
        <v>3866</v>
      </c>
      <c r="AA232" t="s">
        <v>3867</v>
      </c>
      <c r="AB232" t="s">
        <v>3868</v>
      </c>
      <c r="AC232" t="s">
        <v>3869</v>
      </c>
      <c r="AD232" t="s">
        <v>3870</v>
      </c>
      <c r="AE232" t="s">
        <v>74</v>
      </c>
      <c r="AF232" t="s">
        <v>74</v>
      </c>
      <c r="AG232">
        <v>19</v>
      </c>
      <c r="AH232">
        <v>11</v>
      </c>
      <c r="AI232">
        <v>12</v>
      </c>
      <c r="AJ232">
        <v>0</v>
      </c>
      <c r="AK232">
        <v>9</v>
      </c>
      <c r="AL232" t="s">
        <v>92</v>
      </c>
      <c r="AM232" t="s">
        <v>93</v>
      </c>
      <c r="AN232" t="s">
        <v>94</v>
      </c>
      <c r="AO232" t="s">
        <v>95</v>
      </c>
      <c r="AP232" t="s">
        <v>96</v>
      </c>
      <c r="AQ232" t="s">
        <v>74</v>
      </c>
      <c r="AR232" t="s">
        <v>97</v>
      </c>
      <c r="AS232" t="s">
        <v>98</v>
      </c>
      <c r="AT232" t="s">
        <v>214</v>
      </c>
      <c r="AU232">
        <v>2019</v>
      </c>
      <c r="AV232">
        <v>64</v>
      </c>
      <c r="AW232">
        <v>13</v>
      </c>
      <c r="AX232" t="s">
        <v>74</v>
      </c>
      <c r="AY232" t="s">
        <v>74</v>
      </c>
      <c r="AZ232" t="s">
        <v>74</v>
      </c>
      <c r="BA232" t="s">
        <v>74</v>
      </c>
      <c r="BB232" t="s">
        <v>74</v>
      </c>
      <c r="BC232" t="s">
        <v>74</v>
      </c>
      <c r="BD232" t="s">
        <v>3871</v>
      </c>
      <c r="BE232" t="s">
        <v>3872</v>
      </c>
      <c r="BF232" t="str">
        <f>HYPERLINK("http://dx.doi.org/10.1088/1361-6560/ab2670","http://dx.doi.org/10.1088/1361-6560/ab2670")</f>
        <v>http://dx.doi.org/10.1088/1361-6560/ab2670</v>
      </c>
      <c r="BG232" t="s">
        <v>74</v>
      </c>
      <c r="BH232" t="s">
        <v>74</v>
      </c>
      <c r="BI232">
        <v>9</v>
      </c>
      <c r="BJ232" t="s">
        <v>101</v>
      </c>
      <c r="BK232" t="s">
        <v>102</v>
      </c>
      <c r="BL232" t="s">
        <v>103</v>
      </c>
      <c r="BM232" t="s">
        <v>3873</v>
      </c>
      <c r="BN232">
        <v>31158829</v>
      </c>
      <c r="BO232" t="s">
        <v>105</v>
      </c>
      <c r="BP232" t="s">
        <v>74</v>
      </c>
      <c r="BQ232" t="s">
        <v>74</v>
      </c>
      <c r="BR232" t="s">
        <v>106</v>
      </c>
      <c r="BS232" t="s">
        <v>3874</v>
      </c>
      <c r="BT232" t="str">
        <f>HYPERLINK("https%3A%2F%2Fwww.webofscience.com%2Fwos%2Fwoscc%2Ffull-record%2FWOS:000474397200001","View Full Record in Web of Science")</f>
        <v>View Full Record in Web of Science</v>
      </c>
    </row>
    <row r="233" spans="1:72" x14ac:dyDescent="0.25">
      <c r="A233" t="s">
        <v>72</v>
      </c>
      <c r="B233" t="s">
        <v>3875</v>
      </c>
      <c r="C233" t="s">
        <v>74</v>
      </c>
      <c r="D233" t="s">
        <v>74</v>
      </c>
      <c r="E233" t="s">
        <v>74</v>
      </c>
      <c r="F233" t="s">
        <v>3876</v>
      </c>
      <c r="G233" t="s">
        <v>74</v>
      </c>
      <c r="H233" t="s">
        <v>74</v>
      </c>
      <c r="I233" t="s">
        <v>3877</v>
      </c>
      <c r="J233" t="s">
        <v>77</v>
      </c>
      <c r="K233" t="s">
        <v>74</v>
      </c>
      <c r="L233" t="s">
        <v>74</v>
      </c>
      <c r="M233" t="s">
        <v>78</v>
      </c>
      <c r="N233" t="s">
        <v>79</v>
      </c>
      <c r="O233" t="s">
        <v>74</v>
      </c>
      <c r="P233" t="s">
        <v>74</v>
      </c>
      <c r="Q233" t="s">
        <v>74</v>
      </c>
      <c r="R233" t="s">
        <v>74</v>
      </c>
      <c r="S233" t="s">
        <v>74</v>
      </c>
      <c r="T233" t="s">
        <v>3878</v>
      </c>
      <c r="U233" t="s">
        <v>3879</v>
      </c>
      <c r="V233" t="s">
        <v>3880</v>
      </c>
      <c r="W233" t="s">
        <v>3881</v>
      </c>
      <c r="X233" t="s">
        <v>3882</v>
      </c>
      <c r="Y233" t="s">
        <v>3883</v>
      </c>
      <c r="Z233" t="s">
        <v>3884</v>
      </c>
      <c r="AA233" t="s">
        <v>3885</v>
      </c>
      <c r="AB233" t="s">
        <v>3886</v>
      </c>
      <c r="AC233" t="s">
        <v>3887</v>
      </c>
      <c r="AD233" t="s">
        <v>2379</v>
      </c>
      <c r="AE233" t="s">
        <v>3888</v>
      </c>
      <c r="AF233" t="s">
        <v>74</v>
      </c>
      <c r="AG233">
        <v>22</v>
      </c>
      <c r="AH233">
        <v>11</v>
      </c>
      <c r="AI233">
        <v>11</v>
      </c>
      <c r="AJ233">
        <v>0</v>
      </c>
      <c r="AK233">
        <v>20</v>
      </c>
      <c r="AL233" t="s">
        <v>92</v>
      </c>
      <c r="AM233" t="s">
        <v>93</v>
      </c>
      <c r="AN233" t="s">
        <v>94</v>
      </c>
      <c r="AO233" t="s">
        <v>95</v>
      </c>
      <c r="AP233" t="s">
        <v>96</v>
      </c>
      <c r="AQ233" t="s">
        <v>74</v>
      </c>
      <c r="AR233" t="s">
        <v>97</v>
      </c>
      <c r="AS233" t="s">
        <v>98</v>
      </c>
      <c r="AT233" t="s">
        <v>370</v>
      </c>
      <c r="AU233">
        <v>2019</v>
      </c>
      <c r="AV233">
        <v>64</v>
      </c>
      <c r="AW233">
        <v>10</v>
      </c>
      <c r="AX233" t="s">
        <v>74</v>
      </c>
      <c r="AY233" t="s">
        <v>74</v>
      </c>
      <c r="AZ233" t="s">
        <v>74</v>
      </c>
      <c r="BA233" t="s">
        <v>74</v>
      </c>
      <c r="BB233" t="s">
        <v>74</v>
      </c>
      <c r="BC233" t="s">
        <v>74</v>
      </c>
      <c r="BD233">
        <v>105004</v>
      </c>
      <c r="BE233" t="s">
        <v>3889</v>
      </c>
      <c r="BF233" t="str">
        <f>HYPERLINK("http://dx.doi.org/10.1088/1361-6560/ab1819","http://dx.doi.org/10.1088/1361-6560/ab1819")</f>
        <v>http://dx.doi.org/10.1088/1361-6560/ab1819</v>
      </c>
      <c r="BG233" t="s">
        <v>74</v>
      </c>
      <c r="BH233" t="s">
        <v>74</v>
      </c>
      <c r="BI233">
        <v>10</v>
      </c>
      <c r="BJ233" t="s">
        <v>101</v>
      </c>
      <c r="BK233" t="s">
        <v>102</v>
      </c>
      <c r="BL233" t="s">
        <v>103</v>
      </c>
      <c r="BM233" t="s">
        <v>3890</v>
      </c>
      <c r="BN233">
        <v>30970336</v>
      </c>
      <c r="BO233" t="s">
        <v>74</v>
      </c>
      <c r="BP233" t="s">
        <v>74</v>
      </c>
      <c r="BQ233" t="s">
        <v>74</v>
      </c>
      <c r="BR233" t="s">
        <v>106</v>
      </c>
      <c r="BS233" t="s">
        <v>3891</v>
      </c>
      <c r="BT233" t="str">
        <f>HYPERLINK("https%3A%2F%2Fwww.webofscience.com%2Fwos%2Fwoscc%2Ffull-record%2FWOS:000467464500004","View Full Record in Web of Science")</f>
        <v>View Full Record in Web of Science</v>
      </c>
    </row>
    <row r="234" spans="1:72" x14ac:dyDescent="0.25">
      <c r="A234" t="s">
        <v>72</v>
      </c>
      <c r="B234" t="s">
        <v>3892</v>
      </c>
      <c r="C234" t="s">
        <v>74</v>
      </c>
      <c r="D234" t="s">
        <v>74</v>
      </c>
      <c r="E234" t="s">
        <v>74</v>
      </c>
      <c r="F234" t="s">
        <v>3893</v>
      </c>
      <c r="G234" t="s">
        <v>74</v>
      </c>
      <c r="H234" t="s">
        <v>74</v>
      </c>
      <c r="I234" t="s">
        <v>3894</v>
      </c>
      <c r="J234" t="s">
        <v>77</v>
      </c>
      <c r="K234" t="s">
        <v>74</v>
      </c>
      <c r="L234" t="s">
        <v>74</v>
      </c>
      <c r="M234" t="s">
        <v>78</v>
      </c>
      <c r="N234" t="s">
        <v>79</v>
      </c>
      <c r="O234" t="s">
        <v>74</v>
      </c>
      <c r="P234" t="s">
        <v>74</v>
      </c>
      <c r="Q234" t="s">
        <v>74</v>
      </c>
      <c r="R234" t="s">
        <v>74</v>
      </c>
      <c r="S234" t="s">
        <v>74</v>
      </c>
      <c r="T234" t="s">
        <v>3895</v>
      </c>
      <c r="U234" t="s">
        <v>3896</v>
      </c>
      <c r="V234" t="s">
        <v>3897</v>
      </c>
      <c r="W234" t="s">
        <v>3898</v>
      </c>
      <c r="X234" t="s">
        <v>3899</v>
      </c>
      <c r="Y234" t="s">
        <v>3900</v>
      </c>
      <c r="Z234" t="s">
        <v>3901</v>
      </c>
      <c r="AA234" t="s">
        <v>3902</v>
      </c>
      <c r="AB234" t="s">
        <v>3903</v>
      </c>
      <c r="AC234" t="s">
        <v>74</v>
      </c>
      <c r="AD234" t="s">
        <v>74</v>
      </c>
      <c r="AE234" t="s">
        <v>74</v>
      </c>
      <c r="AF234" t="s">
        <v>74</v>
      </c>
      <c r="AG234">
        <v>33</v>
      </c>
      <c r="AH234">
        <v>11</v>
      </c>
      <c r="AI234">
        <v>11</v>
      </c>
      <c r="AJ234">
        <v>0</v>
      </c>
      <c r="AK234">
        <v>8</v>
      </c>
      <c r="AL234" t="s">
        <v>92</v>
      </c>
      <c r="AM234" t="s">
        <v>93</v>
      </c>
      <c r="AN234" t="s">
        <v>94</v>
      </c>
      <c r="AO234" t="s">
        <v>95</v>
      </c>
      <c r="AP234" t="s">
        <v>96</v>
      </c>
      <c r="AQ234" t="s">
        <v>74</v>
      </c>
      <c r="AR234" t="s">
        <v>97</v>
      </c>
      <c r="AS234" t="s">
        <v>98</v>
      </c>
      <c r="AT234" t="s">
        <v>370</v>
      </c>
      <c r="AU234">
        <v>2019</v>
      </c>
      <c r="AV234">
        <v>64</v>
      </c>
      <c r="AW234">
        <v>9</v>
      </c>
      <c r="AX234" t="s">
        <v>74</v>
      </c>
      <c r="AY234" t="s">
        <v>74</v>
      </c>
      <c r="AZ234" t="s">
        <v>74</v>
      </c>
      <c r="BA234" t="s">
        <v>74</v>
      </c>
      <c r="BB234" t="s">
        <v>74</v>
      </c>
      <c r="BC234" t="s">
        <v>74</v>
      </c>
      <c r="BD234">
        <v>95010</v>
      </c>
      <c r="BE234" t="s">
        <v>3904</v>
      </c>
      <c r="BF234" t="str">
        <f>HYPERLINK("http://dx.doi.org/10.1088/1361-6560/ab0db4","http://dx.doi.org/10.1088/1361-6560/ab0db4")</f>
        <v>http://dx.doi.org/10.1088/1361-6560/ab0db4</v>
      </c>
      <c r="BG234" t="s">
        <v>74</v>
      </c>
      <c r="BH234" t="s">
        <v>74</v>
      </c>
      <c r="BI234">
        <v>13</v>
      </c>
      <c r="BJ234" t="s">
        <v>101</v>
      </c>
      <c r="BK234" t="s">
        <v>102</v>
      </c>
      <c r="BL234" t="s">
        <v>103</v>
      </c>
      <c r="BM234" t="s">
        <v>2973</v>
      </c>
      <c r="BN234">
        <v>30844771</v>
      </c>
      <c r="BO234" t="s">
        <v>74</v>
      </c>
      <c r="BP234" t="s">
        <v>74</v>
      </c>
      <c r="BQ234" t="s">
        <v>74</v>
      </c>
      <c r="BR234" t="s">
        <v>106</v>
      </c>
      <c r="BS234" t="s">
        <v>3905</v>
      </c>
      <c r="BT234" t="str">
        <f>HYPERLINK("https%3A%2F%2Fwww.webofscience.com%2Fwos%2Fwoscc%2Ffull-record%2FWOS:000466266500001","View Full Record in Web of Science")</f>
        <v>View Full Record in Web of Science</v>
      </c>
    </row>
    <row r="235" spans="1:72" x14ac:dyDescent="0.25">
      <c r="A235" t="s">
        <v>72</v>
      </c>
      <c r="B235" t="s">
        <v>3906</v>
      </c>
      <c r="C235" t="s">
        <v>74</v>
      </c>
      <c r="D235" t="s">
        <v>74</v>
      </c>
      <c r="E235" t="s">
        <v>74</v>
      </c>
      <c r="F235" t="s">
        <v>3907</v>
      </c>
      <c r="G235" t="s">
        <v>74</v>
      </c>
      <c r="H235" t="s">
        <v>74</v>
      </c>
      <c r="I235" t="s">
        <v>3908</v>
      </c>
      <c r="J235" t="s">
        <v>77</v>
      </c>
      <c r="K235" t="s">
        <v>74</v>
      </c>
      <c r="L235" t="s">
        <v>74</v>
      </c>
      <c r="M235" t="s">
        <v>78</v>
      </c>
      <c r="N235" t="s">
        <v>79</v>
      </c>
      <c r="O235" t="s">
        <v>74</v>
      </c>
      <c r="P235" t="s">
        <v>74</v>
      </c>
      <c r="Q235" t="s">
        <v>74</v>
      </c>
      <c r="R235" t="s">
        <v>74</v>
      </c>
      <c r="S235" t="s">
        <v>74</v>
      </c>
      <c r="T235" t="s">
        <v>3909</v>
      </c>
      <c r="U235" t="s">
        <v>3910</v>
      </c>
      <c r="V235" t="s">
        <v>3911</v>
      </c>
      <c r="W235" t="s">
        <v>3912</v>
      </c>
      <c r="X235" t="s">
        <v>3913</v>
      </c>
      <c r="Y235" t="s">
        <v>3914</v>
      </c>
      <c r="Z235" t="s">
        <v>3915</v>
      </c>
      <c r="AA235" t="s">
        <v>3916</v>
      </c>
      <c r="AB235" t="s">
        <v>3917</v>
      </c>
      <c r="AC235" t="s">
        <v>3918</v>
      </c>
      <c r="AD235" t="s">
        <v>3919</v>
      </c>
      <c r="AE235" t="s">
        <v>3920</v>
      </c>
      <c r="AF235" t="s">
        <v>74</v>
      </c>
      <c r="AG235">
        <v>23</v>
      </c>
      <c r="AH235">
        <v>22</v>
      </c>
      <c r="AI235">
        <v>24</v>
      </c>
      <c r="AJ235">
        <v>0</v>
      </c>
      <c r="AK235">
        <v>16</v>
      </c>
      <c r="AL235" t="s">
        <v>92</v>
      </c>
      <c r="AM235" t="s">
        <v>93</v>
      </c>
      <c r="AN235" t="s">
        <v>94</v>
      </c>
      <c r="AO235" t="s">
        <v>95</v>
      </c>
      <c r="AP235" t="s">
        <v>96</v>
      </c>
      <c r="AQ235" t="s">
        <v>74</v>
      </c>
      <c r="AR235" t="s">
        <v>97</v>
      </c>
      <c r="AS235" t="s">
        <v>98</v>
      </c>
      <c r="AT235" t="s">
        <v>370</v>
      </c>
      <c r="AU235">
        <v>2019</v>
      </c>
      <c r="AV235">
        <v>64</v>
      </c>
      <c r="AW235">
        <v>10</v>
      </c>
      <c r="AX235" t="s">
        <v>74</v>
      </c>
      <c r="AY235" t="s">
        <v>74</v>
      </c>
      <c r="AZ235" t="s">
        <v>74</v>
      </c>
      <c r="BA235" t="s">
        <v>74</v>
      </c>
      <c r="BB235" t="s">
        <v>74</v>
      </c>
      <c r="BC235" t="s">
        <v>74</v>
      </c>
      <c r="BD235">
        <v>105006</v>
      </c>
      <c r="BE235" t="s">
        <v>3921</v>
      </c>
      <c r="BF235" t="str">
        <f>HYPERLINK("http://dx.doi.org/10.1088/1361-6560/ab1c93","http://dx.doi.org/10.1088/1361-6560/ab1c93")</f>
        <v>http://dx.doi.org/10.1088/1361-6560/ab1c93</v>
      </c>
      <c r="BG235" t="s">
        <v>74</v>
      </c>
      <c r="BH235" t="s">
        <v>74</v>
      </c>
      <c r="BI235">
        <v>11</v>
      </c>
      <c r="BJ235" t="s">
        <v>101</v>
      </c>
      <c r="BK235" t="s">
        <v>102</v>
      </c>
      <c r="BL235" t="s">
        <v>103</v>
      </c>
      <c r="BM235" t="s">
        <v>1160</v>
      </c>
      <c r="BN235">
        <v>31022714</v>
      </c>
      <c r="BO235" t="s">
        <v>74</v>
      </c>
      <c r="BP235" t="s">
        <v>74</v>
      </c>
      <c r="BQ235" t="s">
        <v>74</v>
      </c>
      <c r="BR235" t="s">
        <v>106</v>
      </c>
      <c r="BS235" t="s">
        <v>3922</v>
      </c>
      <c r="BT235" t="str">
        <f>HYPERLINK("https%3A%2F%2Fwww.webofscience.com%2Fwos%2Fwoscc%2Ffull-record%2FWOS:000467702500001","View Full Record in Web of Science")</f>
        <v>View Full Record in Web of Science</v>
      </c>
    </row>
    <row r="236" spans="1:72" x14ac:dyDescent="0.25">
      <c r="A236" t="s">
        <v>72</v>
      </c>
      <c r="B236" t="s">
        <v>3923</v>
      </c>
      <c r="C236" t="s">
        <v>74</v>
      </c>
      <c r="D236" t="s">
        <v>74</v>
      </c>
      <c r="E236" t="s">
        <v>74</v>
      </c>
      <c r="F236" t="s">
        <v>3924</v>
      </c>
      <c r="G236" t="s">
        <v>74</v>
      </c>
      <c r="H236" t="s">
        <v>74</v>
      </c>
      <c r="I236" t="s">
        <v>3925</v>
      </c>
      <c r="J236" t="s">
        <v>77</v>
      </c>
      <c r="K236" t="s">
        <v>74</v>
      </c>
      <c r="L236" t="s">
        <v>74</v>
      </c>
      <c r="M236" t="s">
        <v>78</v>
      </c>
      <c r="N236" t="s">
        <v>79</v>
      </c>
      <c r="O236" t="s">
        <v>74</v>
      </c>
      <c r="P236" t="s">
        <v>74</v>
      </c>
      <c r="Q236" t="s">
        <v>74</v>
      </c>
      <c r="R236" t="s">
        <v>74</v>
      </c>
      <c r="S236" t="s">
        <v>74</v>
      </c>
      <c r="T236" t="s">
        <v>3926</v>
      </c>
      <c r="U236" t="s">
        <v>3927</v>
      </c>
      <c r="V236" t="s">
        <v>3928</v>
      </c>
      <c r="W236" t="s">
        <v>3929</v>
      </c>
      <c r="X236" t="s">
        <v>3930</v>
      </c>
      <c r="Y236" t="s">
        <v>3931</v>
      </c>
      <c r="Z236" t="s">
        <v>3932</v>
      </c>
      <c r="AA236" t="s">
        <v>3933</v>
      </c>
      <c r="AB236" t="s">
        <v>74</v>
      </c>
      <c r="AC236" t="s">
        <v>3934</v>
      </c>
      <c r="AD236" t="s">
        <v>3935</v>
      </c>
      <c r="AE236" t="s">
        <v>3936</v>
      </c>
      <c r="AF236" t="s">
        <v>74</v>
      </c>
      <c r="AG236">
        <v>16</v>
      </c>
      <c r="AH236">
        <v>8</v>
      </c>
      <c r="AI236">
        <v>9</v>
      </c>
      <c r="AJ236">
        <v>0</v>
      </c>
      <c r="AK236">
        <v>13</v>
      </c>
      <c r="AL236" t="s">
        <v>92</v>
      </c>
      <c r="AM236" t="s">
        <v>93</v>
      </c>
      <c r="AN236" t="s">
        <v>94</v>
      </c>
      <c r="AO236" t="s">
        <v>95</v>
      </c>
      <c r="AP236" t="s">
        <v>96</v>
      </c>
      <c r="AQ236" t="s">
        <v>74</v>
      </c>
      <c r="AR236" t="s">
        <v>97</v>
      </c>
      <c r="AS236" t="s">
        <v>98</v>
      </c>
      <c r="AT236" t="s">
        <v>386</v>
      </c>
      <c r="AU236">
        <v>2019</v>
      </c>
      <c r="AV236">
        <v>64</v>
      </c>
      <c r="AW236">
        <v>8</v>
      </c>
      <c r="AX236" t="s">
        <v>74</v>
      </c>
      <c r="AY236" t="s">
        <v>74</v>
      </c>
      <c r="AZ236" t="s">
        <v>74</v>
      </c>
      <c r="BA236" t="s">
        <v>74</v>
      </c>
      <c r="BB236" t="s">
        <v>74</v>
      </c>
      <c r="BC236" t="s">
        <v>74</v>
      </c>
      <c r="BD236" t="s">
        <v>3937</v>
      </c>
      <c r="BE236" t="s">
        <v>3938</v>
      </c>
      <c r="BF236" t="str">
        <f>HYPERLINK("http://dx.doi.org/10.1088/1361-6560/ab0e9d","http://dx.doi.org/10.1088/1361-6560/ab0e9d")</f>
        <v>http://dx.doi.org/10.1088/1361-6560/ab0e9d</v>
      </c>
      <c r="BG236" t="s">
        <v>74</v>
      </c>
      <c r="BH236" t="s">
        <v>74</v>
      </c>
      <c r="BI236">
        <v>8</v>
      </c>
      <c r="BJ236" t="s">
        <v>101</v>
      </c>
      <c r="BK236" t="s">
        <v>102</v>
      </c>
      <c r="BL236" t="s">
        <v>103</v>
      </c>
      <c r="BM236" t="s">
        <v>629</v>
      </c>
      <c r="BN236">
        <v>30958796</v>
      </c>
      <c r="BO236" t="s">
        <v>105</v>
      </c>
      <c r="BP236" t="s">
        <v>74</v>
      </c>
      <c r="BQ236" t="s">
        <v>74</v>
      </c>
      <c r="BR236" t="s">
        <v>106</v>
      </c>
      <c r="BS236" t="s">
        <v>3939</v>
      </c>
      <c r="BT236" t="str">
        <f>HYPERLINK("https%3A%2F%2Fwww.webofscience.com%2Fwos%2Fwoscc%2Ffull-record%2FWOS:000518922300002","View Full Record in Web of Science")</f>
        <v>View Full Record in Web of Science</v>
      </c>
    </row>
    <row r="237" spans="1:72" x14ac:dyDescent="0.25">
      <c r="A237" t="s">
        <v>72</v>
      </c>
      <c r="B237" t="s">
        <v>3940</v>
      </c>
      <c r="C237" t="s">
        <v>74</v>
      </c>
      <c r="D237" t="s">
        <v>74</v>
      </c>
      <c r="E237" t="s">
        <v>74</v>
      </c>
      <c r="F237" t="s">
        <v>3941</v>
      </c>
      <c r="G237" t="s">
        <v>74</v>
      </c>
      <c r="H237" t="s">
        <v>74</v>
      </c>
      <c r="I237" t="s">
        <v>3942</v>
      </c>
      <c r="J237" t="s">
        <v>77</v>
      </c>
      <c r="K237" t="s">
        <v>74</v>
      </c>
      <c r="L237" t="s">
        <v>74</v>
      </c>
      <c r="M237" t="s">
        <v>78</v>
      </c>
      <c r="N237" t="s">
        <v>79</v>
      </c>
      <c r="O237" t="s">
        <v>74</v>
      </c>
      <c r="P237" t="s">
        <v>74</v>
      </c>
      <c r="Q237" t="s">
        <v>74</v>
      </c>
      <c r="R237" t="s">
        <v>74</v>
      </c>
      <c r="S237" t="s">
        <v>74</v>
      </c>
      <c r="T237" t="s">
        <v>3943</v>
      </c>
      <c r="U237" t="s">
        <v>3944</v>
      </c>
      <c r="V237" t="s">
        <v>3945</v>
      </c>
      <c r="W237" t="s">
        <v>3946</v>
      </c>
      <c r="X237" t="s">
        <v>3947</v>
      </c>
      <c r="Y237" t="s">
        <v>3948</v>
      </c>
      <c r="Z237" t="s">
        <v>3949</v>
      </c>
      <c r="AA237" t="s">
        <v>3950</v>
      </c>
      <c r="AB237" t="s">
        <v>3951</v>
      </c>
      <c r="AC237" t="s">
        <v>3952</v>
      </c>
      <c r="AD237" t="s">
        <v>3953</v>
      </c>
      <c r="AE237" t="s">
        <v>3954</v>
      </c>
      <c r="AF237" t="s">
        <v>74</v>
      </c>
      <c r="AG237">
        <v>52</v>
      </c>
      <c r="AH237">
        <v>42</v>
      </c>
      <c r="AI237">
        <v>43</v>
      </c>
      <c r="AJ237">
        <v>0</v>
      </c>
      <c r="AK237">
        <v>9</v>
      </c>
      <c r="AL237" t="s">
        <v>157</v>
      </c>
      <c r="AM237" t="s">
        <v>93</v>
      </c>
      <c r="AN237" t="s">
        <v>94</v>
      </c>
      <c r="AO237" t="s">
        <v>95</v>
      </c>
      <c r="AP237" t="s">
        <v>96</v>
      </c>
      <c r="AQ237" t="s">
        <v>74</v>
      </c>
      <c r="AR237" t="s">
        <v>97</v>
      </c>
      <c r="AS237" t="s">
        <v>98</v>
      </c>
      <c r="AT237" t="s">
        <v>386</v>
      </c>
      <c r="AU237">
        <v>2019</v>
      </c>
      <c r="AV237">
        <v>64</v>
      </c>
      <c r="AW237">
        <v>8</v>
      </c>
      <c r="AX237" t="s">
        <v>74</v>
      </c>
      <c r="AY237" t="s">
        <v>74</v>
      </c>
      <c r="AZ237" t="s">
        <v>74</v>
      </c>
      <c r="BA237" t="s">
        <v>74</v>
      </c>
      <c r="BB237" t="s">
        <v>74</v>
      </c>
      <c r="BC237" t="s">
        <v>74</v>
      </c>
      <c r="BD237">
        <v>85006</v>
      </c>
      <c r="BE237" t="s">
        <v>3955</v>
      </c>
      <c r="BF237" t="str">
        <f>HYPERLINK("http://dx.doi.org/10.1088/1361-6560/ab0ea6","http://dx.doi.org/10.1088/1361-6560/ab0ea6")</f>
        <v>http://dx.doi.org/10.1088/1361-6560/ab0ea6</v>
      </c>
      <c r="BG237" t="s">
        <v>74</v>
      </c>
      <c r="BH237" t="s">
        <v>74</v>
      </c>
      <c r="BI237">
        <v>20</v>
      </c>
      <c r="BJ237" t="s">
        <v>101</v>
      </c>
      <c r="BK237" t="s">
        <v>102</v>
      </c>
      <c r="BL237" t="s">
        <v>103</v>
      </c>
      <c r="BM237" t="s">
        <v>3036</v>
      </c>
      <c r="BN237">
        <v>30856618</v>
      </c>
      <c r="BO237" t="s">
        <v>74</v>
      </c>
      <c r="BP237" t="s">
        <v>74</v>
      </c>
      <c r="BQ237" t="s">
        <v>74</v>
      </c>
      <c r="BR237" t="s">
        <v>106</v>
      </c>
      <c r="BS237" t="s">
        <v>3956</v>
      </c>
      <c r="BT237" t="str">
        <f>HYPERLINK("https%3A%2F%2Fwww.webofscience.com%2Fwos%2Fwoscc%2Ffull-record%2FWOS:000518923400006","View Full Record in Web of Science")</f>
        <v>View Full Record in Web of Science</v>
      </c>
    </row>
    <row r="238" spans="1:72" x14ac:dyDescent="0.25">
      <c r="A238" t="s">
        <v>72</v>
      </c>
      <c r="B238" t="s">
        <v>3957</v>
      </c>
      <c r="C238" t="s">
        <v>74</v>
      </c>
      <c r="D238" t="s">
        <v>74</v>
      </c>
      <c r="E238" t="s">
        <v>74</v>
      </c>
      <c r="F238" t="s">
        <v>3958</v>
      </c>
      <c r="G238" t="s">
        <v>74</v>
      </c>
      <c r="H238" t="s">
        <v>74</v>
      </c>
      <c r="I238" t="s">
        <v>3959</v>
      </c>
      <c r="J238" t="s">
        <v>77</v>
      </c>
      <c r="K238" t="s">
        <v>74</v>
      </c>
      <c r="L238" t="s">
        <v>74</v>
      </c>
      <c r="M238" t="s">
        <v>78</v>
      </c>
      <c r="N238" t="s">
        <v>79</v>
      </c>
      <c r="O238" t="s">
        <v>74</v>
      </c>
      <c r="P238" t="s">
        <v>74</v>
      </c>
      <c r="Q238" t="s">
        <v>74</v>
      </c>
      <c r="R238" t="s">
        <v>74</v>
      </c>
      <c r="S238" t="s">
        <v>74</v>
      </c>
      <c r="T238" t="s">
        <v>3960</v>
      </c>
      <c r="U238" t="s">
        <v>3961</v>
      </c>
      <c r="V238" t="s">
        <v>3962</v>
      </c>
      <c r="W238" t="s">
        <v>3963</v>
      </c>
      <c r="X238" t="s">
        <v>3964</v>
      </c>
      <c r="Y238" t="s">
        <v>3965</v>
      </c>
      <c r="Z238" t="s">
        <v>3966</v>
      </c>
      <c r="AA238" t="s">
        <v>3967</v>
      </c>
      <c r="AB238" t="s">
        <v>3968</v>
      </c>
      <c r="AC238" t="s">
        <v>74</v>
      </c>
      <c r="AD238" t="s">
        <v>74</v>
      </c>
      <c r="AE238" t="s">
        <v>74</v>
      </c>
      <c r="AF238" t="s">
        <v>74</v>
      </c>
      <c r="AG238">
        <v>22</v>
      </c>
      <c r="AH238">
        <v>70</v>
      </c>
      <c r="AI238">
        <v>73</v>
      </c>
      <c r="AJ238">
        <v>4</v>
      </c>
      <c r="AK238">
        <v>31</v>
      </c>
      <c r="AL238" t="s">
        <v>92</v>
      </c>
      <c r="AM238" t="s">
        <v>93</v>
      </c>
      <c r="AN238" t="s">
        <v>94</v>
      </c>
      <c r="AO238" t="s">
        <v>95</v>
      </c>
      <c r="AP238" t="s">
        <v>96</v>
      </c>
      <c r="AQ238" t="s">
        <v>74</v>
      </c>
      <c r="AR238" t="s">
        <v>97</v>
      </c>
      <c r="AS238" t="s">
        <v>98</v>
      </c>
      <c r="AT238" t="s">
        <v>386</v>
      </c>
      <c r="AU238">
        <v>2019</v>
      </c>
      <c r="AV238">
        <v>64</v>
      </c>
      <c r="AW238">
        <v>7</v>
      </c>
      <c r="AX238" t="s">
        <v>74</v>
      </c>
      <c r="AY238" t="s">
        <v>74</v>
      </c>
      <c r="AZ238" t="s">
        <v>74</v>
      </c>
      <c r="BA238" t="s">
        <v>74</v>
      </c>
      <c r="BB238" t="s">
        <v>74</v>
      </c>
      <c r="BC238" t="s">
        <v>74</v>
      </c>
      <c r="BD238" t="s">
        <v>3969</v>
      </c>
      <c r="BE238" t="s">
        <v>3970</v>
      </c>
      <c r="BF238" t="str">
        <f>HYPERLINK("http://dx.doi.org/10.1088/1361-6560/ab0fce","http://dx.doi.org/10.1088/1361-6560/ab0fce")</f>
        <v>http://dx.doi.org/10.1088/1361-6560/ab0fce</v>
      </c>
      <c r="BG238" t="s">
        <v>74</v>
      </c>
      <c r="BH238" t="s">
        <v>74</v>
      </c>
      <c r="BI238">
        <v>6</v>
      </c>
      <c r="BJ238" t="s">
        <v>101</v>
      </c>
      <c r="BK238" t="s">
        <v>102</v>
      </c>
      <c r="BL238" t="s">
        <v>103</v>
      </c>
      <c r="BM238" t="s">
        <v>3971</v>
      </c>
      <c r="BN238">
        <v>30870825</v>
      </c>
      <c r="BO238" t="s">
        <v>74</v>
      </c>
      <c r="BP238" t="s">
        <v>74</v>
      </c>
      <c r="BQ238" t="s">
        <v>74</v>
      </c>
      <c r="BR238" t="s">
        <v>106</v>
      </c>
      <c r="BS238" t="s">
        <v>3972</v>
      </c>
      <c r="BT238" t="str">
        <f>HYPERLINK("https%3A%2F%2Fwww.webofscience.com%2Fwos%2Fwoscc%2Ffull-record%2FWOS:000462887900001","View Full Record in Web of Science")</f>
        <v>View Full Record in Web of Science</v>
      </c>
    </row>
    <row r="239" spans="1:72" x14ac:dyDescent="0.25">
      <c r="A239" t="s">
        <v>72</v>
      </c>
      <c r="B239" t="s">
        <v>3973</v>
      </c>
      <c r="C239" t="s">
        <v>74</v>
      </c>
      <c r="D239" t="s">
        <v>74</v>
      </c>
      <c r="E239" t="s">
        <v>74</v>
      </c>
      <c r="F239" t="s">
        <v>3974</v>
      </c>
      <c r="G239" t="s">
        <v>74</v>
      </c>
      <c r="H239" t="s">
        <v>74</v>
      </c>
      <c r="I239" t="s">
        <v>3975</v>
      </c>
      <c r="J239" t="s">
        <v>77</v>
      </c>
      <c r="K239" t="s">
        <v>74</v>
      </c>
      <c r="L239" t="s">
        <v>74</v>
      </c>
      <c r="M239" t="s">
        <v>78</v>
      </c>
      <c r="N239" t="s">
        <v>79</v>
      </c>
      <c r="O239" t="s">
        <v>74</v>
      </c>
      <c r="P239" t="s">
        <v>74</v>
      </c>
      <c r="Q239" t="s">
        <v>74</v>
      </c>
      <c r="R239" t="s">
        <v>74</v>
      </c>
      <c r="S239" t="s">
        <v>74</v>
      </c>
      <c r="T239" t="s">
        <v>3976</v>
      </c>
      <c r="U239" t="s">
        <v>3977</v>
      </c>
      <c r="V239" t="s">
        <v>3978</v>
      </c>
      <c r="W239" t="s">
        <v>3979</v>
      </c>
      <c r="X239" t="s">
        <v>3980</v>
      </c>
      <c r="Y239" t="s">
        <v>3981</v>
      </c>
      <c r="Z239" t="s">
        <v>3982</v>
      </c>
      <c r="AA239" t="s">
        <v>3983</v>
      </c>
      <c r="AB239" t="s">
        <v>3984</v>
      </c>
      <c r="AC239" t="s">
        <v>3985</v>
      </c>
      <c r="AD239" t="s">
        <v>3986</v>
      </c>
      <c r="AE239" t="s">
        <v>3987</v>
      </c>
      <c r="AF239" t="s">
        <v>74</v>
      </c>
      <c r="AG239">
        <v>24</v>
      </c>
      <c r="AH239">
        <v>8</v>
      </c>
      <c r="AI239">
        <v>8</v>
      </c>
      <c r="AJ239">
        <v>0</v>
      </c>
      <c r="AK239">
        <v>1</v>
      </c>
      <c r="AL239" t="s">
        <v>92</v>
      </c>
      <c r="AM239" t="s">
        <v>93</v>
      </c>
      <c r="AN239" t="s">
        <v>94</v>
      </c>
      <c r="AO239" t="s">
        <v>95</v>
      </c>
      <c r="AP239" t="s">
        <v>96</v>
      </c>
      <c r="AQ239" t="s">
        <v>74</v>
      </c>
      <c r="AR239" t="s">
        <v>97</v>
      </c>
      <c r="AS239" t="s">
        <v>98</v>
      </c>
      <c r="AT239" t="s">
        <v>436</v>
      </c>
      <c r="AU239">
        <v>2019</v>
      </c>
      <c r="AV239">
        <v>64</v>
      </c>
      <c r="AW239">
        <v>6</v>
      </c>
      <c r="AX239" t="s">
        <v>74</v>
      </c>
      <c r="AY239" t="s">
        <v>74</v>
      </c>
      <c r="AZ239" t="s">
        <v>74</v>
      </c>
      <c r="BA239" t="s">
        <v>74</v>
      </c>
      <c r="BB239" t="s">
        <v>74</v>
      </c>
      <c r="BC239" t="s">
        <v>74</v>
      </c>
      <c r="BD239">
        <v>65003</v>
      </c>
      <c r="BE239" t="s">
        <v>3988</v>
      </c>
      <c r="BF239" t="str">
        <f>HYPERLINK("http://dx.doi.org/10.1088/1361-6560/ab02a8","http://dx.doi.org/10.1088/1361-6560/ab02a8")</f>
        <v>http://dx.doi.org/10.1088/1361-6560/ab02a8</v>
      </c>
      <c r="BG239" t="s">
        <v>74</v>
      </c>
      <c r="BH239" t="s">
        <v>74</v>
      </c>
      <c r="BI239">
        <v>13</v>
      </c>
      <c r="BJ239" t="s">
        <v>101</v>
      </c>
      <c r="BK239" t="s">
        <v>102</v>
      </c>
      <c r="BL239" t="s">
        <v>103</v>
      </c>
      <c r="BM239" t="s">
        <v>1580</v>
      </c>
      <c r="BN239">
        <v>30695753</v>
      </c>
      <c r="BO239" t="s">
        <v>270</v>
      </c>
      <c r="BP239" t="s">
        <v>74</v>
      </c>
      <c r="BQ239" t="s">
        <v>74</v>
      </c>
      <c r="BR239" t="s">
        <v>106</v>
      </c>
      <c r="BS239" t="s">
        <v>3989</v>
      </c>
      <c r="BT239" t="str">
        <f>HYPERLINK("https%3A%2F%2Fwww.webofscience.com%2Fwos%2Fwoscc%2Ffull-record%2FWOS:000460822700003","View Full Record in Web of Science")</f>
        <v>View Full Record in Web of Science</v>
      </c>
    </row>
    <row r="240" spans="1:72" x14ac:dyDescent="0.25">
      <c r="A240" t="s">
        <v>72</v>
      </c>
      <c r="B240" t="s">
        <v>3990</v>
      </c>
      <c r="C240" t="s">
        <v>74</v>
      </c>
      <c r="D240" t="s">
        <v>74</v>
      </c>
      <c r="E240" t="s">
        <v>74</v>
      </c>
      <c r="F240" t="s">
        <v>3991</v>
      </c>
      <c r="G240" t="s">
        <v>74</v>
      </c>
      <c r="H240" t="s">
        <v>74</v>
      </c>
      <c r="I240" t="s">
        <v>3992</v>
      </c>
      <c r="J240" t="s">
        <v>77</v>
      </c>
      <c r="K240" t="s">
        <v>74</v>
      </c>
      <c r="L240" t="s">
        <v>74</v>
      </c>
      <c r="M240" t="s">
        <v>78</v>
      </c>
      <c r="N240" t="s">
        <v>79</v>
      </c>
      <c r="O240" t="s">
        <v>74</v>
      </c>
      <c r="P240" t="s">
        <v>74</v>
      </c>
      <c r="Q240" t="s">
        <v>74</v>
      </c>
      <c r="R240" t="s">
        <v>74</v>
      </c>
      <c r="S240" t="s">
        <v>74</v>
      </c>
      <c r="T240" t="s">
        <v>3993</v>
      </c>
      <c r="U240" t="s">
        <v>3994</v>
      </c>
      <c r="V240" t="s">
        <v>3995</v>
      </c>
      <c r="W240" t="s">
        <v>3996</v>
      </c>
      <c r="X240" t="s">
        <v>3997</v>
      </c>
      <c r="Y240" t="s">
        <v>3998</v>
      </c>
      <c r="Z240" t="s">
        <v>3999</v>
      </c>
      <c r="AA240" t="s">
        <v>4000</v>
      </c>
      <c r="AB240" t="s">
        <v>4001</v>
      </c>
      <c r="AC240" t="s">
        <v>4002</v>
      </c>
      <c r="AD240" t="s">
        <v>4002</v>
      </c>
      <c r="AE240" t="s">
        <v>4003</v>
      </c>
      <c r="AF240" t="s">
        <v>74</v>
      </c>
      <c r="AG240">
        <v>23</v>
      </c>
      <c r="AH240">
        <v>16</v>
      </c>
      <c r="AI240">
        <v>16</v>
      </c>
      <c r="AJ240">
        <v>0</v>
      </c>
      <c r="AK240">
        <v>5</v>
      </c>
      <c r="AL240" t="s">
        <v>92</v>
      </c>
      <c r="AM240" t="s">
        <v>93</v>
      </c>
      <c r="AN240" t="s">
        <v>94</v>
      </c>
      <c r="AO240" t="s">
        <v>95</v>
      </c>
      <c r="AP240" t="s">
        <v>96</v>
      </c>
      <c r="AQ240" t="s">
        <v>74</v>
      </c>
      <c r="AR240" t="s">
        <v>97</v>
      </c>
      <c r="AS240" t="s">
        <v>98</v>
      </c>
      <c r="AT240" t="s">
        <v>646</v>
      </c>
      <c r="AU240">
        <v>2019</v>
      </c>
      <c r="AV240">
        <v>64</v>
      </c>
      <c r="AW240">
        <v>4</v>
      </c>
      <c r="AX240" t="s">
        <v>74</v>
      </c>
      <c r="AY240" t="s">
        <v>74</v>
      </c>
      <c r="AZ240" t="s">
        <v>74</v>
      </c>
      <c r="BA240" t="s">
        <v>74</v>
      </c>
      <c r="BB240" t="s">
        <v>74</v>
      </c>
      <c r="BC240" t="s">
        <v>74</v>
      </c>
      <c r="BD240">
        <v>45001</v>
      </c>
      <c r="BE240" t="s">
        <v>4004</v>
      </c>
      <c r="BF240" t="str">
        <f>HYPERLINK("http://dx.doi.org/10.1088/1361-6560/aafd5c","http://dx.doi.org/10.1088/1361-6560/aafd5c")</f>
        <v>http://dx.doi.org/10.1088/1361-6560/aafd5c</v>
      </c>
      <c r="BG240" t="s">
        <v>74</v>
      </c>
      <c r="BH240" t="s">
        <v>74</v>
      </c>
      <c r="BI240">
        <v>17</v>
      </c>
      <c r="BJ240" t="s">
        <v>101</v>
      </c>
      <c r="BK240" t="s">
        <v>102</v>
      </c>
      <c r="BL240" t="s">
        <v>103</v>
      </c>
      <c r="BM240" t="s">
        <v>2257</v>
      </c>
      <c r="BN240">
        <v>30630158</v>
      </c>
      <c r="BO240" t="s">
        <v>105</v>
      </c>
      <c r="BP240" t="s">
        <v>74</v>
      </c>
      <c r="BQ240" t="s">
        <v>74</v>
      </c>
      <c r="BR240" t="s">
        <v>106</v>
      </c>
      <c r="BS240" t="s">
        <v>4005</v>
      </c>
      <c r="BT240" t="str">
        <f>HYPERLINK("https%3A%2F%2Fwww.webofscience.com%2Fwos%2Fwoscc%2Ffull-record%2FWOS:000457845700001","View Full Record in Web of Science")</f>
        <v>View Full Record in Web of Science</v>
      </c>
    </row>
    <row r="241" spans="1:72" x14ac:dyDescent="0.25">
      <c r="A241" t="s">
        <v>72</v>
      </c>
      <c r="B241" t="s">
        <v>4006</v>
      </c>
      <c r="C241" t="s">
        <v>74</v>
      </c>
      <c r="D241" t="s">
        <v>74</v>
      </c>
      <c r="E241" t="s">
        <v>74</v>
      </c>
      <c r="F241" t="s">
        <v>4007</v>
      </c>
      <c r="G241" t="s">
        <v>74</v>
      </c>
      <c r="H241" t="s">
        <v>74</v>
      </c>
      <c r="I241" t="s">
        <v>4008</v>
      </c>
      <c r="J241" t="s">
        <v>77</v>
      </c>
      <c r="K241" t="s">
        <v>74</v>
      </c>
      <c r="L241" t="s">
        <v>74</v>
      </c>
      <c r="M241" t="s">
        <v>78</v>
      </c>
      <c r="N241" t="s">
        <v>79</v>
      </c>
      <c r="O241" t="s">
        <v>74</v>
      </c>
      <c r="P241" t="s">
        <v>74</v>
      </c>
      <c r="Q241" t="s">
        <v>74</v>
      </c>
      <c r="R241" t="s">
        <v>74</v>
      </c>
      <c r="S241" t="s">
        <v>74</v>
      </c>
      <c r="T241" t="s">
        <v>4009</v>
      </c>
      <c r="U241" t="s">
        <v>4010</v>
      </c>
      <c r="V241" t="s">
        <v>4011</v>
      </c>
      <c r="W241" t="s">
        <v>4012</v>
      </c>
      <c r="X241" t="s">
        <v>4013</v>
      </c>
      <c r="Y241" t="s">
        <v>4014</v>
      </c>
      <c r="Z241" t="s">
        <v>4015</v>
      </c>
      <c r="AA241" t="s">
        <v>4016</v>
      </c>
      <c r="AB241" t="s">
        <v>74</v>
      </c>
      <c r="AC241" t="s">
        <v>4017</v>
      </c>
      <c r="AD241" t="s">
        <v>4018</v>
      </c>
      <c r="AE241" t="s">
        <v>4019</v>
      </c>
      <c r="AF241" t="s">
        <v>74</v>
      </c>
      <c r="AG241">
        <v>49</v>
      </c>
      <c r="AH241">
        <v>15</v>
      </c>
      <c r="AI241">
        <v>17</v>
      </c>
      <c r="AJ241">
        <v>0</v>
      </c>
      <c r="AK241">
        <v>9</v>
      </c>
      <c r="AL241" t="s">
        <v>92</v>
      </c>
      <c r="AM241" t="s">
        <v>93</v>
      </c>
      <c r="AN241" t="s">
        <v>94</v>
      </c>
      <c r="AO241" t="s">
        <v>95</v>
      </c>
      <c r="AP241" t="s">
        <v>96</v>
      </c>
      <c r="AQ241" t="s">
        <v>74</v>
      </c>
      <c r="AR241" t="s">
        <v>97</v>
      </c>
      <c r="AS241" t="s">
        <v>98</v>
      </c>
      <c r="AT241" t="s">
        <v>646</v>
      </c>
      <c r="AU241">
        <v>2019</v>
      </c>
      <c r="AV241">
        <v>64</v>
      </c>
      <c r="AW241">
        <v>3</v>
      </c>
      <c r="AX241" t="s">
        <v>74</v>
      </c>
      <c r="AY241" t="s">
        <v>74</v>
      </c>
      <c r="AZ241" t="s">
        <v>74</v>
      </c>
      <c r="BA241" t="s">
        <v>74</v>
      </c>
      <c r="BB241" t="s">
        <v>74</v>
      </c>
      <c r="BC241" t="s">
        <v>74</v>
      </c>
      <c r="BD241">
        <v>35021</v>
      </c>
      <c r="BE241" t="s">
        <v>4020</v>
      </c>
      <c r="BF241" t="str">
        <f>HYPERLINK("http://dx.doi.org/10.1088/1361-6560/aafce8","http://dx.doi.org/10.1088/1361-6560/aafce8")</f>
        <v>http://dx.doi.org/10.1088/1361-6560/aafce8</v>
      </c>
      <c r="BG241" t="s">
        <v>74</v>
      </c>
      <c r="BH241" t="s">
        <v>74</v>
      </c>
      <c r="BI241">
        <v>14</v>
      </c>
      <c r="BJ241" t="s">
        <v>101</v>
      </c>
      <c r="BK241" t="s">
        <v>102</v>
      </c>
      <c r="BL241" t="s">
        <v>103</v>
      </c>
      <c r="BM241" t="s">
        <v>4021</v>
      </c>
      <c r="BN241">
        <v>30625451</v>
      </c>
      <c r="BO241" t="s">
        <v>105</v>
      </c>
      <c r="BP241" t="s">
        <v>74</v>
      </c>
      <c r="BQ241" t="s">
        <v>74</v>
      </c>
      <c r="BR241" t="s">
        <v>106</v>
      </c>
      <c r="BS241" t="s">
        <v>4022</v>
      </c>
      <c r="BT241" t="str">
        <f>HYPERLINK("https%3A%2F%2Fwww.webofscience.com%2Fwos%2Fwoscc%2Ffull-record%2FWOS:000457721000001","View Full Record in Web of Science")</f>
        <v>View Full Record in Web of Science</v>
      </c>
    </row>
    <row r="242" spans="1:72" x14ac:dyDescent="0.25">
      <c r="A242" t="s">
        <v>72</v>
      </c>
      <c r="B242" t="s">
        <v>4023</v>
      </c>
      <c r="C242" t="s">
        <v>74</v>
      </c>
      <c r="D242" t="s">
        <v>74</v>
      </c>
      <c r="E242" t="s">
        <v>74</v>
      </c>
      <c r="F242" t="s">
        <v>4024</v>
      </c>
      <c r="G242" t="s">
        <v>74</v>
      </c>
      <c r="H242" t="s">
        <v>74</v>
      </c>
      <c r="I242" t="s">
        <v>4025</v>
      </c>
      <c r="J242" t="s">
        <v>77</v>
      </c>
      <c r="K242" t="s">
        <v>74</v>
      </c>
      <c r="L242" t="s">
        <v>74</v>
      </c>
      <c r="M242" t="s">
        <v>78</v>
      </c>
      <c r="N242" t="s">
        <v>79</v>
      </c>
      <c r="O242" t="s">
        <v>74</v>
      </c>
      <c r="P242" t="s">
        <v>74</v>
      </c>
      <c r="Q242" t="s">
        <v>74</v>
      </c>
      <c r="R242" t="s">
        <v>74</v>
      </c>
      <c r="S242" t="s">
        <v>74</v>
      </c>
      <c r="T242" t="s">
        <v>4026</v>
      </c>
      <c r="U242" t="s">
        <v>4027</v>
      </c>
      <c r="V242" t="s">
        <v>4028</v>
      </c>
      <c r="W242" t="s">
        <v>4029</v>
      </c>
      <c r="X242" t="s">
        <v>4030</v>
      </c>
      <c r="Y242" t="s">
        <v>4031</v>
      </c>
      <c r="Z242" t="s">
        <v>4032</v>
      </c>
      <c r="AA242" t="s">
        <v>74</v>
      </c>
      <c r="AB242" t="s">
        <v>4033</v>
      </c>
      <c r="AC242" t="s">
        <v>4034</v>
      </c>
      <c r="AD242" t="s">
        <v>607</v>
      </c>
      <c r="AE242" t="s">
        <v>4035</v>
      </c>
      <c r="AF242" t="s">
        <v>74</v>
      </c>
      <c r="AG242">
        <v>53</v>
      </c>
      <c r="AH242">
        <v>18</v>
      </c>
      <c r="AI242">
        <v>18</v>
      </c>
      <c r="AJ242">
        <v>2</v>
      </c>
      <c r="AK242">
        <v>17</v>
      </c>
      <c r="AL242" t="s">
        <v>92</v>
      </c>
      <c r="AM242" t="s">
        <v>93</v>
      </c>
      <c r="AN242" t="s">
        <v>94</v>
      </c>
      <c r="AO242" t="s">
        <v>95</v>
      </c>
      <c r="AP242" t="s">
        <v>96</v>
      </c>
      <c r="AQ242" t="s">
        <v>74</v>
      </c>
      <c r="AR242" t="s">
        <v>97</v>
      </c>
      <c r="AS242" t="s">
        <v>98</v>
      </c>
      <c r="AT242" t="s">
        <v>646</v>
      </c>
      <c r="AU242">
        <v>2019</v>
      </c>
      <c r="AV242">
        <v>64</v>
      </c>
      <c r="AW242">
        <v>3</v>
      </c>
      <c r="AX242" t="s">
        <v>74</v>
      </c>
      <c r="AY242" t="s">
        <v>74</v>
      </c>
      <c r="AZ242" t="s">
        <v>74</v>
      </c>
      <c r="BA242" t="s">
        <v>74</v>
      </c>
      <c r="BB242" t="s">
        <v>74</v>
      </c>
      <c r="BC242" t="s">
        <v>74</v>
      </c>
      <c r="BD242">
        <v>35005</v>
      </c>
      <c r="BE242" t="s">
        <v>4036</v>
      </c>
      <c r="BF242" t="str">
        <f>HYPERLINK("http://dx.doi.org/10.1088/1361-6560/aaf973","http://dx.doi.org/10.1088/1361-6560/aaf973")</f>
        <v>http://dx.doi.org/10.1088/1361-6560/aaf973</v>
      </c>
      <c r="BG242" t="s">
        <v>74</v>
      </c>
      <c r="BH242" t="s">
        <v>74</v>
      </c>
      <c r="BI242">
        <v>14</v>
      </c>
      <c r="BJ242" t="s">
        <v>101</v>
      </c>
      <c r="BK242" t="s">
        <v>102</v>
      </c>
      <c r="BL242" t="s">
        <v>103</v>
      </c>
      <c r="BM242" t="s">
        <v>648</v>
      </c>
      <c r="BN242">
        <v>30561382</v>
      </c>
      <c r="BO242" t="s">
        <v>105</v>
      </c>
      <c r="BP242" t="s">
        <v>74</v>
      </c>
      <c r="BQ242" t="s">
        <v>74</v>
      </c>
      <c r="BR242" t="s">
        <v>106</v>
      </c>
      <c r="BS242" t="s">
        <v>4037</v>
      </c>
      <c r="BT242" t="str">
        <f>HYPERLINK("https%3A%2F%2Fwww.webofscience.com%2Fwos%2Fwoscc%2Ffull-record%2FWOS:000456840500004","View Full Record in Web of Science")</f>
        <v>View Full Record in Web of Science</v>
      </c>
    </row>
    <row r="243" spans="1:72" x14ac:dyDescent="0.25">
      <c r="A243" t="s">
        <v>72</v>
      </c>
      <c r="B243" t="s">
        <v>4038</v>
      </c>
      <c r="C243" t="s">
        <v>74</v>
      </c>
      <c r="D243" t="s">
        <v>74</v>
      </c>
      <c r="E243" t="s">
        <v>74</v>
      </c>
      <c r="F243" t="s">
        <v>4039</v>
      </c>
      <c r="G243" t="s">
        <v>74</v>
      </c>
      <c r="H243" t="s">
        <v>74</v>
      </c>
      <c r="I243" t="s">
        <v>4040</v>
      </c>
      <c r="J243" t="s">
        <v>77</v>
      </c>
      <c r="K243" t="s">
        <v>74</v>
      </c>
      <c r="L243" t="s">
        <v>74</v>
      </c>
      <c r="M243" t="s">
        <v>78</v>
      </c>
      <c r="N243" t="s">
        <v>79</v>
      </c>
      <c r="O243" t="s">
        <v>74</v>
      </c>
      <c r="P243" t="s">
        <v>74</v>
      </c>
      <c r="Q243" t="s">
        <v>74</v>
      </c>
      <c r="R243" t="s">
        <v>74</v>
      </c>
      <c r="S243" t="s">
        <v>74</v>
      </c>
      <c r="T243" t="s">
        <v>4041</v>
      </c>
      <c r="U243" t="s">
        <v>4042</v>
      </c>
      <c r="V243" t="s">
        <v>4043</v>
      </c>
      <c r="W243" t="s">
        <v>4044</v>
      </c>
      <c r="X243" t="s">
        <v>4045</v>
      </c>
      <c r="Y243" t="s">
        <v>4046</v>
      </c>
      <c r="Z243" t="s">
        <v>4047</v>
      </c>
      <c r="AA243" t="s">
        <v>4048</v>
      </c>
      <c r="AB243" t="s">
        <v>4049</v>
      </c>
      <c r="AC243" t="s">
        <v>4050</v>
      </c>
      <c r="AD243" t="s">
        <v>4051</v>
      </c>
      <c r="AE243" t="s">
        <v>4052</v>
      </c>
      <c r="AF243" t="s">
        <v>74</v>
      </c>
      <c r="AG243">
        <v>48</v>
      </c>
      <c r="AH243">
        <v>35</v>
      </c>
      <c r="AI243">
        <v>35</v>
      </c>
      <c r="AJ243">
        <v>2</v>
      </c>
      <c r="AK243">
        <v>11</v>
      </c>
      <c r="AL243" t="s">
        <v>92</v>
      </c>
      <c r="AM243" t="s">
        <v>93</v>
      </c>
      <c r="AN243" t="s">
        <v>94</v>
      </c>
      <c r="AO243" t="s">
        <v>95</v>
      </c>
      <c r="AP243" t="s">
        <v>96</v>
      </c>
      <c r="AQ243" t="s">
        <v>74</v>
      </c>
      <c r="AR243" t="s">
        <v>97</v>
      </c>
      <c r="AS243" t="s">
        <v>98</v>
      </c>
      <c r="AT243" t="s">
        <v>471</v>
      </c>
      <c r="AU243">
        <v>2019</v>
      </c>
      <c r="AV243">
        <v>64</v>
      </c>
      <c r="AW243">
        <v>1</v>
      </c>
      <c r="AX243" t="s">
        <v>74</v>
      </c>
      <c r="AY243" t="s">
        <v>74</v>
      </c>
      <c r="AZ243" t="s">
        <v>74</v>
      </c>
      <c r="BA243" t="s">
        <v>74</v>
      </c>
      <c r="BB243" t="s">
        <v>74</v>
      </c>
      <c r="BC243" t="s">
        <v>74</v>
      </c>
      <c r="BD243">
        <v>15013</v>
      </c>
      <c r="BE243" t="s">
        <v>4053</v>
      </c>
      <c r="BF243" t="str">
        <f>HYPERLINK("http://dx.doi.org/10.1088/1361-6560/aaf0c4","http://dx.doi.org/10.1088/1361-6560/aaf0c4")</f>
        <v>http://dx.doi.org/10.1088/1361-6560/aaf0c4</v>
      </c>
      <c r="BG243" t="s">
        <v>74</v>
      </c>
      <c r="BH243" t="s">
        <v>74</v>
      </c>
      <c r="BI243">
        <v>10</v>
      </c>
      <c r="BJ243" t="s">
        <v>101</v>
      </c>
      <c r="BK243" t="s">
        <v>102</v>
      </c>
      <c r="BL243" t="s">
        <v>103</v>
      </c>
      <c r="BM243" t="s">
        <v>1597</v>
      </c>
      <c r="BN243">
        <v>30523869</v>
      </c>
      <c r="BO243" t="s">
        <v>759</v>
      </c>
      <c r="BP243" t="s">
        <v>74</v>
      </c>
      <c r="BQ243" t="s">
        <v>74</v>
      </c>
      <c r="BR243" t="s">
        <v>106</v>
      </c>
      <c r="BS243" t="s">
        <v>4054</v>
      </c>
      <c r="BT243" t="str">
        <f>HYPERLINK("https%3A%2F%2Fwww.webofscience.com%2Fwos%2Fwoscc%2Ffull-record%2FWOS:000454239200006","View Full Record in Web of Science")</f>
        <v>View Full Record in Web of Science</v>
      </c>
    </row>
    <row r="244" spans="1:72" x14ac:dyDescent="0.25">
      <c r="A244" t="s">
        <v>72</v>
      </c>
      <c r="B244" t="s">
        <v>4055</v>
      </c>
      <c r="C244" t="s">
        <v>74</v>
      </c>
      <c r="D244" t="s">
        <v>74</v>
      </c>
      <c r="E244" t="s">
        <v>74</v>
      </c>
      <c r="F244" t="s">
        <v>4056</v>
      </c>
      <c r="G244" t="s">
        <v>74</v>
      </c>
      <c r="H244" t="s">
        <v>74</v>
      </c>
      <c r="I244" t="s">
        <v>4057</v>
      </c>
      <c r="J244" t="s">
        <v>77</v>
      </c>
      <c r="K244" t="s">
        <v>74</v>
      </c>
      <c r="L244" t="s">
        <v>74</v>
      </c>
      <c r="M244" t="s">
        <v>78</v>
      </c>
      <c r="N244" t="s">
        <v>79</v>
      </c>
      <c r="O244" t="s">
        <v>74</v>
      </c>
      <c r="P244" t="s">
        <v>74</v>
      </c>
      <c r="Q244" t="s">
        <v>74</v>
      </c>
      <c r="R244" t="s">
        <v>74</v>
      </c>
      <c r="S244" t="s">
        <v>74</v>
      </c>
      <c r="T244" t="s">
        <v>4058</v>
      </c>
      <c r="U244" t="s">
        <v>4059</v>
      </c>
      <c r="V244" t="s">
        <v>4060</v>
      </c>
      <c r="W244" t="s">
        <v>4061</v>
      </c>
      <c r="X244" t="s">
        <v>4062</v>
      </c>
      <c r="Y244" t="s">
        <v>4063</v>
      </c>
      <c r="Z244" t="s">
        <v>4064</v>
      </c>
      <c r="AA244" t="s">
        <v>74</v>
      </c>
      <c r="AB244" t="s">
        <v>4065</v>
      </c>
      <c r="AC244" t="s">
        <v>4066</v>
      </c>
      <c r="AD244" t="s">
        <v>416</v>
      </c>
      <c r="AE244" t="s">
        <v>4067</v>
      </c>
      <c r="AF244" t="s">
        <v>74</v>
      </c>
      <c r="AG244">
        <v>40</v>
      </c>
      <c r="AH244">
        <v>6</v>
      </c>
      <c r="AI244">
        <v>6</v>
      </c>
      <c r="AJ244">
        <v>0</v>
      </c>
      <c r="AK244">
        <v>4</v>
      </c>
      <c r="AL244" t="s">
        <v>92</v>
      </c>
      <c r="AM244" t="s">
        <v>93</v>
      </c>
      <c r="AN244" t="s">
        <v>94</v>
      </c>
      <c r="AO244" t="s">
        <v>95</v>
      </c>
      <c r="AP244" t="s">
        <v>96</v>
      </c>
      <c r="AQ244" t="s">
        <v>74</v>
      </c>
      <c r="AR244" t="s">
        <v>97</v>
      </c>
      <c r="AS244" t="s">
        <v>98</v>
      </c>
      <c r="AT244" t="s">
        <v>471</v>
      </c>
      <c r="AU244">
        <v>2019</v>
      </c>
      <c r="AV244">
        <v>64</v>
      </c>
      <c r="AW244">
        <v>1</v>
      </c>
      <c r="AX244" t="s">
        <v>74</v>
      </c>
      <c r="AY244" t="s">
        <v>74</v>
      </c>
      <c r="AZ244" t="s">
        <v>74</v>
      </c>
      <c r="BA244" t="s">
        <v>74</v>
      </c>
      <c r="BB244" t="s">
        <v>74</v>
      </c>
      <c r="BC244" t="s">
        <v>74</v>
      </c>
      <c r="BD244">
        <v>15006</v>
      </c>
      <c r="BE244" t="s">
        <v>4068</v>
      </c>
      <c r="BF244" t="str">
        <f>HYPERLINK("http://dx.doi.org/10.1088/1361-6560/aaf307","http://dx.doi.org/10.1088/1361-6560/aaf307")</f>
        <v>http://dx.doi.org/10.1088/1361-6560/aaf307</v>
      </c>
      <c r="BG244" t="s">
        <v>74</v>
      </c>
      <c r="BH244" t="s">
        <v>74</v>
      </c>
      <c r="BI244">
        <v>18</v>
      </c>
      <c r="BJ244" t="s">
        <v>101</v>
      </c>
      <c r="BK244" t="s">
        <v>102</v>
      </c>
      <c r="BL244" t="s">
        <v>103</v>
      </c>
      <c r="BM244" t="s">
        <v>666</v>
      </c>
      <c r="BN244">
        <v>30523909</v>
      </c>
      <c r="BO244" t="s">
        <v>4069</v>
      </c>
      <c r="BP244" t="s">
        <v>74</v>
      </c>
      <c r="BQ244" t="s">
        <v>74</v>
      </c>
      <c r="BR244" t="s">
        <v>106</v>
      </c>
      <c r="BS244" t="s">
        <v>4070</v>
      </c>
      <c r="BT244" t="str">
        <f>HYPERLINK("https%3A%2F%2Fwww.webofscience.com%2Fwos%2Fwoscc%2Ffull-record%2FWOS:000454078500004","View Full Record in Web of Science")</f>
        <v>View Full Record in Web of Science</v>
      </c>
    </row>
    <row r="245" spans="1:72" x14ac:dyDescent="0.25">
      <c r="A245" t="s">
        <v>72</v>
      </c>
      <c r="B245" t="s">
        <v>4071</v>
      </c>
      <c r="C245" t="s">
        <v>74</v>
      </c>
      <c r="D245" t="s">
        <v>74</v>
      </c>
      <c r="E245" t="s">
        <v>74</v>
      </c>
      <c r="F245" t="s">
        <v>4072</v>
      </c>
      <c r="G245" t="s">
        <v>74</v>
      </c>
      <c r="H245" t="s">
        <v>74</v>
      </c>
      <c r="I245" t="s">
        <v>4073</v>
      </c>
      <c r="J245" t="s">
        <v>77</v>
      </c>
      <c r="K245" t="s">
        <v>74</v>
      </c>
      <c r="L245" t="s">
        <v>74</v>
      </c>
      <c r="M245" t="s">
        <v>78</v>
      </c>
      <c r="N245" t="s">
        <v>79</v>
      </c>
      <c r="O245" t="s">
        <v>74</v>
      </c>
      <c r="P245" t="s">
        <v>74</v>
      </c>
      <c r="Q245" t="s">
        <v>74</v>
      </c>
      <c r="R245" t="s">
        <v>74</v>
      </c>
      <c r="S245" t="s">
        <v>74</v>
      </c>
      <c r="T245" t="s">
        <v>4074</v>
      </c>
      <c r="U245" t="s">
        <v>4075</v>
      </c>
      <c r="V245" t="s">
        <v>4076</v>
      </c>
      <c r="W245" t="s">
        <v>4077</v>
      </c>
      <c r="X245" t="s">
        <v>4078</v>
      </c>
      <c r="Y245" t="s">
        <v>4079</v>
      </c>
      <c r="Z245" t="s">
        <v>1792</v>
      </c>
      <c r="AA245" t="s">
        <v>4080</v>
      </c>
      <c r="AB245" t="s">
        <v>4081</v>
      </c>
      <c r="AC245" t="s">
        <v>4082</v>
      </c>
      <c r="AD245" t="s">
        <v>4083</v>
      </c>
      <c r="AE245" t="s">
        <v>4084</v>
      </c>
      <c r="AF245" t="s">
        <v>74</v>
      </c>
      <c r="AG245">
        <v>30</v>
      </c>
      <c r="AH245">
        <v>13</v>
      </c>
      <c r="AI245">
        <v>15</v>
      </c>
      <c r="AJ245">
        <v>0</v>
      </c>
      <c r="AK245">
        <v>26</v>
      </c>
      <c r="AL245" t="s">
        <v>92</v>
      </c>
      <c r="AM245" t="s">
        <v>93</v>
      </c>
      <c r="AN245" t="s">
        <v>94</v>
      </c>
      <c r="AO245" t="s">
        <v>95</v>
      </c>
      <c r="AP245" t="s">
        <v>96</v>
      </c>
      <c r="AQ245" t="s">
        <v>74</v>
      </c>
      <c r="AR245" t="s">
        <v>97</v>
      </c>
      <c r="AS245" t="s">
        <v>98</v>
      </c>
      <c r="AT245" t="s">
        <v>471</v>
      </c>
      <c r="AU245">
        <v>2019</v>
      </c>
      <c r="AV245">
        <v>64</v>
      </c>
      <c r="AW245">
        <v>2</v>
      </c>
      <c r="AX245" t="s">
        <v>74</v>
      </c>
      <c r="AY245" t="s">
        <v>74</v>
      </c>
      <c r="AZ245" t="s">
        <v>74</v>
      </c>
      <c r="BA245" t="s">
        <v>74</v>
      </c>
      <c r="BB245" t="s">
        <v>74</v>
      </c>
      <c r="BC245" t="s">
        <v>74</v>
      </c>
      <c r="BD245">
        <v>25008</v>
      </c>
      <c r="BE245" t="s">
        <v>4085</v>
      </c>
      <c r="BF245" t="str">
        <f>HYPERLINK("http://dx.doi.org/10.1088/1361-6560/aaf59a","http://dx.doi.org/10.1088/1361-6560/aaf59a")</f>
        <v>http://dx.doi.org/10.1088/1361-6560/aaf59a</v>
      </c>
      <c r="BG245" t="s">
        <v>74</v>
      </c>
      <c r="BH245" t="s">
        <v>74</v>
      </c>
      <c r="BI245">
        <v>13</v>
      </c>
      <c r="BJ245" t="s">
        <v>101</v>
      </c>
      <c r="BK245" t="s">
        <v>102</v>
      </c>
      <c r="BL245" t="s">
        <v>103</v>
      </c>
      <c r="BM245" t="s">
        <v>3082</v>
      </c>
      <c r="BN245">
        <v>30524099</v>
      </c>
      <c r="BO245" t="s">
        <v>105</v>
      </c>
      <c r="BP245" t="s">
        <v>74</v>
      </c>
      <c r="BQ245" t="s">
        <v>74</v>
      </c>
      <c r="BR245" t="s">
        <v>106</v>
      </c>
      <c r="BS245" t="s">
        <v>4086</v>
      </c>
      <c r="BT245" t="str">
        <f>HYPERLINK("https%3A%2F%2Fwww.webofscience.com%2Fwos%2Fwoscc%2Ffull-record%2FWOS:000455823300005","View Full Record in Web of Science")</f>
        <v>View Full Record in Web of Science</v>
      </c>
    </row>
    <row r="246" spans="1:72" x14ac:dyDescent="0.25">
      <c r="A246" t="s">
        <v>72</v>
      </c>
      <c r="B246" t="s">
        <v>4087</v>
      </c>
      <c r="C246" t="s">
        <v>74</v>
      </c>
      <c r="D246" t="s">
        <v>74</v>
      </c>
      <c r="E246" t="s">
        <v>74</v>
      </c>
      <c r="F246" t="s">
        <v>4088</v>
      </c>
      <c r="G246" t="s">
        <v>74</v>
      </c>
      <c r="H246" t="s">
        <v>74</v>
      </c>
      <c r="I246" t="s">
        <v>4089</v>
      </c>
      <c r="J246" t="s">
        <v>77</v>
      </c>
      <c r="K246" t="s">
        <v>74</v>
      </c>
      <c r="L246" t="s">
        <v>74</v>
      </c>
      <c r="M246" t="s">
        <v>78</v>
      </c>
      <c r="N246" t="s">
        <v>79</v>
      </c>
      <c r="O246" t="s">
        <v>74</v>
      </c>
      <c r="P246" t="s">
        <v>74</v>
      </c>
      <c r="Q246" t="s">
        <v>74</v>
      </c>
      <c r="R246" t="s">
        <v>74</v>
      </c>
      <c r="S246" t="s">
        <v>74</v>
      </c>
      <c r="T246" t="s">
        <v>4090</v>
      </c>
      <c r="U246" t="s">
        <v>4091</v>
      </c>
      <c r="V246" t="s">
        <v>4092</v>
      </c>
      <c r="W246" t="s">
        <v>4093</v>
      </c>
      <c r="X246" t="s">
        <v>4094</v>
      </c>
      <c r="Y246" t="s">
        <v>4095</v>
      </c>
      <c r="Z246" t="s">
        <v>4096</v>
      </c>
      <c r="AA246" t="s">
        <v>4097</v>
      </c>
      <c r="AB246" t="s">
        <v>4098</v>
      </c>
      <c r="AC246" t="s">
        <v>4099</v>
      </c>
      <c r="AD246" t="s">
        <v>4100</v>
      </c>
      <c r="AE246" t="s">
        <v>4101</v>
      </c>
      <c r="AF246" t="s">
        <v>74</v>
      </c>
      <c r="AG246">
        <v>29</v>
      </c>
      <c r="AH246">
        <v>16</v>
      </c>
      <c r="AI246">
        <v>16</v>
      </c>
      <c r="AJ246">
        <v>0</v>
      </c>
      <c r="AK246">
        <v>3</v>
      </c>
      <c r="AL246" t="s">
        <v>157</v>
      </c>
      <c r="AM246" t="s">
        <v>93</v>
      </c>
      <c r="AN246" t="s">
        <v>94</v>
      </c>
      <c r="AO246" t="s">
        <v>95</v>
      </c>
      <c r="AP246" t="s">
        <v>96</v>
      </c>
      <c r="AQ246" t="s">
        <v>74</v>
      </c>
      <c r="AR246" t="s">
        <v>97</v>
      </c>
      <c r="AS246" t="s">
        <v>98</v>
      </c>
      <c r="AT246" t="s">
        <v>99</v>
      </c>
      <c r="AU246">
        <v>2019</v>
      </c>
      <c r="AV246">
        <v>64</v>
      </c>
      <c r="AW246">
        <v>24</v>
      </c>
      <c r="AX246" t="s">
        <v>74</v>
      </c>
      <c r="AY246" t="s">
        <v>74</v>
      </c>
      <c r="AZ246" t="s">
        <v>74</v>
      </c>
      <c r="BA246" t="s">
        <v>74</v>
      </c>
      <c r="BB246" t="s">
        <v>74</v>
      </c>
      <c r="BC246" t="s">
        <v>74</v>
      </c>
      <c r="BD246">
        <v>245006</v>
      </c>
      <c r="BE246" t="s">
        <v>4102</v>
      </c>
      <c r="BF246" t="str">
        <f>HYPERLINK("http://dx.doi.org/10.1088/1361-6560/ab5428","http://dx.doi.org/10.1088/1361-6560/ab5428")</f>
        <v>http://dx.doi.org/10.1088/1361-6560/ab5428</v>
      </c>
      <c r="BG246" t="s">
        <v>74</v>
      </c>
      <c r="BH246" t="s">
        <v>74</v>
      </c>
      <c r="BI246">
        <v>16</v>
      </c>
      <c r="BJ246" t="s">
        <v>101</v>
      </c>
      <c r="BK246" t="s">
        <v>102</v>
      </c>
      <c r="BL246" t="s">
        <v>103</v>
      </c>
      <c r="BM246" t="s">
        <v>104</v>
      </c>
      <c r="BN246">
        <v>31683262</v>
      </c>
      <c r="BO246" t="s">
        <v>829</v>
      </c>
      <c r="BP246" t="s">
        <v>74</v>
      </c>
      <c r="BQ246" t="s">
        <v>74</v>
      </c>
      <c r="BR246" t="s">
        <v>106</v>
      </c>
      <c r="BS246" t="s">
        <v>4103</v>
      </c>
      <c r="BT246" t="str">
        <f>HYPERLINK("https%3A%2F%2Fwww.webofscience.com%2Fwos%2Fwoscc%2Ffull-record%2FWOS:000513009900006","View Full Record in Web of Science")</f>
        <v>View Full Record in Web of Science</v>
      </c>
    </row>
    <row r="247" spans="1:72" x14ac:dyDescent="0.25">
      <c r="A247" t="s">
        <v>72</v>
      </c>
      <c r="B247" t="s">
        <v>4104</v>
      </c>
      <c r="C247" t="s">
        <v>74</v>
      </c>
      <c r="D247" t="s">
        <v>74</v>
      </c>
      <c r="E247" t="s">
        <v>74</v>
      </c>
      <c r="F247" t="s">
        <v>4105</v>
      </c>
      <c r="G247" t="s">
        <v>74</v>
      </c>
      <c r="H247" t="s">
        <v>74</v>
      </c>
      <c r="I247" t="s">
        <v>4106</v>
      </c>
      <c r="J247" t="s">
        <v>77</v>
      </c>
      <c r="K247" t="s">
        <v>74</v>
      </c>
      <c r="L247" t="s">
        <v>74</v>
      </c>
      <c r="M247" t="s">
        <v>78</v>
      </c>
      <c r="N247" t="s">
        <v>79</v>
      </c>
      <c r="O247" t="s">
        <v>74</v>
      </c>
      <c r="P247" t="s">
        <v>74</v>
      </c>
      <c r="Q247" t="s">
        <v>74</v>
      </c>
      <c r="R247" t="s">
        <v>74</v>
      </c>
      <c r="S247" t="s">
        <v>74</v>
      </c>
      <c r="T247" t="s">
        <v>4107</v>
      </c>
      <c r="U247" t="s">
        <v>4108</v>
      </c>
      <c r="V247" t="s">
        <v>4109</v>
      </c>
      <c r="W247" t="s">
        <v>4110</v>
      </c>
      <c r="X247" t="s">
        <v>1708</v>
      </c>
      <c r="Y247" t="s">
        <v>4111</v>
      </c>
      <c r="Z247" t="s">
        <v>4112</v>
      </c>
      <c r="AA247" t="s">
        <v>4113</v>
      </c>
      <c r="AB247" t="s">
        <v>4114</v>
      </c>
      <c r="AC247" t="s">
        <v>4115</v>
      </c>
      <c r="AD247" t="s">
        <v>4116</v>
      </c>
      <c r="AE247" t="s">
        <v>4117</v>
      </c>
      <c r="AF247" t="s">
        <v>74</v>
      </c>
      <c r="AG247">
        <v>43</v>
      </c>
      <c r="AH247">
        <v>29</v>
      </c>
      <c r="AI247">
        <v>29</v>
      </c>
      <c r="AJ247">
        <v>0</v>
      </c>
      <c r="AK247">
        <v>1</v>
      </c>
      <c r="AL247" t="s">
        <v>92</v>
      </c>
      <c r="AM247" t="s">
        <v>93</v>
      </c>
      <c r="AN247" t="s">
        <v>94</v>
      </c>
      <c r="AO247" t="s">
        <v>95</v>
      </c>
      <c r="AP247" t="s">
        <v>96</v>
      </c>
      <c r="AQ247" t="s">
        <v>74</v>
      </c>
      <c r="AR247" t="s">
        <v>97</v>
      </c>
      <c r="AS247" t="s">
        <v>98</v>
      </c>
      <c r="AT247" t="s">
        <v>99</v>
      </c>
      <c r="AU247">
        <v>2019</v>
      </c>
      <c r="AV247">
        <v>64</v>
      </c>
      <c r="AW247">
        <v>23</v>
      </c>
      <c r="AX247" t="s">
        <v>74</v>
      </c>
      <c r="AY247" t="s">
        <v>74</v>
      </c>
      <c r="AZ247" t="s">
        <v>74</v>
      </c>
      <c r="BA247" t="s">
        <v>74</v>
      </c>
      <c r="BB247" t="s">
        <v>74</v>
      </c>
      <c r="BC247" t="s">
        <v>74</v>
      </c>
      <c r="BD247">
        <v>235008</v>
      </c>
      <c r="BE247" t="s">
        <v>4118</v>
      </c>
      <c r="BF247" t="str">
        <f>HYPERLINK("http://dx.doi.org/10.1088/1361-6560/ab5539","http://dx.doi.org/10.1088/1361-6560/ab5539")</f>
        <v>http://dx.doi.org/10.1088/1361-6560/ab5539</v>
      </c>
      <c r="BG247" t="s">
        <v>74</v>
      </c>
      <c r="BH247" t="s">
        <v>74</v>
      </c>
      <c r="BI247">
        <v>12</v>
      </c>
      <c r="BJ247" t="s">
        <v>101</v>
      </c>
      <c r="BK247" t="s">
        <v>102</v>
      </c>
      <c r="BL247" t="s">
        <v>103</v>
      </c>
      <c r="BM247" t="s">
        <v>1343</v>
      </c>
      <c r="BN247">
        <v>31698351</v>
      </c>
      <c r="BO247" t="s">
        <v>74</v>
      </c>
      <c r="BP247" t="s">
        <v>74</v>
      </c>
      <c r="BQ247" t="s">
        <v>74</v>
      </c>
      <c r="BR247" t="s">
        <v>106</v>
      </c>
      <c r="BS247" t="s">
        <v>4119</v>
      </c>
      <c r="BT247" t="str">
        <f>HYPERLINK("https%3A%2F%2Fwww.webofscience.com%2Fwos%2Fwoscc%2Ffull-record%2FWOS:000518764900002","View Full Record in Web of Science")</f>
        <v>View Full Record in Web of Science</v>
      </c>
    </row>
    <row r="248" spans="1:72" x14ac:dyDescent="0.25">
      <c r="A248" t="s">
        <v>72</v>
      </c>
      <c r="B248" t="s">
        <v>4120</v>
      </c>
      <c r="C248" t="s">
        <v>74</v>
      </c>
      <c r="D248" t="s">
        <v>74</v>
      </c>
      <c r="E248" t="s">
        <v>74</v>
      </c>
      <c r="F248" t="s">
        <v>4121</v>
      </c>
      <c r="G248" t="s">
        <v>74</v>
      </c>
      <c r="H248" t="s">
        <v>74</v>
      </c>
      <c r="I248" t="s">
        <v>4122</v>
      </c>
      <c r="J248" t="s">
        <v>77</v>
      </c>
      <c r="K248" t="s">
        <v>74</v>
      </c>
      <c r="L248" t="s">
        <v>74</v>
      </c>
      <c r="M248" t="s">
        <v>78</v>
      </c>
      <c r="N248" t="s">
        <v>79</v>
      </c>
      <c r="O248" t="s">
        <v>74</v>
      </c>
      <c r="P248" t="s">
        <v>74</v>
      </c>
      <c r="Q248" t="s">
        <v>74</v>
      </c>
      <c r="R248" t="s">
        <v>74</v>
      </c>
      <c r="S248" t="s">
        <v>74</v>
      </c>
      <c r="T248" t="s">
        <v>4123</v>
      </c>
      <c r="U248" t="s">
        <v>4124</v>
      </c>
      <c r="V248" t="s">
        <v>4125</v>
      </c>
      <c r="W248" t="s">
        <v>4126</v>
      </c>
      <c r="X248" t="s">
        <v>2589</v>
      </c>
      <c r="Y248" t="s">
        <v>4127</v>
      </c>
      <c r="Z248" t="s">
        <v>4128</v>
      </c>
      <c r="AA248" t="s">
        <v>4129</v>
      </c>
      <c r="AB248" t="s">
        <v>2593</v>
      </c>
      <c r="AC248" t="s">
        <v>4130</v>
      </c>
      <c r="AD248" t="s">
        <v>4131</v>
      </c>
      <c r="AE248" t="s">
        <v>4132</v>
      </c>
      <c r="AF248" t="s">
        <v>74</v>
      </c>
      <c r="AG248">
        <v>36</v>
      </c>
      <c r="AH248">
        <v>33</v>
      </c>
      <c r="AI248">
        <v>35</v>
      </c>
      <c r="AJ248">
        <v>4</v>
      </c>
      <c r="AK248">
        <v>35</v>
      </c>
      <c r="AL248" t="s">
        <v>92</v>
      </c>
      <c r="AM248" t="s">
        <v>93</v>
      </c>
      <c r="AN248" t="s">
        <v>94</v>
      </c>
      <c r="AO248" t="s">
        <v>95</v>
      </c>
      <c r="AP248" t="s">
        <v>96</v>
      </c>
      <c r="AQ248" t="s">
        <v>74</v>
      </c>
      <c r="AR248" t="s">
        <v>97</v>
      </c>
      <c r="AS248" t="s">
        <v>98</v>
      </c>
      <c r="AT248" t="s">
        <v>99</v>
      </c>
      <c r="AU248">
        <v>2019</v>
      </c>
      <c r="AV248">
        <v>64</v>
      </c>
      <c r="AW248">
        <v>23</v>
      </c>
      <c r="AX248" t="s">
        <v>74</v>
      </c>
      <c r="AY248" t="s">
        <v>74</v>
      </c>
      <c r="AZ248" t="s">
        <v>74</v>
      </c>
      <c r="BA248" t="s">
        <v>74</v>
      </c>
      <c r="BB248" t="s">
        <v>74</v>
      </c>
      <c r="BC248" t="s">
        <v>74</v>
      </c>
      <c r="BD248" t="s">
        <v>4133</v>
      </c>
      <c r="BE248" t="s">
        <v>4134</v>
      </c>
      <c r="BF248" t="str">
        <f>HYPERLINK("http://dx.doi.org/10.1088/1361-6560/ab5738","http://dx.doi.org/10.1088/1361-6560/ab5738")</f>
        <v>http://dx.doi.org/10.1088/1361-6560/ab5738</v>
      </c>
      <c r="BG248" t="s">
        <v>74</v>
      </c>
      <c r="BH248" t="s">
        <v>74</v>
      </c>
      <c r="BI248">
        <v>11</v>
      </c>
      <c r="BJ248" t="s">
        <v>101</v>
      </c>
      <c r="BK248" t="s">
        <v>102</v>
      </c>
      <c r="BL248" t="s">
        <v>103</v>
      </c>
      <c r="BM248" t="s">
        <v>4135</v>
      </c>
      <c r="BN248">
        <v>31722318</v>
      </c>
      <c r="BO248" t="s">
        <v>74</v>
      </c>
      <c r="BP248" t="s">
        <v>74</v>
      </c>
      <c r="BQ248" t="s">
        <v>74</v>
      </c>
      <c r="BR248" t="s">
        <v>106</v>
      </c>
      <c r="BS248" t="s">
        <v>4136</v>
      </c>
      <c r="BT248" t="str">
        <f>HYPERLINK("https%3A%2F%2Fwww.webofscience.com%2Fwos%2Fwoscc%2Ffull-record%2FWOS:000518764700001","View Full Record in Web of Science")</f>
        <v>View Full Record in Web of Science</v>
      </c>
    </row>
    <row r="249" spans="1:72" x14ac:dyDescent="0.25">
      <c r="A249" t="s">
        <v>72</v>
      </c>
      <c r="B249" t="s">
        <v>4137</v>
      </c>
      <c r="C249" t="s">
        <v>74</v>
      </c>
      <c r="D249" t="s">
        <v>74</v>
      </c>
      <c r="E249" t="s">
        <v>74</v>
      </c>
      <c r="F249" t="s">
        <v>4138</v>
      </c>
      <c r="G249" t="s">
        <v>74</v>
      </c>
      <c r="H249" t="s">
        <v>74</v>
      </c>
      <c r="I249" t="s">
        <v>4139</v>
      </c>
      <c r="J249" t="s">
        <v>77</v>
      </c>
      <c r="K249" t="s">
        <v>74</v>
      </c>
      <c r="L249" t="s">
        <v>74</v>
      </c>
      <c r="M249" t="s">
        <v>78</v>
      </c>
      <c r="N249" t="s">
        <v>79</v>
      </c>
      <c r="O249" t="s">
        <v>74</v>
      </c>
      <c r="P249" t="s">
        <v>74</v>
      </c>
      <c r="Q249" t="s">
        <v>74</v>
      </c>
      <c r="R249" t="s">
        <v>74</v>
      </c>
      <c r="S249" t="s">
        <v>74</v>
      </c>
      <c r="T249" t="s">
        <v>4140</v>
      </c>
      <c r="U249" t="s">
        <v>4141</v>
      </c>
      <c r="V249" t="s">
        <v>4142</v>
      </c>
      <c r="W249" t="s">
        <v>4143</v>
      </c>
      <c r="X249" t="s">
        <v>4144</v>
      </c>
      <c r="Y249" t="s">
        <v>4145</v>
      </c>
      <c r="Z249" t="s">
        <v>4146</v>
      </c>
      <c r="AA249" t="s">
        <v>4147</v>
      </c>
      <c r="AB249" t="s">
        <v>4148</v>
      </c>
      <c r="AC249" t="s">
        <v>4149</v>
      </c>
      <c r="AD249" t="s">
        <v>4150</v>
      </c>
      <c r="AE249" t="s">
        <v>4151</v>
      </c>
      <c r="AF249" t="s">
        <v>74</v>
      </c>
      <c r="AG249">
        <v>49</v>
      </c>
      <c r="AH249">
        <v>20</v>
      </c>
      <c r="AI249">
        <v>22</v>
      </c>
      <c r="AJ249">
        <v>1</v>
      </c>
      <c r="AK249">
        <v>9</v>
      </c>
      <c r="AL249" t="s">
        <v>92</v>
      </c>
      <c r="AM249" t="s">
        <v>93</v>
      </c>
      <c r="AN249" t="s">
        <v>94</v>
      </c>
      <c r="AO249" t="s">
        <v>95</v>
      </c>
      <c r="AP249" t="s">
        <v>96</v>
      </c>
      <c r="AQ249" t="s">
        <v>74</v>
      </c>
      <c r="AR249" t="s">
        <v>97</v>
      </c>
      <c r="AS249" t="s">
        <v>98</v>
      </c>
      <c r="AT249" t="s">
        <v>137</v>
      </c>
      <c r="AU249">
        <v>2019</v>
      </c>
      <c r="AV249">
        <v>64</v>
      </c>
      <c r="AW249">
        <v>22</v>
      </c>
      <c r="AX249" t="s">
        <v>74</v>
      </c>
      <c r="AY249" t="s">
        <v>74</v>
      </c>
      <c r="AZ249" t="s">
        <v>74</v>
      </c>
      <c r="BA249" t="s">
        <v>74</v>
      </c>
      <c r="BB249" t="s">
        <v>74</v>
      </c>
      <c r="BC249" t="s">
        <v>74</v>
      </c>
      <c r="BD249">
        <v>225008</v>
      </c>
      <c r="BE249" t="s">
        <v>4152</v>
      </c>
      <c r="BF249" t="str">
        <f>HYPERLINK("http://dx.doi.org/10.1088/1361-6560/ab5323","http://dx.doi.org/10.1088/1361-6560/ab5323")</f>
        <v>http://dx.doi.org/10.1088/1361-6560/ab5323</v>
      </c>
      <c r="BG249" t="s">
        <v>74</v>
      </c>
      <c r="BH249" t="s">
        <v>74</v>
      </c>
      <c r="BI249">
        <v>13</v>
      </c>
      <c r="BJ249" t="s">
        <v>101</v>
      </c>
      <c r="BK249" t="s">
        <v>102</v>
      </c>
      <c r="BL249" t="s">
        <v>103</v>
      </c>
      <c r="BM249" t="s">
        <v>4153</v>
      </c>
      <c r="BN249">
        <v>31671414</v>
      </c>
      <c r="BO249" t="s">
        <v>74</v>
      </c>
      <c r="BP249" t="s">
        <v>74</v>
      </c>
      <c r="BQ249" t="s">
        <v>74</v>
      </c>
      <c r="BR249" t="s">
        <v>106</v>
      </c>
      <c r="BS249" t="s">
        <v>4154</v>
      </c>
      <c r="BT249" t="str">
        <f>HYPERLINK("https%3A%2F%2Fwww.webofscience.com%2Fwos%2Fwoscc%2Ffull-record%2FWOS:000499354000001","View Full Record in Web of Science")</f>
        <v>View Full Record in Web of Science</v>
      </c>
    </row>
    <row r="250" spans="1:72" x14ac:dyDescent="0.25">
      <c r="A250" t="s">
        <v>72</v>
      </c>
      <c r="B250" t="s">
        <v>4155</v>
      </c>
      <c r="C250" t="s">
        <v>74</v>
      </c>
      <c r="D250" t="s">
        <v>74</v>
      </c>
      <c r="E250" t="s">
        <v>74</v>
      </c>
      <c r="F250" t="s">
        <v>4156</v>
      </c>
      <c r="G250" t="s">
        <v>74</v>
      </c>
      <c r="H250" t="s">
        <v>74</v>
      </c>
      <c r="I250" t="s">
        <v>4157</v>
      </c>
      <c r="J250" t="s">
        <v>77</v>
      </c>
      <c r="K250" t="s">
        <v>74</v>
      </c>
      <c r="L250" t="s">
        <v>74</v>
      </c>
      <c r="M250" t="s">
        <v>78</v>
      </c>
      <c r="N250" t="s">
        <v>79</v>
      </c>
      <c r="O250" t="s">
        <v>74</v>
      </c>
      <c r="P250" t="s">
        <v>74</v>
      </c>
      <c r="Q250" t="s">
        <v>74</v>
      </c>
      <c r="R250" t="s">
        <v>74</v>
      </c>
      <c r="S250" t="s">
        <v>74</v>
      </c>
      <c r="T250" t="s">
        <v>4158</v>
      </c>
      <c r="U250" t="s">
        <v>4159</v>
      </c>
      <c r="V250" t="s">
        <v>4160</v>
      </c>
      <c r="W250" t="s">
        <v>4161</v>
      </c>
      <c r="X250" t="s">
        <v>4162</v>
      </c>
      <c r="Y250" t="s">
        <v>4163</v>
      </c>
      <c r="Z250" t="s">
        <v>1792</v>
      </c>
      <c r="AA250" t="s">
        <v>4164</v>
      </c>
      <c r="AB250" t="s">
        <v>74</v>
      </c>
      <c r="AC250" t="s">
        <v>4165</v>
      </c>
      <c r="AD250" t="s">
        <v>4166</v>
      </c>
      <c r="AE250" t="s">
        <v>4167</v>
      </c>
      <c r="AF250" t="s">
        <v>74</v>
      </c>
      <c r="AG250">
        <v>71</v>
      </c>
      <c r="AH250">
        <v>62</v>
      </c>
      <c r="AI250">
        <v>68</v>
      </c>
      <c r="AJ250">
        <v>0</v>
      </c>
      <c r="AK250">
        <v>28</v>
      </c>
      <c r="AL250" t="s">
        <v>157</v>
      </c>
      <c r="AM250" t="s">
        <v>93</v>
      </c>
      <c r="AN250" t="s">
        <v>94</v>
      </c>
      <c r="AO250" t="s">
        <v>95</v>
      </c>
      <c r="AP250" t="s">
        <v>96</v>
      </c>
      <c r="AQ250" t="s">
        <v>74</v>
      </c>
      <c r="AR250" t="s">
        <v>97</v>
      </c>
      <c r="AS250" t="s">
        <v>98</v>
      </c>
      <c r="AT250" t="s">
        <v>137</v>
      </c>
      <c r="AU250">
        <v>2019</v>
      </c>
      <c r="AV250">
        <v>64</v>
      </c>
      <c r="AW250">
        <v>21</v>
      </c>
      <c r="AX250" t="s">
        <v>74</v>
      </c>
      <c r="AY250" t="s">
        <v>74</v>
      </c>
      <c r="AZ250" t="s">
        <v>74</v>
      </c>
      <c r="BA250" t="s">
        <v>74</v>
      </c>
      <c r="BB250" t="s">
        <v>74</v>
      </c>
      <c r="BC250" t="s">
        <v>74</v>
      </c>
      <c r="BD250">
        <v>215012</v>
      </c>
      <c r="BE250" t="s">
        <v>4168</v>
      </c>
      <c r="BF250" t="str">
        <f>HYPERLINK("http://dx.doi.org/10.1088/1361-6560/ab453d","http://dx.doi.org/10.1088/1361-6560/ab453d")</f>
        <v>http://dx.doi.org/10.1088/1361-6560/ab453d</v>
      </c>
      <c r="BG250" t="s">
        <v>74</v>
      </c>
      <c r="BH250" t="s">
        <v>74</v>
      </c>
      <c r="BI250">
        <v>17</v>
      </c>
      <c r="BJ250" t="s">
        <v>101</v>
      </c>
      <c r="BK250" t="s">
        <v>102</v>
      </c>
      <c r="BL250" t="s">
        <v>103</v>
      </c>
      <c r="BM250" t="s">
        <v>4169</v>
      </c>
      <c r="BN250">
        <v>31530765</v>
      </c>
      <c r="BO250" t="s">
        <v>795</v>
      </c>
      <c r="BP250" t="s">
        <v>74</v>
      </c>
      <c r="BQ250" t="s">
        <v>74</v>
      </c>
      <c r="BR250" t="s">
        <v>106</v>
      </c>
      <c r="BS250" t="s">
        <v>4170</v>
      </c>
      <c r="BT250" t="str">
        <f>HYPERLINK("https%3A%2F%2Fwww.webofscience.com%2Fwos%2Fwoscc%2Ffull-record%2FWOS:000494490300001","View Full Record in Web of Science")</f>
        <v>View Full Record in Web of Science</v>
      </c>
    </row>
    <row r="251" spans="1:72" x14ac:dyDescent="0.25">
      <c r="A251" t="s">
        <v>72</v>
      </c>
      <c r="B251" t="s">
        <v>4171</v>
      </c>
      <c r="C251" t="s">
        <v>74</v>
      </c>
      <c r="D251" t="s">
        <v>74</v>
      </c>
      <c r="E251" t="s">
        <v>74</v>
      </c>
      <c r="F251" t="s">
        <v>4172</v>
      </c>
      <c r="G251" t="s">
        <v>74</v>
      </c>
      <c r="H251" t="s">
        <v>74</v>
      </c>
      <c r="I251" t="s">
        <v>4173</v>
      </c>
      <c r="J251" t="s">
        <v>77</v>
      </c>
      <c r="K251" t="s">
        <v>74</v>
      </c>
      <c r="L251" t="s">
        <v>74</v>
      </c>
      <c r="M251" t="s">
        <v>78</v>
      </c>
      <c r="N251" t="s">
        <v>79</v>
      </c>
      <c r="O251" t="s">
        <v>74</v>
      </c>
      <c r="P251" t="s">
        <v>74</v>
      </c>
      <c r="Q251" t="s">
        <v>74</v>
      </c>
      <c r="R251" t="s">
        <v>74</v>
      </c>
      <c r="S251" t="s">
        <v>74</v>
      </c>
      <c r="T251" t="s">
        <v>4174</v>
      </c>
      <c r="U251" t="s">
        <v>74</v>
      </c>
      <c r="V251" t="s">
        <v>4175</v>
      </c>
      <c r="W251" t="s">
        <v>4176</v>
      </c>
      <c r="X251" t="s">
        <v>4177</v>
      </c>
      <c r="Y251" t="s">
        <v>4178</v>
      </c>
      <c r="Z251" t="s">
        <v>4179</v>
      </c>
      <c r="AA251" t="s">
        <v>4180</v>
      </c>
      <c r="AB251" t="s">
        <v>4181</v>
      </c>
      <c r="AC251" t="s">
        <v>4182</v>
      </c>
      <c r="AD251" t="s">
        <v>4183</v>
      </c>
      <c r="AE251" t="s">
        <v>4184</v>
      </c>
      <c r="AF251" t="s">
        <v>74</v>
      </c>
      <c r="AG251">
        <v>29</v>
      </c>
      <c r="AH251">
        <v>25</v>
      </c>
      <c r="AI251">
        <v>26</v>
      </c>
      <c r="AJ251">
        <v>2</v>
      </c>
      <c r="AK251">
        <v>23</v>
      </c>
      <c r="AL251" t="s">
        <v>92</v>
      </c>
      <c r="AM251" t="s">
        <v>93</v>
      </c>
      <c r="AN251" t="s">
        <v>94</v>
      </c>
      <c r="AO251" t="s">
        <v>95</v>
      </c>
      <c r="AP251" t="s">
        <v>96</v>
      </c>
      <c r="AQ251" t="s">
        <v>74</v>
      </c>
      <c r="AR251" t="s">
        <v>97</v>
      </c>
      <c r="AS251" t="s">
        <v>98</v>
      </c>
      <c r="AT251" t="s">
        <v>137</v>
      </c>
      <c r="AU251">
        <v>2019</v>
      </c>
      <c r="AV251">
        <v>64</v>
      </c>
      <c r="AW251">
        <v>21</v>
      </c>
      <c r="AX251" t="s">
        <v>74</v>
      </c>
      <c r="AY251" t="s">
        <v>74</v>
      </c>
      <c r="AZ251" t="s">
        <v>74</v>
      </c>
      <c r="BA251" t="s">
        <v>74</v>
      </c>
      <c r="BB251" t="s">
        <v>74</v>
      </c>
      <c r="BC251" t="s">
        <v>74</v>
      </c>
      <c r="BD251" t="s">
        <v>4185</v>
      </c>
      <c r="BE251" t="s">
        <v>4186</v>
      </c>
      <c r="BF251" t="str">
        <f>HYPERLINK("http://dx.doi.org/10.1088/1361-6560/ab48ab","http://dx.doi.org/10.1088/1361-6560/ab48ab")</f>
        <v>http://dx.doi.org/10.1088/1361-6560/ab48ab</v>
      </c>
      <c r="BG251" t="s">
        <v>74</v>
      </c>
      <c r="BH251" t="s">
        <v>74</v>
      </c>
      <c r="BI251">
        <v>11</v>
      </c>
      <c r="BJ251" t="s">
        <v>101</v>
      </c>
      <c r="BK251" t="s">
        <v>102</v>
      </c>
      <c r="BL251" t="s">
        <v>103</v>
      </c>
      <c r="BM251" t="s">
        <v>2290</v>
      </c>
      <c r="BN251">
        <v>31561246</v>
      </c>
      <c r="BO251" t="s">
        <v>74</v>
      </c>
      <c r="BP251" t="s">
        <v>74</v>
      </c>
      <c r="BQ251" t="s">
        <v>74</v>
      </c>
      <c r="BR251" t="s">
        <v>106</v>
      </c>
      <c r="BS251" t="s">
        <v>4187</v>
      </c>
      <c r="BT251" t="str">
        <f>HYPERLINK("https%3A%2F%2Fwww.webofscience.com%2Fwos%2Fwoscc%2Ffull-record%2FWOS:000494858700001","View Full Record in Web of Science")</f>
        <v>View Full Record in Web of Science</v>
      </c>
    </row>
    <row r="252" spans="1:72" x14ac:dyDescent="0.25">
      <c r="A252" t="s">
        <v>72</v>
      </c>
      <c r="B252" t="s">
        <v>4188</v>
      </c>
      <c r="C252" t="s">
        <v>74</v>
      </c>
      <c r="D252" t="s">
        <v>74</v>
      </c>
      <c r="E252" t="s">
        <v>74</v>
      </c>
      <c r="F252" t="s">
        <v>4189</v>
      </c>
      <c r="G252" t="s">
        <v>74</v>
      </c>
      <c r="H252" t="s">
        <v>74</v>
      </c>
      <c r="I252" t="s">
        <v>4190</v>
      </c>
      <c r="J252" t="s">
        <v>77</v>
      </c>
      <c r="K252" t="s">
        <v>74</v>
      </c>
      <c r="L252" t="s">
        <v>74</v>
      </c>
      <c r="M252" t="s">
        <v>78</v>
      </c>
      <c r="N252" t="s">
        <v>79</v>
      </c>
      <c r="O252" t="s">
        <v>74</v>
      </c>
      <c r="P252" t="s">
        <v>74</v>
      </c>
      <c r="Q252" t="s">
        <v>74</v>
      </c>
      <c r="R252" t="s">
        <v>74</v>
      </c>
      <c r="S252" t="s">
        <v>74</v>
      </c>
      <c r="T252" t="s">
        <v>4191</v>
      </c>
      <c r="U252" t="s">
        <v>74</v>
      </c>
      <c r="V252" t="s">
        <v>4192</v>
      </c>
      <c r="W252" t="s">
        <v>4193</v>
      </c>
      <c r="X252" t="s">
        <v>4194</v>
      </c>
      <c r="Y252" t="s">
        <v>4195</v>
      </c>
      <c r="Z252" t="s">
        <v>4196</v>
      </c>
      <c r="AA252" t="s">
        <v>74</v>
      </c>
      <c r="AB252" t="s">
        <v>4197</v>
      </c>
      <c r="AC252" t="s">
        <v>74</v>
      </c>
      <c r="AD252" t="s">
        <v>74</v>
      </c>
      <c r="AE252" t="s">
        <v>74</v>
      </c>
      <c r="AF252" t="s">
        <v>74</v>
      </c>
      <c r="AG252">
        <v>18</v>
      </c>
      <c r="AH252">
        <v>8</v>
      </c>
      <c r="AI252">
        <v>8</v>
      </c>
      <c r="AJ252">
        <v>0</v>
      </c>
      <c r="AK252">
        <v>0</v>
      </c>
      <c r="AL252" t="s">
        <v>92</v>
      </c>
      <c r="AM252" t="s">
        <v>93</v>
      </c>
      <c r="AN252" t="s">
        <v>94</v>
      </c>
      <c r="AO252" t="s">
        <v>95</v>
      </c>
      <c r="AP252" t="s">
        <v>96</v>
      </c>
      <c r="AQ252" t="s">
        <v>74</v>
      </c>
      <c r="AR252" t="s">
        <v>97</v>
      </c>
      <c r="AS252" t="s">
        <v>98</v>
      </c>
      <c r="AT252" t="s">
        <v>509</v>
      </c>
      <c r="AU252">
        <v>2019</v>
      </c>
      <c r="AV252">
        <v>64</v>
      </c>
      <c r="AW252">
        <v>19</v>
      </c>
      <c r="AX252" t="s">
        <v>74</v>
      </c>
      <c r="AY252" t="s">
        <v>74</v>
      </c>
      <c r="AZ252" t="s">
        <v>74</v>
      </c>
      <c r="BA252" t="s">
        <v>74</v>
      </c>
      <c r="BB252" t="s">
        <v>74</v>
      </c>
      <c r="BC252" t="s">
        <v>74</v>
      </c>
      <c r="BD252">
        <v>195011</v>
      </c>
      <c r="BE252" t="s">
        <v>4198</v>
      </c>
      <c r="BF252" t="str">
        <f>HYPERLINK("http://dx.doi.org/10.1088/1361-6560/ab3bd7","http://dx.doi.org/10.1088/1361-6560/ab3bd7")</f>
        <v>http://dx.doi.org/10.1088/1361-6560/ab3bd7</v>
      </c>
      <c r="BG252" t="s">
        <v>74</v>
      </c>
      <c r="BH252" t="s">
        <v>74</v>
      </c>
      <c r="BI252">
        <v>20</v>
      </c>
      <c r="BJ252" t="s">
        <v>101</v>
      </c>
      <c r="BK252" t="s">
        <v>102</v>
      </c>
      <c r="BL252" t="s">
        <v>103</v>
      </c>
      <c r="BM252" t="s">
        <v>4199</v>
      </c>
      <c r="BN252">
        <v>31422951</v>
      </c>
      <c r="BO252" t="s">
        <v>74</v>
      </c>
      <c r="BP252" t="s">
        <v>74</v>
      </c>
      <c r="BQ252" t="s">
        <v>74</v>
      </c>
      <c r="BR252" t="s">
        <v>106</v>
      </c>
      <c r="BS252" t="s">
        <v>4200</v>
      </c>
      <c r="BT252" t="str">
        <f>HYPERLINK("https%3A%2F%2Fwww.webofscience.com%2Fwos%2Fwoscc%2Ffull-record%2FWOS:000505954300001","View Full Record in Web of Science")</f>
        <v>View Full Record in Web of Science</v>
      </c>
    </row>
    <row r="253" spans="1:72" x14ac:dyDescent="0.25">
      <c r="A253" t="s">
        <v>72</v>
      </c>
      <c r="B253" t="s">
        <v>4201</v>
      </c>
      <c r="C253" t="s">
        <v>74</v>
      </c>
      <c r="D253" t="s">
        <v>74</v>
      </c>
      <c r="E253" t="s">
        <v>74</v>
      </c>
      <c r="F253" t="s">
        <v>4202</v>
      </c>
      <c r="G253" t="s">
        <v>74</v>
      </c>
      <c r="H253" t="s">
        <v>74</v>
      </c>
      <c r="I253" t="s">
        <v>4203</v>
      </c>
      <c r="J253" t="s">
        <v>77</v>
      </c>
      <c r="K253" t="s">
        <v>74</v>
      </c>
      <c r="L253" t="s">
        <v>74</v>
      </c>
      <c r="M253" t="s">
        <v>78</v>
      </c>
      <c r="N253" t="s">
        <v>79</v>
      </c>
      <c r="O253" t="s">
        <v>74</v>
      </c>
      <c r="P253" t="s">
        <v>74</v>
      </c>
      <c r="Q253" t="s">
        <v>74</v>
      </c>
      <c r="R253" t="s">
        <v>74</v>
      </c>
      <c r="S253" t="s">
        <v>74</v>
      </c>
      <c r="T253" t="s">
        <v>4204</v>
      </c>
      <c r="U253" t="s">
        <v>4205</v>
      </c>
      <c r="V253" t="s">
        <v>4206</v>
      </c>
      <c r="W253" t="s">
        <v>4207</v>
      </c>
      <c r="X253" t="s">
        <v>4208</v>
      </c>
      <c r="Y253" t="s">
        <v>4209</v>
      </c>
      <c r="Z253" t="s">
        <v>4210</v>
      </c>
      <c r="AA253" t="s">
        <v>74</v>
      </c>
      <c r="AB253" t="s">
        <v>74</v>
      </c>
      <c r="AC253" t="s">
        <v>74</v>
      </c>
      <c r="AD253" t="s">
        <v>74</v>
      </c>
      <c r="AE253" t="s">
        <v>74</v>
      </c>
      <c r="AF253" t="s">
        <v>74</v>
      </c>
      <c r="AG253">
        <v>40</v>
      </c>
      <c r="AH253">
        <v>23</v>
      </c>
      <c r="AI253">
        <v>27</v>
      </c>
      <c r="AJ253">
        <v>0</v>
      </c>
      <c r="AK253">
        <v>24</v>
      </c>
      <c r="AL253" t="s">
        <v>92</v>
      </c>
      <c r="AM253" t="s">
        <v>93</v>
      </c>
      <c r="AN253" t="s">
        <v>94</v>
      </c>
      <c r="AO253" t="s">
        <v>95</v>
      </c>
      <c r="AP253" t="s">
        <v>96</v>
      </c>
      <c r="AQ253" t="s">
        <v>74</v>
      </c>
      <c r="AR253" t="s">
        <v>97</v>
      </c>
      <c r="AS253" t="s">
        <v>98</v>
      </c>
      <c r="AT253" t="s">
        <v>176</v>
      </c>
      <c r="AU253">
        <v>2019</v>
      </c>
      <c r="AV253">
        <v>64</v>
      </c>
      <c r="AW253">
        <v>18</v>
      </c>
      <c r="AX253" t="s">
        <v>74</v>
      </c>
      <c r="AY253" t="s">
        <v>74</v>
      </c>
      <c r="AZ253" t="s">
        <v>74</v>
      </c>
      <c r="BA253" t="s">
        <v>74</v>
      </c>
      <c r="BB253" t="s">
        <v>74</v>
      </c>
      <c r="BC253" t="s">
        <v>74</v>
      </c>
      <c r="BD253">
        <v>185014</v>
      </c>
      <c r="BE253" t="s">
        <v>4211</v>
      </c>
      <c r="BF253" t="str">
        <f>HYPERLINK("http://dx.doi.org/10.1088/1361-6560/ab33c6","http://dx.doi.org/10.1088/1361-6560/ab33c6")</f>
        <v>http://dx.doi.org/10.1088/1361-6560/ab33c6</v>
      </c>
      <c r="BG253" t="s">
        <v>74</v>
      </c>
      <c r="BH253" t="s">
        <v>74</v>
      </c>
      <c r="BI253">
        <v>15</v>
      </c>
      <c r="BJ253" t="s">
        <v>101</v>
      </c>
      <c r="BK253" t="s">
        <v>102</v>
      </c>
      <c r="BL253" t="s">
        <v>103</v>
      </c>
      <c r="BM253" t="s">
        <v>1992</v>
      </c>
      <c r="BN253">
        <v>31323651</v>
      </c>
      <c r="BO253" t="s">
        <v>140</v>
      </c>
      <c r="BP253" t="s">
        <v>74</v>
      </c>
      <c r="BQ253" t="s">
        <v>74</v>
      </c>
      <c r="BR253" t="s">
        <v>106</v>
      </c>
      <c r="BS253" t="s">
        <v>4212</v>
      </c>
      <c r="BT253" t="str">
        <f>HYPERLINK("https%3A%2F%2Fwww.webofscience.com%2Fwos%2Fwoscc%2Ffull-record%2FWOS:000487116400003","View Full Record in Web of Science")</f>
        <v>View Full Record in Web of Science</v>
      </c>
    </row>
    <row r="254" spans="1:72" x14ac:dyDescent="0.25">
      <c r="A254" t="s">
        <v>72</v>
      </c>
      <c r="B254" t="s">
        <v>4213</v>
      </c>
      <c r="C254" t="s">
        <v>74</v>
      </c>
      <c r="D254" t="s">
        <v>74</v>
      </c>
      <c r="E254" t="s">
        <v>74</v>
      </c>
      <c r="F254" t="s">
        <v>4214</v>
      </c>
      <c r="G254" t="s">
        <v>74</v>
      </c>
      <c r="H254" t="s">
        <v>74</v>
      </c>
      <c r="I254" t="s">
        <v>4215</v>
      </c>
      <c r="J254" t="s">
        <v>77</v>
      </c>
      <c r="K254" t="s">
        <v>74</v>
      </c>
      <c r="L254" t="s">
        <v>74</v>
      </c>
      <c r="M254" t="s">
        <v>78</v>
      </c>
      <c r="N254" t="s">
        <v>79</v>
      </c>
      <c r="O254" t="s">
        <v>74</v>
      </c>
      <c r="P254" t="s">
        <v>74</v>
      </c>
      <c r="Q254" t="s">
        <v>74</v>
      </c>
      <c r="R254" t="s">
        <v>74</v>
      </c>
      <c r="S254" t="s">
        <v>74</v>
      </c>
      <c r="T254" t="s">
        <v>4216</v>
      </c>
      <c r="U254" t="s">
        <v>4217</v>
      </c>
      <c r="V254" t="s">
        <v>4218</v>
      </c>
      <c r="W254" t="s">
        <v>4219</v>
      </c>
      <c r="X254" t="s">
        <v>4220</v>
      </c>
      <c r="Y254" t="s">
        <v>4221</v>
      </c>
      <c r="Z254" t="s">
        <v>4222</v>
      </c>
      <c r="AA254" t="s">
        <v>4223</v>
      </c>
      <c r="AB254" t="s">
        <v>4224</v>
      </c>
      <c r="AC254" t="s">
        <v>4225</v>
      </c>
      <c r="AD254" t="s">
        <v>4225</v>
      </c>
      <c r="AE254" t="s">
        <v>4226</v>
      </c>
      <c r="AF254" t="s">
        <v>74</v>
      </c>
      <c r="AG254">
        <v>40</v>
      </c>
      <c r="AH254">
        <v>28</v>
      </c>
      <c r="AI254">
        <v>28</v>
      </c>
      <c r="AJ254">
        <v>0</v>
      </c>
      <c r="AK254">
        <v>9</v>
      </c>
      <c r="AL254" t="s">
        <v>92</v>
      </c>
      <c r="AM254" t="s">
        <v>93</v>
      </c>
      <c r="AN254" t="s">
        <v>94</v>
      </c>
      <c r="AO254" t="s">
        <v>95</v>
      </c>
      <c r="AP254" t="s">
        <v>96</v>
      </c>
      <c r="AQ254" t="s">
        <v>74</v>
      </c>
      <c r="AR254" t="s">
        <v>97</v>
      </c>
      <c r="AS254" t="s">
        <v>98</v>
      </c>
      <c r="AT254" t="s">
        <v>196</v>
      </c>
      <c r="AU254">
        <v>2019</v>
      </c>
      <c r="AV254">
        <v>64</v>
      </c>
      <c r="AW254">
        <v>15</v>
      </c>
      <c r="AX254" t="s">
        <v>74</v>
      </c>
      <c r="AY254" t="s">
        <v>74</v>
      </c>
      <c r="AZ254" t="s">
        <v>74</v>
      </c>
      <c r="BA254" t="s">
        <v>74</v>
      </c>
      <c r="BB254" t="s">
        <v>74</v>
      </c>
      <c r="BC254" t="s">
        <v>74</v>
      </c>
      <c r="BD254">
        <v>155011</v>
      </c>
      <c r="BE254" t="s">
        <v>4227</v>
      </c>
      <c r="BF254" t="str">
        <f>HYPERLINK("http://dx.doi.org/10.1088/1361-6560/ab2c29","http://dx.doi.org/10.1088/1361-6560/ab2c29")</f>
        <v>http://dx.doi.org/10.1088/1361-6560/ab2c29</v>
      </c>
      <c r="BG254" t="s">
        <v>74</v>
      </c>
      <c r="BH254" t="s">
        <v>74</v>
      </c>
      <c r="BI254">
        <v>13</v>
      </c>
      <c r="BJ254" t="s">
        <v>101</v>
      </c>
      <c r="BK254" t="s">
        <v>102</v>
      </c>
      <c r="BL254" t="s">
        <v>103</v>
      </c>
      <c r="BM254" t="s">
        <v>198</v>
      </c>
      <c r="BN254">
        <v>31234148</v>
      </c>
      <c r="BO254" t="s">
        <v>179</v>
      </c>
      <c r="BP254" t="s">
        <v>74</v>
      </c>
      <c r="BQ254" t="s">
        <v>74</v>
      </c>
      <c r="BR254" t="s">
        <v>106</v>
      </c>
      <c r="BS254" t="s">
        <v>4228</v>
      </c>
      <c r="BT254" t="str">
        <f>HYPERLINK("https%3A%2F%2Fwww.webofscience.com%2Fwos%2Fwoscc%2Ffull-record%2FWOS:000480292700006","View Full Record in Web of Science")</f>
        <v>View Full Record in Web of Science</v>
      </c>
    </row>
    <row r="255" spans="1:72" x14ac:dyDescent="0.25">
      <c r="A255" t="s">
        <v>72</v>
      </c>
      <c r="B255" t="s">
        <v>4229</v>
      </c>
      <c r="C255" t="s">
        <v>74</v>
      </c>
      <c r="D255" t="s">
        <v>74</v>
      </c>
      <c r="E255" t="s">
        <v>74</v>
      </c>
      <c r="F255" t="s">
        <v>4230</v>
      </c>
      <c r="G255" t="s">
        <v>74</v>
      </c>
      <c r="H255" t="s">
        <v>74</v>
      </c>
      <c r="I255" t="s">
        <v>4231</v>
      </c>
      <c r="J255" t="s">
        <v>77</v>
      </c>
      <c r="K255" t="s">
        <v>74</v>
      </c>
      <c r="L255" t="s">
        <v>74</v>
      </c>
      <c r="M255" t="s">
        <v>78</v>
      </c>
      <c r="N255" t="s">
        <v>79</v>
      </c>
      <c r="O255" t="s">
        <v>74</v>
      </c>
      <c r="P255" t="s">
        <v>74</v>
      </c>
      <c r="Q255" t="s">
        <v>74</v>
      </c>
      <c r="R255" t="s">
        <v>74</v>
      </c>
      <c r="S255" t="s">
        <v>74</v>
      </c>
      <c r="T255" t="s">
        <v>4232</v>
      </c>
      <c r="U255" t="s">
        <v>4233</v>
      </c>
      <c r="V255" t="s">
        <v>4234</v>
      </c>
      <c r="W255" t="s">
        <v>4235</v>
      </c>
      <c r="X255" t="s">
        <v>74</v>
      </c>
      <c r="Y255" t="s">
        <v>4236</v>
      </c>
      <c r="Z255" t="s">
        <v>4237</v>
      </c>
      <c r="AA255" t="s">
        <v>74</v>
      </c>
      <c r="AB255" t="s">
        <v>74</v>
      </c>
      <c r="AC255" t="s">
        <v>74</v>
      </c>
      <c r="AD255" t="s">
        <v>74</v>
      </c>
      <c r="AE255" t="s">
        <v>74</v>
      </c>
      <c r="AF255" t="s">
        <v>74</v>
      </c>
      <c r="AG255">
        <v>25</v>
      </c>
      <c r="AH255">
        <v>2</v>
      </c>
      <c r="AI255">
        <v>3</v>
      </c>
      <c r="AJ255">
        <v>0</v>
      </c>
      <c r="AK255">
        <v>11</v>
      </c>
      <c r="AL255" t="s">
        <v>92</v>
      </c>
      <c r="AM255" t="s">
        <v>93</v>
      </c>
      <c r="AN255" t="s">
        <v>94</v>
      </c>
      <c r="AO255" t="s">
        <v>95</v>
      </c>
      <c r="AP255" t="s">
        <v>96</v>
      </c>
      <c r="AQ255" t="s">
        <v>74</v>
      </c>
      <c r="AR255" t="s">
        <v>97</v>
      </c>
      <c r="AS255" t="s">
        <v>98</v>
      </c>
      <c r="AT255" t="s">
        <v>214</v>
      </c>
      <c r="AU255">
        <v>2019</v>
      </c>
      <c r="AV255">
        <v>64</v>
      </c>
      <c r="AW255">
        <v>13</v>
      </c>
      <c r="AX255" t="s">
        <v>74</v>
      </c>
      <c r="AY255" t="s">
        <v>74</v>
      </c>
      <c r="AZ255" t="s">
        <v>74</v>
      </c>
      <c r="BA255" t="s">
        <v>74</v>
      </c>
      <c r="BB255" t="s">
        <v>74</v>
      </c>
      <c r="BC255" t="s">
        <v>74</v>
      </c>
      <c r="BD255">
        <v>135014</v>
      </c>
      <c r="BE255" t="s">
        <v>4238</v>
      </c>
      <c r="BF255" t="str">
        <f>HYPERLINK("http://dx.doi.org/10.1088/1361-6560/ab2202","http://dx.doi.org/10.1088/1361-6560/ab2202")</f>
        <v>http://dx.doi.org/10.1088/1361-6560/ab2202</v>
      </c>
      <c r="BG255" t="s">
        <v>74</v>
      </c>
      <c r="BH255" t="s">
        <v>74</v>
      </c>
      <c r="BI255">
        <v>17</v>
      </c>
      <c r="BJ255" t="s">
        <v>101</v>
      </c>
      <c r="BK255" t="s">
        <v>102</v>
      </c>
      <c r="BL255" t="s">
        <v>103</v>
      </c>
      <c r="BM255" t="s">
        <v>2061</v>
      </c>
      <c r="BN255">
        <v>31096202</v>
      </c>
      <c r="BO255" t="s">
        <v>74</v>
      </c>
      <c r="BP255" t="s">
        <v>74</v>
      </c>
      <c r="BQ255" t="s">
        <v>74</v>
      </c>
      <c r="BR255" t="s">
        <v>106</v>
      </c>
      <c r="BS255" t="s">
        <v>4239</v>
      </c>
      <c r="BT255" t="str">
        <f>HYPERLINK("https%3A%2F%2Fwww.webofscience.com%2Fwos%2Fwoscc%2Ffull-record%2FWOS:000474298100006","View Full Record in Web of Science")</f>
        <v>View Full Record in Web of Science</v>
      </c>
    </row>
    <row r="256" spans="1:72" x14ac:dyDescent="0.25">
      <c r="A256" t="s">
        <v>72</v>
      </c>
      <c r="B256" t="s">
        <v>4240</v>
      </c>
      <c r="C256" t="s">
        <v>74</v>
      </c>
      <c r="D256" t="s">
        <v>74</v>
      </c>
      <c r="E256" t="s">
        <v>74</v>
      </c>
      <c r="F256" t="s">
        <v>4241</v>
      </c>
      <c r="G256" t="s">
        <v>74</v>
      </c>
      <c r="H256" t="s">
        <v>74</v>
      </c>
      <c r="I256" t="s">
        <v>4242</v>
      </c>
      <c r="J256" t="s">
        <v>77</v>
      </c>
      <c r="K256" t="s">
        <v>74</v>
      </c>
      <c r="L256" t="s">
        <v>74</v>
      </c>
      <c r="M256" t="s">
        <v>78</v>
      </c>
      <c r="N256" t="s">
        <v>79</v>
      </c>
      <c r="O256" t="s">
        <v>74</v>
      </c>
      <c r="P256" t="s">
        <v>74</v>
      </c>
      <c r="Q256" t="s">
        <v>74</v>
      </c>
      <c r="R256" t="s">
        <v>74</v>
      </c>
      <c r="S256" t="s">
        <v>74</v>
      </c>
      <c r="T256" t="s">
        <v>4243</v>
      </c>
      <c r="U256" t="s">
        <v>4244</v>
      </c>
      <c r="V256" t="s">
        <v>4245</v>
      </c>
      <c r="W256" t="s">
        <v>4246</v>
      </c>
      <c r="X256" t="s">
        <v>4247</v>
      </c>
      <c r="Y256" t="s">
        <v>4248</v>
      </c>
      <c r="Z256" t="s">
        <v>4249</v>
      </c>
      <c r="AA256" t="s">
        <v>4250</v>
      </c>
      <c r="AB256" t="s">
        <v>4251</v>
      </c>
      <c r="AC256" t="s">
        <v>74</v>
      </c>
      <c r="AD256" t="s">
        <v>74</v>
      </c>
      <c r="AE256" t="s">
        <v>74</v>
      </c>
      <c r="AF256" t="s">
        <v>74</v>
      </c>
      <c r="AG256">
        <v>47</v>
      </c>
      <c r="AH256">
        <v>37</v>
      </c>
      <c r="AI256">
        <v>49</v>
      </c>
      <c r="AJ256">
        <v>0</v>
      </c>
      <c r="AK256">
        <v>60</v>
      </c>
      <c r="AL256" t="s">
        <v>157</v>
      </c>
      <c r="AM256" t="s">
        <v>93</v>
      </c>
      <c r="AN256" t="s">
        <v>94</v>
      </c>
      <c r="AO256" t="s">
        <v>95</v>
      </c>
      <c r="AP256" t="s">
        <v>96</v>
      </c>
      <c r="AQ256" t="s">
        <v>74</v>
      </c>
      <c r="AR256" t="s">
        <v>97</v>
      </c>
      <c r="AS256" t="s">
        <v>98</v>
      </c>
      <c r="AT256" t="s">
        <v>214</v>
      </c>
      <c r="AU256">
        <v>2019</v>
      </c>
      <c r="AV256">
        <v>64</v>
      </c>
      <c r="AW256">
        <v>13</v>
      </c>
      <c r="AX256" t="s">
        <v>74</v>
      </c>
      <c r="AY256" t="s">
        <v>74</v>
      </c>
      <c r="AZ256" t="s">
        <v>74</v>
      </c>
      <c r="BA256" t="s">
        <v>74</v>
      </c>
      <c r="BB256" t="s">
        <v>74</v>
      </c>
      <c r="BC256" t="s">
        <v>74</v>
      </c>
      <c r="BD256">
        <v>135001</v>
      </c>
      <c r="BE256" t="s">
        <v>4252</v>
      </c>
      <c r="BF256" t="str">
        <f>HYPERLINK("http://dx.doi.org/10.1088/1361-6560/ab2818","http://dx.doi.org/10.1088/1361-6560/ab2818")</f>
        <v>http://dx.doi.org/10.1088/1361-6560/ab2818</v>
      </c>
      <c r="BG256" t="s">
        <v>74</v>
      </c>
      <c r="BH256" t="s">
        <v>74</v>
      </c>
      <c r="BI256">
        <v>9</v>
      </c>
      <c r="BJ256" t="s">
        <v>101</v>
      </c>
      <c r="BK256" t="s">
        <v>102</v>
      </c>
      <c r="BL256" t="s">
        <v>103</v>
      </c>
      <c r="BM256" t="s">
        <v>216</v>
      </c>
      <c r="BN256">
        <v>31181561</v>
      </c>
      <c r="BO256" t="s">
        <v>74</v>
      </c>
      <c r="BP256" t="s">
        <v>74</v>
      </c>
      <c r="BQ256" t="s">
        <v>74</v>
      </c>
      <c r="BR256" t="s">
        <v>106</v>
      </c>
      <c r="BS256" t="s">
        <v>4253</v>
      </c>
      <c r="BT256" t="str">
        <f>HYPERLINK("https%3A%2F%2Fwww.webofscience.com%2Fwos%2Fwoscc%2Ffull-record%2FWOS:000473698800001","View Full Record in Web of Science")</f>
        <v>View Full Record in Web of Science</v>
      </c>
    </row>
    <row r="257" spans="1:72" x14ac:dyDescent="0.25">
      <c r="A257" t="s">
        <v>72</v>
      </c>
      <c r="B257" t="s">
        <v>4254</v>
      </c>
      <c r="C257" t="s">
        <v>74</v>
      </c>
      <c r="D257" t="s">
        <v>74</v>
      </c>
      <c r="E257" t="s">
        <v>74</v>
      </c>
      <c r="F257" t="s">
        <v>4255</v>
      </c>
      <c r="G257" t="s">
        <v>74</v>
      </c>
      <c r="H257" t="s">
        <v>74</v>
      </c>
      <c r="I257" t="s">
        <v>4256</v>
      </c>
      <c r="J257" t="s">
        <v>77</v>
      </c>
      <c r="K257" t="s">
        <v>74</v>
      </c>
      <c r="L257" t="s">
        <v>74</v>
      </c>
      <c r="M257" t="s">
        <v>78</v>
      </c>
      <c r="N257" t="s">
        <v>79</v>
      </c>
      <c r="O257" t="s">
        <v>74</v>
      </c>
      <c r="P257" t="s">
        <v>74</v>
      </c>
      <c r="Q257" t="s">
        <v>74</v>
      </c>
      <c r="R257" t="s">
        <v>74</v>
      </c>
      <c r="S257" t="s">
        <v>74</v>
      </c>
      <c r="T257" t="s">
        <v>4257</v>
      </c>
      <c r="U257" t="s">
        <v>4258</v>
      </c>
      <c r="V257" t="s">
        <v>4259</v>
      </c>
      <c r="W257" t="s">
        <v>4260</v>
      </c>
      <c r="X257" t="s">
        <v>4261</v>
      </c>
      <c r="Y257" t="s">
        <v>4262</v>
      </c>
      <c r="Z257" t="s">
        <v>4263</v>
      </c>
      <c r="AA257" t="s">
        <v>4264</v>
      </c>
      <c r="AB257" t="s">
        <v>4265</v>
      </c>
      <c r="AC257" t="s">
        <v>74</v>
      </c>
      <c r="AD257" t="s">
        <v>74</v>
      </c>
      <c r="AE257" t="s">
        <v>74</v>
      </c>
      <c r="AF257" t="s">
        <v>74</v>
      </c>
      <c r="AG257">
        <v>105</v>
      </c>
      <c r="AH257">
        <v>8</v>
      </c>
      <c r="AI257">
        <v>8</v>
      </c>
      <c r="AJ257">
        <v>0</v>
      </c>
      <c r="AK257">
        <v>7</v>
      </c>
      <c r="AL257" t="s">
        <v>157</v>
      </c>
      <c r="AM257" t="s">
        <v>93</v>
      </c>
      <c r="AN257" t="s">
        <v>94</v>
      </c>
      <c r="AO257" t="s">
        <v>95</v>
      </c>
      <c r="AP257" t="s">
        <v>96</v>
      </c>
      <c r="AQ257" t="s">
        <v>74</v>
      </c>
      <c r="AR257" t="s">
        <v>97</v>
      </c>
      <c r="AS257" t="s">
        <v>98</v>
      </c>
      <c r="AT257" t="s">
        <v>214</v>
      </c>
      <c r="AU257">
        <v>2019</v>
      </c>
      <c r="AV257">
        <v>64</v>
      </c>
      <c r="AW257">
        <v>13</v>
      </c>
      <c r="AX257" t="s">
        <v>74</v>
      </c>
      <c r="AY257" t="s">
        <v>74</v>
      </c>
      <c r="AZ257" t="s">
        <v>74</v>
      </c>
      <c r="BA257" t="s">
        <v>74</v>
      </c>
      <c r="BB257" t="s">
        <v>74</v>
      </c>
      <c r="BC257" t="s">
        <v>74</v>
      </c>
      <c r="BD257">
        <v>135022</v>
      </c>
      <c r="BE257" t="s">
        <v>4266</v>
      </c>
      <c r="BF257" t="str">
        <f>HYPERLINK("http://dx.doi.org/10.1088/1361-6560/ab1c90","http://dx.doi.org/10.1088/1361-6560/ab1c90")</f>
        <v>http://dx.doi.org/10.1088/1361-6560/ab1c90</v>
      </c>
      <c r="BG257" t="s">
        <v>74</v>
      </c>
      <c r="BH257" t="s">
        <v>74</v>
      </c>
      <c r="BI257">
        <v>21</v>
      </c>
      <c r="BJ257" t="s">
        <v>101</v>
      </c>
      <c r="BK257" t="s">
        <v>102</v>
      </c>
      <c r="BL257" t="s">
        <v>103</v>
      </c>
      <c r="BM257" t="s">
        <v>1111</v>
      </c>
      <c r="BN257">
        <v>31022708</v>
      </c>
      <c r="BO257" t="s">
        <v>74</v>
      </c>
      <c r="BP257" t="s">
        <v>74</v>
      </c>
      <c r="BQ257" t="s">
        <v>74</v>
      </c>
      <c r="BR257" t="s">
        <v>106</v>
      </c>
      <c r="BS257" t="s">
        <v>4267</v>
      </c>
      <c r="BT257" t="str">
        <f>HYPERLINK("https%3A%2F%2Fwww.webofscience.com%2Fwos%2Fwoscc%2Ffull-record%2FWOS:000474396800008","View Full Record in Web of Science")</f>
        <v>View Full Record in Web of Science</v>
      </c>
    </row>
    <row r="258" spans="1:72" x14ac:dyDescent="0.25">
      <c r="A258" t="s">
        <v>72</v>
      </c>
      <c r="B258" t="s">
        <v>4268</v>
      </c>
      <c r="C258" t="s">
        <v>74</v>
      </c>
      <c r="D258" t="s">
        <v>74</v>
      </c>
      <c r="E258" t="s">
        <v>74</v>
      </c>
      <c r="F258" t="s">
        <v>4269</v>
      </c>
      <c r="G258" t="s">
        <v>74</v>
      </c>
      <c r="H258" t="s">
        <v>74</v>
      </c>
      <c r="I258" t="s">
        <v>4270</v>
      </c>
      <c r="J258" t="s">
        <v>77</v>
      </c>
      <c r="K258" t="s">
        <v>74</v>
      </c>
      <c r="L258" t="s">
        <v>74</v>
      </c>
      <c r="M258" t="s">
        <v>78</v>
      </c>
      <c r="N258" t="s">
        <v>79</v>
      </c>
      <c r="O258" t="s">
        <v>74</v>
      </c>
      <c r="P258" t="s">
        <v>74</v>
      </c>
      <c r="Q258" t="s">
        <v>74</v>
      </c>
      <c r="R258" t="s">
        <v>74</v>
      </c>
      <c r="S258" t="s">
        <v>74</v>
      </c>
      <c r="T258" t="s">
        <v>4271</v>
      </c>
      <c r="U258" t="s">
        <v>4272</v>
      </c>
      <c r="V258" t="s">
        <v>4273</v>
      </c>
      <c r="W258" t="s">
        <v>4274</v>
      </c>
      <c r="X258" t="s">
        <v>4275</v>
      </c>
      <c r="Y258" t="s">
        <v>4276</v>
      </c>
      <c r="Z258" t="s">
        <v>4277</v>
      </c>
      <c r="AA258" t="s">
        <v>4278</v>
      </c>
      <c r="AB258" t="s">
        <v>4279</v>
      </c>
      <c r="AC258" t="s">
        <v>4280</v>
      </c>
      <c r="AD258" t="s">
        <v>4281</v>
      </c>
      <c r="AE258" t="s">
        <v>4282</v>
      </c>
      <c r="AF258" t="s">
        <v>74</v>
      </c>
      <c r="AG258">
        <v>51</v>
      </c>
      <c r="AH258">
        <v>7</v>
      </c>
      <c r="AI258">
        <v>7</v>
      </c>
      <c r="AJ258">
        <v>0</v>
      </c>
      <c r="AK258">
        <v>6</v>
      </c>
      <c r="AL258" t="s">
        <v>92</v>
      </c>
      <c r="AM258" t="s">
        <v>93</v>
      </c>
      <c r="AN258" t="s">
        <v>94</v>
      </c>
      <c r="AO258" t="s">
        <v>95</v>
      </c>
      <c r="AP258" t="s">
        <v>96</v>
      </c>
      <c r="AQ258" t="s">
        <v>74</v>
      </c>
      <c r="AR258" t="s">
        <v>97</v>
      </c>
      <c r="AS258" t="s">
        <v>98</v>
      </c>
      <c r="AT258" t="s">
        <v>214</v>
      </c>
      <c r="AU258">
        <v>2019</v>
      </c>
      <c r="AV258">
        <v>64</v>
      </c>
      <c r="AW258">
        <v>14</v>
      </c>
      <c r="AX258" t="s">
        <v>74</v>
      </c>
      <c r="AY258" t="s">
        <v>74</v>
      </c>
      <c r="AZ258" t="s">
        <v>74</v>
      </c>
      <c r="BA258" t="s">
        <v>74</v>
      </c>
      <c r="BB258" t="s">
        <v>74</v>
      </c>
      <c r="BC258" t="s">
        <v>74</v>
      </c>
      <c r="BD258">
        <v>145012</v>
      </c>
      <c r="BE258" t="s">
        <v>4283</v>
      </c>
      <c r="BF258" t="str">
        <f>HYPERLINK("http://dx.doi.org/10.1088/1361-6560/ab266b","http://dx.doi.org/10.1088/1361-6560/ab266b")</f>
        <v>http://dx.doi.org/10.1088/1361-6560/ab266b</v>
      </c>
      <c r="BG258" t="s">
        <v>74</v>
      </c>
      <c r="BH258" t="s">
        <v>74</v>
      </c>
      <c r="BI258">
        <v>17</v>
      </c>
      <c r="BJ258" t="s">
        <v>101</v>
      </c>
      <c r="BK258" t="s">
        <v>102</v>
      </c>
      <c r="BL258" t="s">
        <v>103</v>
      </c>
      <c r="BM258" t="s">
        <v>233</v>
      </c>
      <c r="BN258">
        <v>31158824</v>
      </c>
      <c r="BO258" t="s">
        <v>140</v>
      </c>
      <c r="BP258" t="s">
        <v>74</v>
      </c>
      <c r="BQ258" t="s">
        <v>74</v>
      </c>
      <c r="BR258" t="s">
        <v>106</v>
      </c>
      <c r="BS258" t="s">
        <v>4284</v>
      </c>
      <c r="BT258" t="str">
        <f>HYPERLINK("https%3A%2F%2Fwww.webofscience.com%2Fwos%2Fwoscc%2Ffull-record%2FWOS:000475775200005","View Full Record in Web of Science")</f>
        <v>View Full Record in Web of Science</v>
      </c>
    </row>
    <row r="259" spans="1:72" x14ac:dyDescent="0.25">
      <c r="A259" t="s">
        <v>72</v>
      </c>
      <c r="B259" t="s">
        <v>4285</v>
      </c>
      <c r="C259" t="s">
        <v>74</v>
      </c>
      <c r="D259" t="s">
        <v>74</v>
      </c>
      <c r="E259" t="s">
        <v>74</v>
      </c>
      <c r="F259" t="s">
        <v>4286</v>
      </c>
      <c r="G259" t="s">
        <v>74</v>
      </c>
      <c r="H259" t="s">
        <v>74</v>
      </c>
      <c r="I259" t="s">
        <v>4287</v>
      </c>
      <c r="J259" t="s">
        <v>77</v>
      </c>
      <c r="K259" t="s">
        <v>74</v>
      </c>
      <c r="L259" t="s">
        <v>74</v>
      </c>
      <c r="M259" t="s">
        <v>78</v>
      </c>
      <c r="N259" t="s">
        <v>79</v>
      </c>
      <c r="O259" t="s">
        <v>74</v>
      </c>
      <c r="P259" t="s">
        <v>74</v>
      </c>
      <c r="Q259" t="s">
        <v>74</v>
      </c>
      <c r="R259" t="s">
        <v>74</v>
      </c>
      <c r="S259" t="s">
        <v>74</v>
      </c>
      <c r="T259" t="s">
        <v>4288</v>
      </c>
      <c r="U259" t="s">
        <v>4289</v>
      </c>
      <c r="V259" t="s">
        <v>4290</v>
      </c>
      <c r="W259" t="s">
        <v>4291</v>
      </c>
      <c r="X259" t="s">
        <v>4247</v>
      </c>
      <c r="Y259" t="s">
        <v>4292</v>
      </c>
      <c r="Z259" t="s">
        <v>4293</v>
      </c>
      <c r="AA259" t="s">
        <v>74</v>
      </c>
      <c r="AB259" t="s">
        <v>4294</v>
      </c>
      <c r="AC259" t="s">
        <v>4295</v>
      </c>
      <c r="AD259" t="s">
        <v>4296</v>
      </c>
      <c r="AE259" t="s">
        <v>4297</v>
      </c>
      <c r="AF259" t="s">
        <v>74</v>
      </c>
      <c r="AG259">
        <v>52</v>
      </c>
      <c r="AH259">
        <v>10</v>
      </c>
      <c r="AI259">
        <v>10</v>
      </c>
      <c r="AJ259">
        <v>0</v>
      </c>
      <c r="AK259">
        <v>24</v>
      </c>
      <c r="AL259" t="s">
        <v>157</v>
      </c>
      <c r="AM259" t="s">
        <v>93</v>
      </c>
      <c r="AN259" t="s">
        <v>94</v>
      </c>
      <c r="AO259" t="s">
        <v>95</v>
      </c>
      <c r="AP259" t="s">
        <v>96</v>
      </c>
      <c r="AQ259" t="s">
        <v>74</v>
      </c>
      <c r="AR259" t="s">
        <v>97</v>
      </c>
      <c r="AS259" t="s">
        <v>98</v>
      </c>
      <c r="AT259" t="s">
        <v>250</v>
      </c>
      <c r="AU259">
        <v>2019</v>
      </c>
      <c r="AV259">
        <v>64</v>
      </c>
      <c r="AW259">
        <v>12</v>
      </c>
      <c r="AX259" t="s">
        <v>74</v>
      </c>
      <c r="AY259" t="s">
        <v>74</v>
      </c>
      <c r="AZ259" t="s">
        <v>74</v>
      </c>
      <c r="BA259" t="s">
        <v>74</v>
      </c>
      <c r="BB259" t="s">
        <v>74</v>
      </c>
      <c r="BC259" t="s">
        <v>74</v>
      </c>
      <c r="BD259">
        <v>125001</v>
      </c>
      <c r="BE259" t="s">
        <v>4298</v>
      </c>
      <c r="BF259" t="str">
        <f>HYPERLINK("http://dx.doi.org/10.1088/1361-6560/ab2318","http://dx.doi.org/10.1088/1361-6560/ab2318")</f>
        <v>http://dx.doi.org/10.1088/1361-6560/ab2318</v>
      </c>
      <c r="BG259" t="s">
        <v>74</v>
      </c>
      <c r="BH259" t="s">
        <v>74</v>
      </c>
      <c r="BI259">
        <v>20</v>
      </c>
      <c r="BJ259" t="s">
        <v>101</v>
      </c>
      <c r="BK259" t="s">
        <v>102</v>
      </c>
      <c r="BL259" t="s">
        <v>103</v>
      </c>
      <c r="BM259" t="s">
        <v>4299</v>
      </c>
      <c r="BN259">
        <v>31108478</v>
      </c>
      <c r="BO259" t="s">
        <v>105</v>
      </c>
      <c r="BP259" t="s">
        <v>74</v>
      </c>
      <c r="BQ259" t="s">
        <v>74</v>
      </c>
      <c r="BR259" t="s">
        <v>106</v>
      </c>
      <c r="BS259" t="s">
        <v>4300</v>
      </c>
      <c r="BT259" t="str">
        <f>HYPERLINK("https%3A%2F%2Fwww.webofscience.com%2Fwos%2Fwoscc%2Ffull-record%2FWOS:000471166400001","View Full Record in Web of Science")</f>
        <v>View Full Record in Web of Science</v>
      </c>
    </row>
    <row r="260" spans="1:72" x14ac:dyDescent="0.25">
      <c r="A260" t="s">
        <v>72</v>
      </c>
      <c r="B260" t="s">
        <v>4301</v>
      </c>
      <c r="C260" t="s">
        <v>74</v>
      </c>
      <c r="D260" t="s">
        <v>74</v>
      </c>
      <c r="E260" t="s">
        <v>74</v>
      </c>
      <c r="F260" t="s">
        <v>4302</v>
      </c>
      <c r="G260" t="s">
        <v>74</v>
      </c>
      <c r="H260" t="s">
        <v>74</v>
      </c>
      <c r="I260" t="s">
        <v>4303</v>
      </c>
      <c r="J260" t="s">
        <v>77</v>
      </c>
      <c r="K260" t="s">
        <v>74</v>
      </c>
      <c r="L260" t="s">
        <v>74</v>
      </c>
      <c r="M260" t="s">
        <v>78</v>
      </c>
      <c r="N260" t="s">
        <v>79</v>
      </c>
      <c r="O260" t="s">
        <v>74</v>
      </c>
      <c r="P260" t="s">
        <v>74</v>
      </c>
      <c r="Q260" t="s">
        <v>74</v>
      </c>
      <c r="R260" t="s">
        <v>74</v>
      </c>
      <c r="S260" t="s">
        <v>74</v>
      </c>
      <c r="T260" t="s">
        <v>4304</v>
      </c>
      <c r="U260" t="s">
        <v>4305</v>
      </c>
      <c r="V260" t="s">
        <v>4306</v>
      </c>
      <c r="W260" t="s">
        <v>4307</v>
      </c>
      <c r="X260" t="s">
        <v>4308</v>
      </c>
      <c r="Y260" t="s">
        <v>1515</v>
      </c>
      <c r="Z260" t="s">
        <v>1516</v>
      </c>
      <c r="AA260" t="s">
        <v>74</v>
      </c>
      <c r="AB260" t="s">
        <v>74</v>
      </c>
      <c r="AC260" t="s">
        <v>74</v>
      </c>
      <c r="AD260" t="s">
        <v>74</v>
      </c>
      <c r="AE260" t="s">
        <v>74</v>
      </c>
      <c r="AF260" t="s">
        <v>74</v>
      </c>
      <c r="AG260">
        <v>30</v>
      </c>
      <c r="AH260">
        <v>47</v>
      </c>
      <c r="AI260">
        <v>48</v>
      </c>
      <c r="AJ260">
        <v>0</v>
      </c>
      <c r="AK260">
        <v>6</v>
      </c>
      <c r="AL260" t="s">
        <v>92</v>
      </c>
      <c r="AM260" t="s">
        <v>93</v>
      </c>
      <c r="AN260" t="s">
        <v>94</v>
      </c>
      <c r="AO260" t="s">
        <v>95</v>
      </c>
      <c r="AP260" t="s">
        <v>96</v>
      </c>
      <c r="AQ260" t="s">
        <v>74</v>
      </c>
      <c r="AR260" t="s">
        <v>97</v>
      </c>
      <c r="AS260" t="s">
        <v>98</v>
      </c>
      <c r="AT260" t="s">
        <v>370</v>
      </c>
      <c r="AU260">
        <v>2019</v>
      </c>
      <c r="AV260">
        <v>64</v>
      </c>
      <c r="AW260">
        <v>10</v>
      </c>
      <c r="AX260" t="s">
        <v>74</v>
      </c>
      <c r="AY260" t="s">
        <v>74</v>
      </c>
      <c r="AZ260" t="s">
        <v>74</v>
      </c>
      <c r="BA260" t="s">
        <v>74</v>
      </c>
      <c r="BB260" t="s">
        <v>74</v>
      </c>
      <c r="BC260" t="s">
        <v>74</v>
      </c>
      <c r="BD260">
        <v>105003</v>
      </c>
      <c r="BE260" t="s">
        <v>4309</v>
      </c>
      <c r="BF260" t="str">
        <f>HYPERLINK("http://dx.doi.org/10.1088/1361-6560/ab18c7","http://dx.doi.org/10.1088/1361-6560/ab18c7")</f>
        <v>http://dx.doi.org/10.1088/1361-6560/ab18c7</v>
      </c>
      <c r="BG260" t="s">
        <v>74</v>
      </c>
      <c r="BH260" t="s">
        <v>74</v>
      </c>
      <c r="BI260">
        <v>11</v>
      </c>
      <c r="BJ260" t="s">
        <v>101</v>
      </c>
      <c r="BK260" t="s">
        <v>102</v>
      </c>
      <c r="BL260" t="s">
        <v>103</v>
      </c>
      <c r="BM260" t="s">
        <v>3890</v>
      </c>
      <c r="BN260">
        <v>30978714</v>
      </c>
      <c r="BO260" t="s">
        <v>74</v>
      </c>
      <c r="BP260" t="s">
        <v>74</v>
      </c>
      <c r="BQ260" t="s">
        <v>74</v>
      </c>
      <c r="BR260" t="s">
        <v>106</v>
      </c>
      <c r="BS260" t="s">
        <v>4310</v>
      </c>
      <c r="BT260" t="str">
        <f>HYPERLINK("https%3A%2F%2Fwww.webofscience.com%2Fwos%2Fwoscc%2Ffull-record%2FWOS:000467464500003","View Full Record in Web of Science")</f>
        <v>View Full Record in Web of Science</v>
      </c>
    </row>
    <row r="261" spans="1:72" x14ac:dyDescent="0.25">
      <c r="A261" t="s">
        <v>72</v>
      </c>
      <c r="B261" t="s">
        <v>4311</v>
      </c>
      <c r="C261" t="s">
        <v>74</v>
      </c>
      <c r="D261" t="s">
        <v>74</v>
      </c>
      <c r="E261" t="s">
        <v>74</v>
      </c>
      <c r="F261" t="s">
        <v>4312</v>
      </c>
      <c r="G261" t="s">
        <v>74</v>
      </c>
      <c r="H261" t="s">
        <v>74</v>
      </c>
      <c r="I261" t="s">
        <v>4313</v>
      </c>
      <c r="J261" t="s">
        <v>77</v>
      </c>
      <c r="K261" t="s">
        <v>74</v>
      </c>
      <c r="L261" t="s">
        <v>74</v>
      </c>
      <c r="M261" t="s">
        <v>78</v>
      </c>
      <c r="N261" t="s">
        <v>79</v>
      </c>
      <c r="O261" t="s">
        <v>74</v>
      </c>
      <c r="P261" t="s">
        <v>74</v>
      </c>
      <c r="Q261" t="s">
        <v>74</v>
      </c>
      <c r="R261" t="s">
        <v>74</v>
      </c>
      <c r="S261" t="s">
        <v>74</v>
      </c>
      <c r="T261" t="s">
        <v>4314</v>
      </c>
      <c r="U261" t="s">
        <v>4315</v>
      </c>
      <c r="V261" t="s">
        <v>4316</v>
      </c>
      <c r="W261" t="s">
        <v>4317</v>
      </c>
      <c r="X261" t="s">
        <v>4318</v>
      </c>
      <c r="Y261" t="s">
        <v>4319</v>
      </c>
      <c r="Z261" t="s">
        <v>4320</v>
      </c>
      <c r="AA261" t="s">
        <v>4321</v>
      </c>
      <c r="AB261" t="s">
        <v>4322</v>
      </c>
      <c r="AC261" t="s">
        <v>4323</v>
      </c>
      <c r="AD261" t="s">
        <v>4324</v>
      </c>
      <c r="AE261" t="s">
        <v>4325</v>
      </c>
      <c r="AF261" t="s">
        <v>74</v>
      </c>
      <c r="AG261">
        <v>41</v>
      </c>
      <c r="AH261">
        <v>30</v>
      </c>
      <c r="AI261">
        <v>31</v>
      </c>
      <c r="AJ261">
        <v>0</v>
      </c>
      <c r="AK261">
        <v>10</v>
      </c>
      <c r="AL261" t="s">
        <v>92</v>
      </c>
      <c r="AM261" t="s">
        <v>93</v>
      </c>
      <c r="AN261" t="s">
        <v>94</v>
      </c>
      <c r="AO261" t="s">
        <v>95</v>
      </c>
      <c r="AP261" t="s">
        <v>96</v>
      </c>
      <c r="AQ261" t="s">
        <v>74</v>
      </c>
      <c r="AR261" t="s">
        <v>97</v>
      </c>
      <c r="AS261" t="s">
        <v>98</v>
      </c>
      <c r="AT261" t="s">
        <v>646</v>
      </c>
      <c r="AU261">
        <v>2019</v>
      </c>
      <c r="AV261">
        <v>64</v>
      </c>
      <c r="AW261">
        <v>4</v>
      </c>
      <c r="AX261" t="s">
        <v>74</v>
      </c>
      <c r="AY261" t="s">
        <v>74</v>
      </c>
      <c r="AZ261" t="s">
        <v>74</v>
      </c>
      <c r="BA261" t="s">
        <v>74</v>
      </c>
      <c r="BB261" t="s">
        <v>74</v>
      </c>
      <c r="BC261" t="s">
        <v>74</v>
      </c>
      <c r="BD261">
        <v>45002</v>
      </c>
      <c r="BE261" t="s">
        <v>4326</v>
      </c>
      <c r="BF261" t="str">
        <f>HYPERLINK("http://dx.doi.org/10.1088/1361-6560/aafcec","http://dx.doi.org/10.1088/1361-6560/aafcec")</f>
        <v>http://dx.doi.org/10.1088/1361-6560/aafcec</v>
      </c>
      <c r="BG261" t="s">
        <v>74</v>
      </c>
      <c r="BH261" t="s">
        <v>74</v>
      </c>
      <c r="BI261">
        <v>16</v>
      </c>
      <c r="BJ261" t="s">
        <v>101</v>
      </c>
      <c r="BK261" t="s">
        <v>102</v>
      </c>
      <c r="BL261" t="s">
        <v>103</v>
      </c>
      <c r="BM261" t="s">
        <v>2257</v>
      </c>
      <c r="BN261">
        <v>30625459</v>
      </c>
      <c r="BO261" t="s">
        <v>795</v>
      </c>
      <c r="BP261" t="s">
        <v>74</v>
      </c>
      <c r="BQ261" t="s">
        <v>74</v>
      </c>
      <c r="BR261" t="s">
        <v>106</v>
      </c>
      <c r="BS261" t="s">
        <v>4327</v>
      </c>
      <c r="BT261" t="str">
        <f>HYPERLINK("https%3A%2F%2Fwww.webofscience.com%2Fwos%2Fwoscc%2Ffull-record%2FWOS:000457845700002","View Full Record in Web of Science")</f>
        <v>View Full Record in Web of Science</v>
      </c>
    </row>
    <row r="262" spans="1:72" x14ac:dyDescent="0.25">
      <c r="A262" t="s">
        <v>72</v>
      </c>
      <c r="B262" t="s">
        <v>4328</v>
      </c>
      <c r="C262" t="s">
        <v>74</v>
      </c>
      <c r="D262" t="s">
        <v>74</v>
      </c>
      <c r="E262" t="s">
        <v>74</v>
      </c>
      <c r="F262" t="s">
        <v>4329</v>
      </c>
      <c r="G262" t="s">
        <v>74</v>
      </c>
      <c r="H262" t="s">
        <v>74</v>
      </c>
      <c r="I262" t="s">
        <v>4330</v>
      </c>
      <c r="J262" t="s">
        <v>77</v>
      </c>
      <c r="K262" t="s">
        <v>74</v>
      </c>
      <c r="L262" t="s">
        <v>74</v>
      </c>
      <c r="M262" t="s">
        <v>78</v>
      </c>
      <c r="N262" t="s">
        <v>79</v>
      </c>
      <c r="O262" t="s">
        <v>74</v>
      </c>
      <c r="P262" t="s">
        <v>74</v>
      </c>
      <c r="Q262" t="s">
        <v>74</v>
      </c>
      <c r="R262" t="s">
        <v>74</v>
      </c>
      <c r="S262" t="s">
        <v>74</v>
      </c>
      <c r="T262" t="s">
        <v>4331</v>
      </c>
      <c r="U262" t="s">
        <v>4332</v>
      </c>
      <c r="V262" t="s">
        <v>4333</v>
      </c>
      <c r="W262" t="s">
        <v>4334</v>
      </c>
      <c r="X262" t="s">
        <v>4335</v>
      </c>
      <c r="Y262" t="s">
        <v>4336</v>
      </c>
      <c r="Z262" t="s">
        <v>4337</v>
      </c>
      <c r="AA262" t="s">
        <v>74</v>
      </c>
      <c r="AB262" t="s">
        <v>74</v>
      </c>
      <c r="AC262" t="s">
        <v>4338</v>
      </c>
      <c r="AD262" t="s">
        <v>4339</v>
      </c>
      <c r="AE262" t="s">
        <v>4340</v>
      </c>
      <c r="AF262" t="s">
        <v>74</v>
      </c>
      <c r="AG262">
        <v>59</v>
      </c>
      <c r="AH262">
        <v>2</v>
      </c>
      <c r="AI262">
        <v>2</v>
      </c>
      <c r="AJ262">
        <v>0</v>
      </c>
      <c r="AK262">
        <v>8</v>
      </c>
      <c r="AL262" t="s">
        <v>92</v>
      </c>
      <c r="AM262" t="s">
        <v>93</v>
      </c>
      <c r="AN262" t="s">
        <v>94</v>
      </c>
      <c r="AO262" t="s">
        <v>95</v>
      </c>
      <c r="AP262" t="s">
        <v>96</v>
      </c>
      <c r="AQ262" t="s">
        <v>74</v>
      </c>
      <c r="AR262" t="s">
        <v>97</v>
      </c>
      <c r="AS262" t="s">
        <v>98</v>
      </c>
      <c r="AT262" t="s">
        <v>646</v>
      </c>
      <c r="AU262">
        <v>2019</v>
      </c>
      <c r="AV262">
        <v>64</v>
      </c>
      <c r="AW262">
        <v>4</v>
      </c>
      <c r="AX262" t="s">
        <v>74</v>
      </c>
      <c r="AY262" t="s">
        <v>74</v>
      </c>
      <c r="AZ262" t="s">
        <v>74</v>
      </c>
      <c r="BA262" t="s">
        <v>74</v>
      </c>
      <c r="BB262" t="s">
        <v>74</v>
      </c>
      <c r="BC262" t="s">
        <v>74</v>
      </c>
      <c r="BD262">
        <v>45016</v>
      </c>
      <c r="BE262" t="s">
        <v>4341</v>
      </c>
      <c r="BF262" t="str">
        <f>HYPERLINK("http://dx.doi.org/10.1088/1361-6560/aafd6f","http://dx.doi.org/10.1088/1361-6560/aafd6f")</f>
        <v>http://dx.doi.org/10.1088/1361-6560/aafd6f</v>
      </c>
      <c r="BG262" t="s">
        <v>74</v>
      </c>
      <c r="BH262" t="s">
        <v>74</v>
      </c>
      <c r="BI262">
        <v>17</v>
      </c>
      <c r="BJ262" t="s">
        <v>101</v>
      </c>
      <c r="BK262" t="s">
        <v>102</v>
      </c>
      <c r="BL262" t="s">
        <v>103</v>
      </c>
      <c r="BM262" t="s">
        <v>906</v>
      </c>
      <c r="BN262">
        <v>30630136</v>
      </c>
      <c r="BO262" t="s">
        <v>74</v>
      </c>
      <c r="BP262" t="s">
        <v>74</v>
      </c>
      <c r="BQ262" t="s">
        <v>74</v>
      </c>
      <c r="BR262" t="s">
        <v>106</v>
      </c>
      <c r="BS262" t="s">
        <v>4342</v>
      </c>
      <c r="BT262" t="str">
        <f>HYPERLINK("https%3A%2F%2Fwww.webofscience.com%2Fwos%2Fwoscc%2Ffull-record%2FWOS:000459135900004","View Full Record in Web of Science")</f>
        <v>View Full Record in Web of Science</v>
      </c>
    </row>
    <row r="263" spans="1:72" x14ac:dyDescent="0.25">
      <c r="A263" t="s">
        <v>72</v>
      </c>
      <c r="B263" t="s">
        <v>4343</v>
      </c>
      <c r="C263" t="s">
        <v>74</v>
      </c>
      <c r="D263" t="s">
        <v>74</v>
      </c>
      <c r="E263" t="s">
        <v>74</v>
      </c>
      <c r="F263" t="s">
        <v>4344</v>
      </c>
      <c r="G263" t="s">
        <v>74</v>
      </c>
      <c r="H263" t="s">
        <v>74</v>
      </c>
      <c r="I263" t="s">
        <v>4345</v>
      </c>
      <c r="J263" t="s">
        <v>77</v>
      </c>
      <c r="K263" t="s">
        <v>74</v>
      </c>
      <c r="L263" t="s">
        <v>74</v>
      </c>
      <c r="M263" t="s">
        <v>78</v>
      </c>
      <c r="N263" t="s">
        <v>79</v>
      </c>
      <c r="O263" t="s">
        <v>74</v>
      </c>
      <c r="P263" t="s">
        <v>74</v>
      </c>
      <c r="Q263" t="s">
        <v>74</v>
      </c>
      <c r="R263" t="s">
        <v>74</v>
      </c>
      <c r="S263" t="s">
        <v>74</v>
      </c>
      <c r="T263" t="s">
        <v>4346</v>
      </c>
      <c r="U263" t="s">
        <v>4347</v>
      </c>
      <c r="V263" t="s">
        <v>4348</v>
      </c>
      <c r="W263" t="s">
        <v>4349</v>
      </c>
      <c r="X263" t="s">
        <v>4350</v>
      </c>
      <c r="Y263" t="s">
        <v>4351</v>
      </c>
      <c r="Z263" t="s">
        <v>4352</v>
      </c>
      <c r="AA263" t="s">
        <v>4353</v>
      </c>
      <c r="AB263" t="s">
        <v>4354</v>
      </c>
      <c r="AC263" t="s">
        <v>4355</v>
      </c>
      <c r="AD263" t="s">
        <v>4356</v>
      </c>
      <c r="AE263" t="s">
        <v>4357</v>
      </c>
      <c r="AF263" t="s">
        <v>74</v>
      </c>
      <c r="AG263">
        <v>15</v>
      </c>
      <c r="AH263">
        <v>3</v>
      </c>
      <c r="AI263">
        <v>3</v>
      </c>
      <c r="AJ263">
        <v>0</v>
      </c>
      <c r="AK263">
        <v>10</v>
      </c>
      <c r="AL263" t="s">
        <v>92</v>
      </c>
      <c r="AM263" t="s">
        <v>93</v>
      </c>
      <c r="AN263" t="s">
        <v>94</v>
      </c>
      <c r="AO263" t="s">
        <v>95</v>
      </c>
      <c r="AP263" t="s">
        <v>96</v>
      </c>
      <c r="AQ263" t="s">
        <v>74</v>
      </c>
      <c r="AR263" t="s">
        <v>97</v>
      </c>
      <c r="AS263" t="s">
        <v>98</v>
      </c>
      <c r="AT263" t="s">
        <v>471</v>
      </c>
      <c r="AU263">
        <v>2019</v>
      </c>
      <c r="AV263">
        <v>64</v>
      </c>
      <c r="AW263">
        <v>1</v>
      </c>
      <c r="AX263" t="s">
        <v>74</v>
      </c>
      <c r="AY263" t="s">
        <v>74</v>
      </c>
      <c r="AZ263" t="s">
        <v>74</v>
      </c>
      <c r="BA263" t="s">
        <v>74</v>
      </c>
      <c r="BB263" t="s">
        <v>74</v>
      </c>
      <c r="BC263" t="s">
        <v>74</v>
      </c>
      <c r="BD263">
        <v>15001</v>
      </c>
      <c r="BE263" t="s">
        <v>4358</v>
      </c>
      <c r="BF263" t="str">
        <f>HYPERLINK("http://dx.doi.org/10.1088/1361-6560/aaf361","http://dx.doi.org/10.1088/1361-6560/aaf361")</f>
        <v>http://dx.doi.org/10.1088/1361-6560/aaf361</v>
      </c>
      <c r="BG263" t="s">
        <v>74</v>
      </c>
      <c r="BH263" t="s">
        <v>74</v>
      </c>
      <c r="BI263">
        <v>9</v>
      </c>
      <c r="BJ263" t="s">
        <v>101</v>
      </c>
      <c r="BK263" t="s">
        <v>102</v>
      </c>
      <c r="BL263" t="s">
        <v>103</v>
      </c>
      <c r="BM263" t="s">
        <v>4359</v>
      </c>
      <c r="BN263">
        <v>30523943</v>
      </c>
      <c r="BO263" t="s">
        <v>74</v>
      </c>
      <c r="BP263" t="s">
        <v>74</v>
      </c>
      <c r="BQ263" t="s">
        <v>74</v>
      </c>
      <c r="BR263" t="s">
        <v>106</v>
      </c>
      <c r="BS263" t="s">
        <v>4360</v>
      </c>
      <c r="BT263" t="str">
        <f>HYPERLINK("https%3A%2F%2Fwww.webofscience.com%2Fwos%2Fwoscc%2Ffull-record%2FWOS:000454077200001","View Full Record in Web of Science")</f>
        <v>View Full Record in Web of Science</v>
      </c>
    </row>
    <row r="264" spans="1:72" x14ac:dyDescent="0.25">
      <c r="A264" t="s">
        <v>72</v>
      </c>
      <c r="B264" t="s">
        <v>4361</v>
      </c>
      <c r="C264" t="s">
        <v>74</v>
      </c>
      <c r="D264" t="s">
        <v>74</v>
      </c>
      <c r="E264" t="s">
        <v>74</v>
      </c>
      <c r="F264" t="s">
        <v>4362</v>
      </c>
      <c r="G264" t="s">
        <v>74</v>
      </c>
      <c r="H264" t="s">
        <v>74</v>
      </c>
      <c r="I264" t="s">
        <v>4363</v>
      </c>
      <c r="J264" t="s">
        <v>77</v>
      </c>
      <c r="K264" t="s">
        <v>74</v>
      </c>
      <c r="L264" t="s">
        <v>74</v>
      </c>
      <c r="M264" t="s">
        <v>78</v>
      </c>
      <c r="N264" t="s">
        <v>79</v>
      </c>
      <c r="O264" t="s">
        <v>74</v>
      </c>
      <c r="P264" t="s">
        <v>74</v>
      </c>
      <c r="Q264" t="s">
        <v>74</v>
      </c>
      <c r="R264" t="s">
        <v>74</v>
      </c>
      <c r="S264" t="s">
        <v>74</v>
      </c>
      <c r="T264" t="s">
        <v>4364</v>
      </c>
      <c r="U264" t="s">
        <v>4365</v>
      </c>
      <c r="V264" t="s">
        <v>4366</v>
      </c>
      <c r="W264" t="s">
        <v>4367</v>
      </c>
      <c r="X264" t="s">
        <v>2019</v>
      </c>
      <c r="Y264" t="s">
        <v>2020</v>
      </c>
      <c r="Z264" t="s">
        <v>4368</v>
      </c>
      <c r="AA264" t="s">
        <v>4369</v>
      </c>
      <c r="AB264" t="s">
        <v>4370</v>
      </c>
      <c r="AC264" t="s">
        <v>4371</v>
      </c>
      <c r="AD264" t="s">
        <v>4372</v>
      </c>
      <c r="AE264" t="s">
        <v>4373</v>
      </c>
      <c r="AF264" t="s">
        <v>74</v>
      </c>
      <c r="AG264">
        <v>24</v>
      </c>
      <c r="AH264">
        <v>22</v>
      </c>
      <c r="AI264">
        <v>22</v>
      </c>
      <c r="AJ264">
        <v>0</v>
      </c>
      <c r="AK264">
        <v>17</v>
      </c>
      <c r="AL264" t="s">
        <v>92</v>
      </c>
      <c r="AM264" t="s">
        <v>93</v>
      </c>
      <c r="AN264" t="s">
        <v>94</v>
      </c>
      <c r="AO264" t="s">
        <v>95</v>
      </c>
      <c r="AP264" t="s">
        <v>96</v>
      </c>
      <c r="AQ264" t="s">
        <v>74</v>
      </c>
      <c r="AR264" t="s">
        <v>97</v>
      </c>
      <c r="AS264" t="s">
        <v>98</v>
      </c>
      <c r="AT264" t="s">
        <v>99</v>
      </c>
      <c r="AU264">
        <v>2019</v>
      </c>
      <c r="AV264">
        <v>64</v>
      </c>
      <c r="AW264">
        <v>23</v>
      </c>
      <c r="AX264" t="s">
        <v>74</v>
      </c>
      <c r="AY264" t="s">
        <v>74</v>
      </c>
      <c r="AZ264" t="s">
        <v>74</v>
      </c>
      <c r="BA264" t="s">
        <v>74</v>
      </c>
      <c r="BB264" t="s">
        <v>74</v>
      </c>
      <c r="BC264" t="s">
        <v>74</v>
      </c>
      <c r="BD264">
        <v>235004</v>
      </c>
      <c r="BE264" t="s">
        <v>4374</v>
      </c>
      <c r="BF264" t="str">
        <f>HYPERLINK("http://dx.doi.org/10.1088/1361-6560/ab4e3c","http://dx.doi.org/10.1088/1361-6560/ab4e3c")</f>
        <v>http://dx.doi.org/10.1088/1361-6560/ab4e3c</v>
      </c>
      <c r="BG264" t="s">
        <v>74</v>
      </c>
      <c r="BH264" t="s">
        <v>74</v>
      </c>
      <c r="BI264">
        <v>14</v>
      </c>
      <c r="BJ264" t="s">
        <v>101</v>
      </c>
      <c r="BK264" t="s">
        <v>102</v>
      </c>
      <c r="BL264" t="s">
        <v>103</v>
      </c>
      <c r="BM264" t="s">
        <v>4375</v>
      </c>
      <c r="BN264">
        <v>31618708</v>
      </c>
      <c r="BO264" t="s">
        <v>795</v>
      </c>
      <c r="BP264" t="s">
        <v>74</v>
      </c>
      <c r="BQ264" t="s">
        <v>74</v>
      </c>
      <c r="BR264" t="s">
        <v>106</v>
      </c>
      <c r="BS264" t="s">
        <v>4376</v>
      </c>
      <c r="BT264" t="str">
        <f>HYPERLINK("https%3A%2F%2Fwww.webofscience.com%2Fwos%2Fwoscc%2Ffull-record%2FWOS:000499358200001","View Full Record in Web of Science")</f>
        <v>View Full Record in Web of Science</v>
      </c>
    </row>
    <row r="265" spans="1:72" x14ac:dyDescent="0.25">
      <c r="A265" t="s">
        <v>72</v>
      </c>
      <c r="B265" t="s">
        <v>4377</v>
      </c>
      <c r="C265" t="s">
        <v>74</v>
      </c>
      <c r="D265" t="s">
        <v>74</v>
      </c>
      <c r="E265" t="s">
        <v>74</v>
      </c>
      <c r="F265" t="s">
        <v>4378</v>
      </c>
      <c r="G265" t="s">
        <v>74</v>
      </c>
      <c r="H265" t="s">
        <v>74</v>
      </c>
      <c r="I265" t="s">
        <v>4379</v>
      </c>
      <c r="J265" t="s">
        <v>77</v>
      </c>
      <c r="K265" t="s">
        <v>74</v>
      </c>
      <c r="L265" t="s">
        <v>74</v>
      </c>
      <c r="M265" t="s">
        <v>78</v>
      </c>
      <c r="N265" t="s">
        <v>79</v>
      </c>
      <c r="O265" t="s">
        <v>74</v>
      </c>
      <c r="P265" t="s">
        <v>74</v>
      </c>
      <c r="Q265" t="s">
        <v>74</v>
      </c>
      <c r="R265" t="s">
        <v>74</v>
      </c>
      <c r="S265" t="s">
        <v>74</v>
      </c>
      <c r="T265" t="s">
        <v>4380</v>
      </c>
      <c r="U265" t="s">
        <v>4381</v>
      </c>
      <c r="V265" t="s">
        <v>4382</v>
      </c>
      <c r="W265" t="s">
        <v>4383</v>
      </c>
      <c r="X265" t="s">
        <v>4384</v>
      </c>
      <c r="Y265" t="s">
        <v>4385</v>
      </c>
      <c r="Z265" t="s">
        <v>4386</v>
      </c>
      <c r="AA265" t="s">
        <v>4387</v>
      </c>
      <c r="AB265" t="s">
        <v>4388</v>
      </c>
      <c r="AC265" t="s">
        <v>74</v>
      </c>
      <c r="AD265" t="s">
        <v>74</v>
      </c>
      <c r="AE265" t="s">
        <v>74</v>
      </c>
      <c r="AF265" t="s">
        <v>74</v>
      </c>
      <c r="AG265">
        <v>42</v>
      </c>
      <c r="AH265">
        <v>14</v>
      </c>
      <c r="AI265">
        <v>14</v>
      </c>
      <c r="AJ265">
        <v>0</v>
      </c>
      <c r="AK265">
        <v>8</v>
      </c>
      <c r="AL265" t="s">
        <v>92</v>
      </c>
      <c r="AM265" t="s">
        <v>93</v>
      </c>
      <c r="AN265" t="s">
        <v>94</v>
      </c>
      <c r="AO265" t="s">
        <v>95</v>
      </c>
      <c r="AP265" t="s">
        <v>96</v>
      </c>
      <c r="AQ265" t="s">
        <v>74</v>
      </c>
      <c r="AR265" t="s">
        <v>97</v>
      </c>
      <c r="AS265" t="s">
        <v>98</v>
      </c>
      <c r="AT265" t="s">
        <v>509</v>
      </c>
      <c r="AU265">
        <v>2019</v>
      </c>
      <c r="AV265">
        <v>64</v>
      </c>
      <c r="AW265">
        <v>19</v>
      </c>
      <c r="AX265" t="s">
        <v>74</v>
      </c>
      <c r="AY265" t="s">
        <v>74</v>
      </c>
      <c r="AZ265" t="s">
        <v>74</v>
      </c>
      <c r="BA265" t="s">
        <v>74</v>
      </c>
      <c r="BB265" t="s">
        <v>74</v>
      </c>
      <c r="BC265" t="s">
        <v>74</v>
      </c>
      <c r="BD265">
        <v>195016</v>
      </c>
      <c r="BE265" t="s">
        <v>4389</v>
      </c>
      <c r="BF265" t="str">
        <f>HYPERLINK("http://dx.doi.org/10.1088/1361-6560/ab3df3","http://dx.doi.org/10.1088/1361-6560/ab3df3")</f>
        <v>http://dx.doi.org/10.1088/1361-6560/ab3df3</v>
      </c>
      <c r="BG265" t="s">
        <v>74</v>
      </c>
      <c r="BH265" t="s">
        <v>74</v>
      </c>
      <c r="BI265">
        <v>12</v>
      </c>
      <c r="BJ265" t="s">
        <v>101</v>
      </c>
      <c r="BK265" t="s">
        <v>102</v>
      </c>
      <c r="BL265" t="s">
        <v>103</v>
      </c>
      <c r="BM265" t="s">
        <v>1956</v>
      </c>
      <c r="BN265">
        <v>31437832</v>
      </c>
      <c r="BO265" t="s">
        <v>74</v>
      </c>
      <c r="BP265" t="s">
        <v>74</v>
      </c>
      <c r="BQ265" t="s">
        <v>74</v>
      </c>
      <c r="BR265" t="s">
        <v>106</v>
      </c>
      <c r="BS265" t="s">
        <v>4390</v>
      </c>
      <c r="BT265" t="str">
        <f>HYPERLINK("https%3A%2F%2Fwww.webofscience.com%2Fwos%2Fwoscc%2Ffull-record%2FWOS:000505954900003","View Full Record in Web of Science")</f>
        <v>View Full Record in Web of Science</v>
      </c>
    </row>
    <row r="266" spans="1:72" x14ac:dyDescent="0.25">
      <c r="A266" t="s">
        <v>72</v>
      </c>
      <c r="B266" t="s">
        <v>4391</v>
      </c>
      <c r="C266" t="s">
        <v>74</v>
      </c>
      <c r="D266" t="s">
        <v>74</v>
      </c>
      <c r="E266" t="s">
        <v>74</v>
      </c>
      <c r="F266" t="s">
        <v>4392</v>
      </c>
      <c r="G266" t="s">
        <v>74</v>
      </c>
      <c r="H266" t="s">
        <v>74</v>
      </c>
      <c r="I266" t="s">
        <v>4393</v>
      </c>
      <c r="J266" t="s">
        <v>77</v>
      </c>
      <c r="K266" t="s">
        <v>74</v>
      </c>
      <c r="L266" t="s">
        <v>74</v>
      </c>
      <c r="M266" t="s">
        <v>78</v>
      </c>
      <c r="N266" t="s">
        <v>79</v>
      </c>
      <c r="O266" t="s">
        <v>74</v>
      </c>
      <c r="P266" t="s">
        <v>74</v>
      </c>
      <c r="Q266" t="s">
        <v>74</v>
      </c>
      <c r="R266" t="s">
        <v>74</v>
      </c>
      <c r="S266" t="s">
        <v>74</v>
      </c>
      <c r="T266" t="s">
        <v>4394</v>
      </c>
      <c r="U266" t="s">
        <v>4395</v>
      </c>
      <c r="V266" t="s">
        <v>4396</v>
      </c>
      <c r="W266" t="s">
        <v>4397</v>
      </c>
      <c r="X266" t="s">
        <v>4398</v>
      </c>
      <c r="Y266" t="s">
        <v>4399</v>
      </c>
      <c r="Z266" t="s">
        <v>4400</v>
      </c>
      <c r="AA266" t="s">
        <v>4401</v>
      </c>
      <c r="AB266" t="s">
        <v>4402</v>
      </c>
      <c r="AC266" t="s">
        <v>4403</v>
      </c>
      <c r="AD266" t="s">
        <v>4404</v>
      </c>
      <c r="AE266" t="s">
        <v>4405</v>
      </c>
      <c r="AF266" t="s">
        <v>74</v>
      </c>
      <c r="AG266">
        <v>49</v>
      </c>
      <c r="AH266">
        <v>2</v>
      </c>
      <c r="AI266">
        <v>2</v>
      </c>
      <c r="AJ266">
        <v>0</v>
      </c>
      <c r="AK266">
        <v>7</v>
      </c>
      <c r="AL266" t="s">
        <v>92</v>
      </c>
      <c r="AM266" t="s">
        <v>93</v>
      </c>
      <c r="AN266" t="s">
        <v>94</v>
      </c>
      <c r="AO266" t="s">
        <v>95</v>
      </c>
      <c r="AP266" t="s">
        <v>96</v>
      </c>
      <c r="AQ266" t="s">
        <v>74</v>
      </c>
      <c r="AR266" t="s">
        <v>97</v>
      </c>
      <c r="AS266" t="s">
        <v>98</v>
      </c>
      <c r="AT266" t="s">
        <v>509</v>
      </c>
      <c r="AU266">
        <v>2019</v>
      </c>
      <c r="AV266">
        <v>64</v>
      </c>
      <c r="AW266">
        <v>20</v>
      </c>
      <c r="AX266" t="s">
        <v>74</v>
      </c>
      <c r="AY266" t="s">
        <v>74</v>
      </c>
      <c r="AZ266" t="s">
        <v>74</v>
      </c>
      <c r="BA266" t="s">
        <v>74</v>
      </c>
      <c r="BB266" t="s">
        <v>74</v>
      </c>
      <c r="BC266" t="s">
        <v>74</v>
      </c>
      <c r="BD266">
        <v>205024</v>
      </c>
      <c r="BE266" t="s">
        <v>4406</v>
      </c>
      <c r="BF266" t="str">
        <f>HYPERLINK("http://dx.doi.org/10.1088/1361-6560/ab416e","http://dx.doi.org/10.1088/1361-6560/ab416e")</f>
        <v>http://dx.doi.org/10.1088/1361-6560/ab416e</v>
      </c>
      <c r="BG266" t="s">
        <v>74</v>
      </c>
      <c r="BH266" t="s">
        <v>74</v>
      </c>
      <c r="BI266">
        <v>19</v>
      </c>
      <c r="BJ266" t="s">
        <v>101</v>
      </c>
      <c r="BK266" t="s">
        <v>102</v>
      </c>
      <c r="BL266" t="s">
        <v>103</v>
      </c>
      <c r="BM266" t="s">
        <v>741</v>
      </c>
      <c r="BN266">
        <v>31484171</v>
      </c>
      <c r="BO266" t="s">
        <v>74</v>
      </c>
      <c r="BP266" t="s">
        <v>74</v>
      </c>
      <c r="BQ266" t="s">
        <v>74</v>
      </c>
      <c r="BR266" t="s">
        <v>106</v>
      </c>
      <c r="BS266" t="s">
        <v>4407</v>
      </c>
      <c r="BT266" t="str">
        <f>HYPERLINK("https%3A%2F%2Fwww.webofscience.com%2Fwos%2Fwoscc%2Ffull-record%2FWOS:000500247900024","View Full Record in Web of Science")</f>
        <v>View Full Record in Web of Science</v>
      </c>
    </row>
    <row r="267" spans="1:72" x14ac:dyDescent="0.25">
      <c r="A267" t="s">
        <v>72</v>
      </c>
      <c r="B267" t="s">
        <v>4408</v>
      </c>
      <c r="C267" t="s">
        <v>74</v>
      </c>
      <c r="D267" t="s">
        <v>74</v>
      </c>
      <c r="E267" t="s">
        <v>74</v>
      </c>
      <c r="F267" t="s">
        <v>4409</v>
      </c>
      <c r="G267" t="s">
        <v>74</v>
      </c>
      <c r="H267" t="s">
        <v>74</v>
      </c>
      <c r="I267" t="s">
        <v>4410</v>
      </c>
      <c r="J267" t="s">
        <v>77</v>
      </c>
      <c r="K267" t="s">
        <v>74</v>
      </c>
      <c r="L267" t="s">
        <v>74</v>
      </c>
      <c r="M267" t="s">
        <v>78</v>
      </c>
      <c r="N267" t="s">
        <v>79</v>
      </c>
      <c r="O267" t="s">
        <v>74</v>
      </c>
      <c r="P267" t="s">
        <v>74</v>
      </c>
      <c r="Q267" t="s">
        <v>74</v>
      </c>
      <c r="R267" t="s">
        <v>74</v>
      </c>
      <c r="S267" t="s">
        <v>74</v>
      </c>
      <c r="T267" t="s">
        <v>4411</v>
      </c>
      <c r="U267" t="s">
        <v>4412</v>
      </c>
      <c r="V267" t="s">
        <v>4413</v>
      </c>
      <c r="W267" t="s">
        <v>4414</v>
      </c>
      <c r="X267" t="s">
        <v>4415</v>
      </c>
      <c r="Y267" t="s">
        <v>4416</v>
      </c>
      <c r="Z267" t="s">
        <v>4417</v>
      </c>
      <c r="AA267" t="s">
        <v>74</v>
      </c>
      <c r="AB267" t="s">
        <v>3723</v>
      </c>
      <c r="AC267" t="s">
        <v>4418</v>
      </c>
      <c r="AD267" t="s">
        <v>4419</v>
      </c>
      <c r="AE267" t="s">
        <v>4420</v>
      </c>
      <c r="AF267" t="s">
        <v>74</v>
      </c>
      <c r="AG267">
        <v>53</v>
      </c>
      <c r="AH267">
        <v>4</v>
      </c>
      <c r="AI267">
        <v>4</v>
      </c>
      <c r="AJ267">
        <v>0</v>
      </c>
      <c r="AK267">
        <v>6</v>
      </c>
      <c r="AL267" t="s">
        <v>92</v>
      </c>
      <c r="AM267" t="s">
        <v>93</v>
      </c>
      <c r="AN267" t="s">
        <v>94</v>
      </c>
      <c r="AO267" t="s">
        <v>95</v>
      </c>
      <c r="AP267" t="s">
        <v>96</v>
      </c>
      <c r="AQ267" t="s">
        <v>74</v>
      </c>
      <c r="AR267" t="s">
        <v>97</v>
      </c>
      <c r="AS267" t="s">
        <v>98</v>
      </c>
      <c r="AT267" t="s">
        <v>509</v>
      </c>
      <c r="AU267">
        <v>2019</v>
      </c>
      <c r="AV267">
        <v>64</v>
      </c>
      <c r="AW267">
        <v>19</v>
      </c>
      <c r="AX267" t="s">
        <v>74</v>
      </c>
      <c r="AY267" t="s">
        <v>74</v>
      </c>
      <c r="AZ267" t="s">
        <v>74</v>
      </c>
      <c r="BA267" t="s">
        <v>74</v>
      </c>
      <c r="BB267" t="s">
        <v>74</v>
      </c>
      <c r="BC267" t="s">
        <v>74</v>
      </c>
      <c r="BD267">
        <v>195006</v>
      </c>
      <c r="BE267" t="s">
        <v>4421</v>
      </c>
      <c r="BF267" t="str">
        <f>HYPERLINK("http://dx.doi.org/10.1088/1361-6560/ab37a9","http://dx.doi.org/10.1088/1361-6560/ab37a9")</f>
        <v>http://dx.doi.org/10.1088/1361-6560/ab37a9</v>
      </c>
      <c r="BG267" t="s">
        <v>74</v>
      </c>
      <c r="BH267" t="s">
        <v>74</v>
      </c>
      <c r="BI267">
        <v>15</v>
      </c>
      <c r="BJ267" t="s">
        <v>101</v>
      </c>
      <c r="BK267" t="s">
        <v>102</v>
      </c>
      <c r="BL267" t="s">
        <v>103</v>
      </c>
      <c r="BM267" t="s">
        <v>511</v>
      </c>
      <c r="BN267">
        <v>31370053</v>
      </c>
      <c r="BO267" t="s">
        <v>74</v>
      </c>
      <c r="BP267" t="s">
        <v>74</v>
      </c>
      <c r="BQ267" t="s">
        <v>74</v>
      </c>
      <c r="BR267" t="s">
        <v>106</v>
      </c>
      <c r="BS267" t="s">
        <v>4422</v>
      </c>
      <c r="BT267" t="str">
        <f>HYPERLINK("https%3A%2F%2Fwww.webofscience.com%2Fwos%2Fwoscc%2Ffull-record%2FWOS:000487555100006","View Full Record in Web of Science")</f>
        <v>View Full Record in Web of Science</v>
      </c>
    </row>
    <row r="268" spans="1:72" x14ac:dyDescent="0.25">
      <c r="A268" t="s">
        <v>72</v>
      </c>
      <c r="B268" t="s">
        <v>4423</v>
      </c>
      <c r="C268" t="s">
        <v>74</v>
      </c>
      <c r="D268" t="s">
        <v>74</v>
      </c>
      <c r="E268" t="s">
        <v>74</v>
      </c>
      <c r="F268" t="s">
        <v>4424</v>
      </c>
      <c r="G268" t="s">
        <v>74</v>
      </c>
      <c r="H268" t="s">
        <v>74</v>
      </c>
      <c r="I268" t="s">
        <v>4425</v>
      </c>
      <c r="J268" t="s">
        <v>77</v>
      </c>
      <c r="K268" t="s">
        <v>74</v>
      </c>
      <c r="L268" t="s">
        <v>74</v>
      </c>
      <c r="M268" t="s">
        <v>78</v>
      </c>
      <c r="N268" t="s">
        <v>79</v>
      </c>
      <c r="O268" t="s">
        <v>74</v>
      </c>
      <c r="P268" t="s">
        <v>74</v>
      </c>
      <c r="Q268" t="s">
        <v>74</v>
      </c>
      <c r="R268" t="s">
        <v>74</v>
      </c>
      <c r="S268" t="s">
        <v>74</v>
      </c>
      <c r="T268" t="s">
        <v>4426</v>
      </c>
      <c r="U268" t="s">
        <v>4427</v>
      </c>
      <c r="V268" t="s">
        <v>4428</v>
      </c>
      <c r="W268" t="s">
        <v>4429</v>
      </c>
      <c r="X268" t="s">
        <v>1724</v>
      </c>
      <c r="Y268" t="s">
        <v>4430</v>
      </c>
      <c r="Z268" t="s">
        <v>4431</v>
      </c>
      <c r="AA268" t="s">
        <v>74</v>
      </c>
      <c r="AB268" t="s">
        <v>4432</v>
      </c>
      <c r="AC268" t="s">
        <v>74</v>
      </c>
      <c r="AD268" t="s">
        <v>74</v>
      </c>
      <c r="AE268" t="s">
        <v>74</v>
      </c>
      <c r="AF268" t="s">
        <v>74</v>
      </c>
      <c r="AG268">
        <v>32</v>
      </c>
      <c r="AH268">
        <v>7</v>
      </c>
      <c r="AI268">
        <v>7</v>
      </c>
      <c r="AJ268">
        <v>0</v>
      </c>
      <c r="AK268">
        <v>5</v>
      </c>
      <c r="AL268" t="s">
        <v>92</v>
      </c>
      <c r="AM268" t="s">
        <v>93</v>
      </c>
      <c r="AN268" t="s">
        <v>94</v>
      </c>
      <c r="AO268" t="s">
        <v>95</v>
      </c>
      <c r="AP268" t="s">
        <v>96</v>
      </c>
      <c r="AQ268" t="s">
        <v>74</v>
      </c>
      <c r="AR268" t="s">
        <v>97</v>
      </c>
      <c r="AS268" t="s">
        <v>98</v>
      </c>
      <c r="AT268" t="s">
        <v>176</v>
      </c>
      <c r="AU268">
        <v>2019</v>
      </c>
      <c r="AV268">
        <v>64</v>
      </c>
      <c r="AW268">
        <v>17</v>
      </c>
      <c r="AX268" t="s">
        <v>74</v>
      </c>
      <c r="AY268" t="s">
        <v>74</v>
      </c>
      <c r="AZ268" t="s">
        <v>74</v>
      </c>
      <c r="BA268" t="s">
        <v>74</v>
      </c>
      <c r="BB268" t="s">
        <v>74</v>
      </c>
      <c r="BC268" t="s">
        <v>74</v>
      </c>
      <c r="BD268">
        <v>175003</v>
      </c>
      <c r="BE268" t="s">
        <v>4433</v>
      </c>
      <c r="BF268" t="str">
        <f>HYPERLINK("http://dx.doi.org/10.1088/1361-6560/ab3317","http://dx.doi.org/10.1088/1361-6560/ab3317")</f>
        <v>http://dx.doi.org/10.1088/1361-6560/ab3317</v>
      </c>
      <c r="BG268" t="s">
        <v>74</v>
      </c>
      <c r="BH268" t="s">
        <v>74</v>
      </c>
      <c r="BI268">
        <v>14</v>
      </c>
      <c r="BJ268" t="s">
        <v>101</v>
      </c>
      <c r="BK268" t="s">
        <v>102</v>
      </c>
      <c r="BL268" t="s">
        <v>103</v>
      </c>
      <c r="BM268" t="s">
        <v>776</v>
      </c>
      <c r="BN268">
        <v>31315104</v>
      </c>
      <c r="BO268" t="s">
        <v>105</v>
      </c>
      <c r="BP268" t="s">
        <v>74</v>
      </c>
      <c r="BQ268" t="s">
        <v>74</v>
      </c>
      <c r="BR268" t="s">
        <v>106</v>
      </c>
      <c r="BS268" t="s">
        <v>4434</v>
      </c>
      <c r="BT268" t="str">
        <f>HYPERLINK("https%3A%2F%2Fwww.webofscience.com%2Fwos%2Fwoscc%2Ffull-record%2FWOS:000483095200003","View Full Record in Web of Science")</f>
        <v>View Full Record in Web of Science</v>
      </c>
    </row>
    <row r="269" spans="1:72" x14ac:dyDescent="0.25">
      <c r="A269" t="s">
        <v>72</v>
      </c>
      <c r="B269" t="s">
        <v>4435</v>
      </c>
      <c r="C269" t="s">
        <v>74</v>
      </c>
      <c r="D269" t="s">
        <v>74</v>
      </c>
      <c r="E269" t="s">
        <v>74</v>
      </c>
      <c r="F269" t="s">
        <v>4436</v>
      </c>
      <c r="G269" t="s">
        <v>74</v>
      </c>
      <c r="H269" t="s">
        <v>74</v>
      </c>
      <c r="I269" t="s">
        <v>4437</v>
      </c>
      <c r="J269" t="s">
        <v>77</v>
      </c>
      <c r="K269" t="s">
        <v>74</v>
      </c>
      <c r="L269" t="s">
        <v>74</v>
      </c>
      <c r="M269" t="s">
        <v>78</v>
      </c>
      <c r="N269" t="s">
        <v>79</v>
      </c>
      <c r="O269" t="s">
        <v>74</v>
      </c>
      <c r="P269" t="s">
        <v>74</v>
      </c>
      <c r="Q269" t="s">
        <v>74</v>
      </c>
      <c r="R269" t="s">
        <v>74</v>
      </c>
      <c r="S269" t="s">
        <v>74</v>
      </c>
      <c r="T269" t="s">
        <v>4438</v>
      </c>
      <c r="U269" t="s">
        <v>4439</v>
      </c>
      <c r="V269" t="s">
        <v>4440</v>
      </c>
      <c r="W269" t="s">
        <v>4441</v>
      </c>
      <c r="X269" t="s">
        <v>429</v>
      </c>
      <c r="Y269" t="s">
        <v>4442</v>
      </c>
      <c r="Z269" t="s">
        <v>4443</v>
      </c>
      <c r="AA269" t="s">
        <v>4444</v>
      </c>
      <c r="AB269" t="s">
        <v>4445</v>
      </c>
      <c r="AC269" t="s">
        <v>433</v>
      </c>
      <c r="AD269" t="s">
        <v>434</v>
      </c>
      <c r="AE269" t="s">
        <v>4446</v>
      </c>
      <c r="AF269" t="s">
        <v>74</v>
      </c>
      <c r="AG269">
        <v>21</v>
      </c>
      <c r="AH269">
        <v>24</v>
      </c>
      <c r="AI269">
        <v>24</v>
      </c>
      <c r="AJ269">
        <v>0</v>
      </c>
      <c r="AK269">
        <v>5</v>
      </c>
      <c r="AL269" t="s">
        <v>92</v>
      </c>
      <c r="AM269" t="s">
        <v>93</v>
      </c>
      <c r="AN269" t="s">
        <v>94</v>
      </c>
      <c r="AO269" t="s">
        <v>95</v>
      </c>
      <c r="AP269" t="s">
        <v>96</v>
      </c>
      <c r="AQ269" t="s">
        <v>74</v>
      </c>
      <c r="AR269" t="s">
        <v>97</v>
      </c>
      <c r="AS269" t="s">
        <v>98</v>
      </c>
      <c r="AT269" t="s">
        <v>176</v>
      </c>
      <c r="AU269">
        <v>2019</v>
      </c>
      <c r="AV269">
        <v>64</v>
      </c>
      <c r="AW269">
        <v>18</v>
      </c>
      <c r="AX269" t="s">
        <v>74</v>
      </c>
      <c r="AY269" t="s">
        <v>74</v>
      </c>
      <c r="AZ269" t="s">
        <v>74</v>
      </c>
      <c r="BA269" t="s">
        <v>74</v>
      </c>
      <c r="BB269" t="s">
        <v>74</v>
      </c>
      <c r="BC269" t="s">
        <v>74</v>
      </c>
      <c r="BD269">
        <v>185004</v>
      </c>
      <c r="BE269" t="s">
        <v>4447</v>
      </c>
      <c r="BF269" t="str">
        <f>HYPERLINK("http://dx.doi.org/10.1088/1361-6560/ab37a8","http://dx.doi.org/10.1088/1361-6560/ab37a8")</f>
        <v>http://dx.doi.org/10.1088/1361-6560/ab37a8</v>
      </c>
      <c r="BG269" t="s">
        <v>74</v>
      </c>
      <c r="BH269" t="s">
        <v>74</v>
      </c>
      <c r="BI269">
        <v>13</v>
      </c>
      <c r="BJ269" t="s">
        <v>101</v>
      </c>
      <c r="BK269" t="s">
        <v>102</v>
      </c>
      <c r="BL269" t="s">
        <v>103</v>
      </c>
      <c r="BM269" t="s">
        <v>2334</v>
      </c>
      <c r="BN269">
        <v>31370043</v>
      </c>
      <c r="BO269" t="s">
        <v>829</v>
      </c>
      <c r="BP269" t="s">
        <v>74</v>
      </c>
      <c r="BQ269" t="s">
        <v>74</v>
      </c>
      <c r="BR269" t="s">
        <v>106</v>
      </c>
      <c r="BS269" t="s">
        <v>4448</v>
      </c>
      <c r="BT269" t="str">
        <f>HYPERLINK("https%3A%2F%2Fwww.webofscience.com%2Fwos%2Fwoscc%2Ffull-record%2FWOS:000485720400004","View Full Record in Web of Science")</f>
        <v>View Full Record in Web of Science</v>
      </c>
    </row>
    <row r="270" spans="1:72" x14ac:dyDescent="0.25">
      <c r="A270" t="s">
        <v>72</v>
      </c>
      <c r="B270" t="s">
        <v>4449</v>
      </c>
      <c r="C270" t="s">
        <v>74</v>
      </c>
      <c r="D270" t="s">
        <v>74</v>
      </c>
      <c r="E270" t="s">
        <v>74</v>
      </c>
      <c r="F270" t="s">
        <v>4450</v>
      </c>
      <c r="G270" t="s">
        <v>74</v>
      </c>
      <c r="H270" t="s">
        <v>74</v>
      </c>
      <c r="I270" t="s">
        <v>4451</v>
      </c>
      <c r="J270" t="s">
        <v>77</v>
      </c>
      <c r="K270" t="s">
        <v>74</v>
      </c>
      <c r="L270" t="s">
        <v>74</v>
      </c>
      <c r="M270" t="s">
        <v>78</v>
      </c>
      <c r="N270" t="s">
        <v>79</v>
      </c>
      <c r="O270" t="s">
        <v>74</v>
      </c>
      <c r="P270" t="s">
        <v>74</v>
      </c>
      <c r="Q270" t="s">
        <v>74</v>
      </c>
      <c r="R270" t="s">
        <v>74</v>
      </c>
      <c r="S270" t="s">
        <v>74</v>
      </c>
      <c r="T270" t="s">
        <v>4452</v>
      </c>
      <c r="U270" t="s">
        <v>4453</v>
      </c>
      <c r="V270" t="s">
        <v>4454</v>
      </c>
      <c r="W270" t="s">
        <v>4455</v>
      </c>
      <c r="X270" t="s">
        <v>4456</v>
      </c>
      <c r="Y270" t="s">
        <v>4457</v>
      </c>
      <c r="Z270" t="s">
        <v>4458</v>
      </c>
      <c r="AA270" t="s">
        <v>4459</v>
      </c>
      <c r="AB270" t="s">
        <v>4460</v>
      </c>
      <c r="AC270" t="s">
        <v>4461</v>
      </c>
      <c r="AD270" t="s">
        <v>4461</v>
      </c>
      <c r="AE270" t="s">
        <v>4462</v>
      </c>
      <c r="AF270" t="s">
        <v>74</v>
      </c>
      <c r="AG270">
        <v>28</v>
      </c>
      <c r="AH270">
        <v>9</v>
      </c>
      <c r="AI270">
        <v>9</v>
      </c>
      <c r="AJ270">
        <v>0</v>
      </c>
      <c r="AK270">
        <v>12</v>
      </c>
      <c r="AL270" t="s">
        <v>92</v>
      </c>
      <c r="AM270" t="s">
        <v>93</v>
      </c>
      <c r="AN270" t="s">
        <v>94</v>
      </c>
      <c r="AO270" t="s">
        <v>95</v>
      </c>
      <c r="AP270" t="s">
        <v>96</v>
      </c>
      <c r="AQ270" t="s">
        <v>74</v>
      </c>
      <c r="AR270" t="s">
        <v>97</v>
      </c>
      <c r="AS270" t="s">
        <v>98</v>
      </c>
      <c r="AT270" t="s">
        <v>196</v>
      </c>
      <c r="AU270">
        <v>2019</v>
      </c>
      <c r="AV270">
        <v>64</v>
      </c>
      <c r="AW270">
        <v>16</v>
      </c>
      <c r="AX270" t="s">
        <v>74</v>
      </c>
      <c r="AY270" t="s">
        <v>74</v>
      </c>
      <c r="AZ270" t="s">
        <v>74</v>
      </c>
      <c r="BA270" t="s">
        <v>74</v>
      </c>
      <c r="BB270" t="s">
        <v>74</v>
      </c>
      <c r="BC270" t="s">
        <v>74</v>
      </c>
      <c r="BD270">
        <v>165012</v>
      </c>
      <c r="BE270" t="s">
        <v>4463</v>
      </c>
      <c r="BF270" t="str">
        <f>HYPERLINK("http://dx.doi.org/10.1088/1361-6560/ab23a7","http://dx.doi.org/10.1088/1361-6560/ab23a7")</f>
        <v>http://dx.doi.org/10.1088/1361-6560/ab23a7</v>
      </c>
      <c r="BG270" t="s">
        <v>74</v>
      </c>
      <c r="BH270" t="s">
        <v>74</v>
      </c>
      <c r="BI270">
        <v>12</v>
      </c>
      <c r="BJ270" t="s">
        <v>101</v>
      </c>
      <c r="BK270" t="s">
        <v>102</v>
      </c>
      <c r="BL270" t="s">
        <v>103</v>
      </c>
      <c r="BM270" t="s">
        <v>2045</v>
      </c>
      <c r="BN270">
        <v>31117063</v>
      </c>
      <c r="BO270" t="s">
        <v>105</v>
      </c>
      <c r="BP270" t="s">
        <v>74</v>
      </c>
      <c r="BQ270" t="s">
        <v>74</v>
      </c>
      <c r="BR270" t="s">
        <v>106</v>
      </c>
      <c r="BS270" t="s">
        <v>4464</v>
      </c>
      <c r="BT270" t="str">
        <f>HYPERLINK("https%3A%2F%2Fwww.webofscience.com%2Fwos%2Fwoscc%2Ffull-record%2FWOS:000482525700003","View Full Record in Web of Science")</f>
        <v>View Full Record in Web of Science</v>
      </c>
    </row>
    <row r="271" spans="1:72" x14ac:dyDescent="0.25">
      <c r="A271" t="s">
        <v>72</v>
      </c>
      <c r="B271" t="s">
        <v>4465</v>
      </c>
      <c r="C271" t="s">
        <v>74</v>
      </c>
      <c r="D271" t="s">
        <v>74</v>
      </c>
      <c r="E271" t="s">
        <v>74</v>
      </c>
      <c r="F271" t="s">
        <v>4466</v>
      </c>
      <c r="G271" t="s">
        <v>74</v>
      </c>
      <c r="H271" t="s">
        <v>74</v>
      </c>
      <c r="I271" t="s">
        <v>4467</v>
      </c>
      <c r="J271" t="s">
        <v>77</v>
      </c>
      <c r="K271" t="s">
        <v>74</v>
      </c>
      <c r="L271" t="s">
        <v>74</v>
      </c>
      <c r="M271" t="s">
        <v>78</v>
      </c>
      <c r="N271" t="s">
        <v>79</v>
      </c>
      <c r="O271" t="s">
        <v>74</v>
      </c>
      <c r="P271" t="s">
        <v>74</v>
      </c>
      <c r="Q271" t="s">
        <v>74</v>
      </c>
      <c r="R271" t="s">
        <v>74</v>
      </c>
      <c r="S271" t="s">
        <v>74</v>
      </c>
      <c r="T271" t="s">
        <v>4468</v>
      </c>
      <c r="U271" t="s">
        <v>4469</v>
      </c>
      <c r="V271" t="s">
        <v>4470</v>
      </c>
      <c r="W271" t="s">
        <v>4471</v>
      </c>
      <c r="X271" t="s">
        <v>4472</v>
      </c>
      <c r="Y271" t="s">
        <v>4473</v>
      </c>
      <c r="Z271" t="s">
        <v>4474</v>
      </c>
      <c r="AA271" t="s">
        <v>4475</v>
      </c>
      <c r="AB271" t="s">
        <v>4476</v>
      </c>
      <c r="AC271" t="s">
        <v>4477</v>
      </c>
      <c r="AD271" t="s">
        <v>416</v>
      </c>
      <c r="AE271" t="s">
        <v>4478</v>
      </c>
      <c r="AF271" t="s">
        <v>74</v>
      </c>
      <c r="AG271">
        <v>17</v>
      </c>
      <c r="AH271">
        <v>19</v>
      </c>
      <c r="AI271">
        <v>25</v>
      </c>
      <c r="AJ271">
        <v>1</v>
      </c>
      <c r="AK271">
        <v>14</v>
      </c>
      <c r="AL271" t="s">
        <v>92</v>
      </c>
      <c r="AM271" t="s">
        <v>93</v>
      </c>
      <c r="AN271" t="s">
        <v>94</v>
      </c>
      <c r="AO271" t="s">
        <v>95</v>
      </c>
      <c r="AP271" t="s">
        <v>96</v>
      </c>
      <c r="AQ271" t="s">
        <v>74</v>
      </c>
      <c r="AR271" t="s">
        <v>97</v>
      </c>
      <c r="AS271" t="s">
        <v>98</v>
      </c>
      <c r="AT271" t="s">
        <v>214</v>
      </c>
      <c r="AU271">
        <v>2019</v>
      </c>
      <c r="AV271">
        <v>64</v>
      </c>
      <c r="AW271">
        <v>14</v>
      </c>
      <c r="AX271" t="s">
        <v>74</v>
      </c>
      <c r="AY271" t="s">
        <v>74</v>
      </c>
      <c r="AZ271" t="s">
        <v>74</v>
      </c>
      <c r="BA271" t="s">
        <v>74</v>
      </c>
      <c r="BB271" t="s">
        <v>74</v>
      </c>
      <c r="BC271" t="s">
        <v>74</v>
      </c>
      <c r="BD271">
        <v>145021</v>
      </c>
      <c r="BE271" t="s">
        <v>4479</v>
      </c>
      <c r="BF271" t="str">
        <f>HYPERLINK("http://dx.doi.org/10.1088/1361-6560/ab25a3","http://dx.doi.org/10.1088/1361-6560/ab25a3")</f>
        <v>http://dx.doi.org/10.1088/1361-6560/ab25a3</v>
      </c>
      <c r="BG271" t="s">
        <v>74</v>
      </c>
      <c r="BH271" t="s">
        <v>74</v>
      </c>
      <c r="BI271">
        <v>8</v>
      </c>
      <c r="BJ271" t="s">
        <v>101</v>
      </c>
      <c r="BK271" t="s">
        <v>102</v>
      </c>
      <c r="BL271" t="s">
        <v>103</v>
      </c>
      <c r="BM271" t="s">
        <v>1093</v>
      </c>
      <c r="BN271">
        <v>31146269</v>
      </c>
      <c r="BO271" t="s">
        <v>105</v>
      </c>
      <c r="BP271" t="s">
        <v>74</v>
      </c>
      <c r="BQ271" t="s">
        <v>74</v>
      </c>
      <c r="BR271" t="s">
        <v>106</v>
      </c>
      <c r="BS271" t="s">
        <v>4480</v>
      </c>
      <c r="BT271" t="str">
        <f>HYPERLINK("https%3A%2F%2Fwww.webofscience.com%2Fwos%2Fwoscc%2Ffull-record%2FWOS:000476529600005","View Full Record in Web of Science")</f>
        <v>View Full Record in Web of Science</v>
      </c>
    </row>
    <row r="272" spans="1:72" x14ac:dyDescent="0.25">
      <c r="A272" t="s">
        <v>72</v>
      </c>
      <c r="B272" t="s">
        <v>4481</v>
      </c>
      <c r="C272" t="s">
        <v>74</v>
      </c>
      <c r="D272" t="s">
        <v>74</v>
      </c>
      <c r="E272" t="s">
        <v>74</v>
      </c>
      <c r="F272" t="s">
        <v>4482</v>
      </c>
      <c r="G272" t="s">
        <v>74</v>
      </c>
      <c r="H272" t="s">
        <v>74</v>
      </c>
      <c r="I272" t="s">
        <v>4483</v>
      </c>
      <c r="J272" t="s">
        <v>77</v>
      </c>
      <c r="K272" t="s">
        <v>74</v>
      </c>
      <c r="L272" t="s">
        <v>74</v>
      </c>
      <c r="M272" t="s">
        <v>78</v>
      </c>
      <c r="N272" t="s">
        <v>79</v>
      </c>
      <c r="O272" t="s">
        <v>74</v>
      </c>
      <c r="P272" t="s">
        <v>74</v>
      </c>
      <c r="Q272" t="s">
        <v>74</v>
      </c>
      <c r="R272" t="s">
        <v>74</v>
      </c>
      <c r="S272" t="s">
        <v>74</v>
      </c>
      <c r="T272" t="s">
        <v>4484</v>
      </c>
      <c r="U272" t="s">
        <v>74</v>
      </c>
      <c r="V272" t="s">
        <v>4485</v>
      </c>
      <c r="W272" t="s">
        <v>4486</v>
      </c>
      <c r="X272" t="s">
        <v>2998</v>
      </c>
      <c r="Y272" t="s">
        <v>4487</v>
      </c>
      <c r="Z272" t="s">
        <v>3000</v>
      </c>
      <c r="AA272" t="s">
        <v>4488</v>
      </c>
      <c r="AB272" t="s">
        <v>74</v>
      </c>
      <c r="AC272" t="s">
        <v>4489</v>
      </c>
      <c r="AD272" t="s">
        <v>4490</v>
      </c>
      <c r="AE272" t="s">
        <v>4491</v>
      </c>
      <c r="AF272" t="s">
        <v>74</v>
      </c>
      <c r="AG272">
        <v>13</v>
      </c>
      <c r="AH272">
        <v>11</v>
      </c>
      <c r="AI272">
        <v>11</v>
      </c>
      <c r="AJ272">
        <v>0</v>
      </c>
      <c r="AK272">
        <v>12</v>
      </c>
      <c r="AL272" t="s">
        <v>92</v>
      </c>
      <c r="AM272" t="s">
        <v>93</v>
      </c>
      <c r="AN272" t="s">
        <v>94</v>
      </c>
      <c r="AO272" t="s">
        <v>95</v>
      </c>
      <c r="AP272" t="s">
        <v>96</v>
      </c>
      <c r="AQ272" t="s">
        <v>74</v>
      </c>
      <c r="AR272" t="s">
        <v>97</v>
      </c>
      <c r="AS272" t="s">
        <v>98</v>
      </c>
      <c r="AT272" t="s">
        <v>214</v>
      </c>
      <c r="AU272">
        <v>2019</v>
      </c>
      <c r="AV272">
        <v>64</v>
      </c>
      <c r="AW272">
        <v>13</v>
      </c>
      <c r="AX272" t="s">
        <v>74</v>
      </c>
      <c r="AY272" t="s">
        <v>74</v>
      </c>
      <c r="AZ272" t="s">
        <v>74</v>
      </c>
      <c r="BA272" t="s">
        <v>74</v>
      </c>
      <c r="BB272" t="s">
        <v>74</v>
      </c>
      <c r="BC272" t="s">
        <v>74</v>
      </c>
      <c r="BD272">
        <v>135012</v>
      </c>
      <c r="BE272" t="s">
        <v>4492</v>
      </c>
      <c r="BF272" t="str">
        <f>HYPERLINK("http://dx.doi.org/10.1088/1361-6560/ab267c","http://dx.doi.org/10.1088/1361-6560/ab267c")</f>
        <v>http://dx.doi.org/10.1088/1361-6560/ab267c</v>
      </c>
      <c r="BG272" t="s">
        <v>74</v>
      </c>
      <c r="BH272" t="s">
        <v>74</v>
      </c>
      <c r="BI272">
        <v>9</v>
      </c>
      <c r="BJ272" t="s">
        <v>101</v>
      </c>
      <c r="BK272" t="s">
        <v>102</v>
      </c>
      <c r="BL272" t="s">
        <v>103</v>
      </c>
      <c r="BM272" t="s">
        <v>2061</v>
      </c>
      <c r="BN272">
        <v>31158823</v>
      </c>
      <c r="BO272" t="s">
        <v>829</v>
      </c>
      <c r="BP272" t="s">
        <v>74</v>
      </c>
      <c r="BQ272" t="s">
        <v>74</v>
      </c>
      <c r="BR272" t="s">
        <v>106</v>
      </c>
      <c r="BS272" t="s">
        <v>4493</v>
      </c>
      <c r="BT272" t="str">
        <f>HYPERLINK("https%3A%2F%2Fwww.webofscience.com%2Fwos%2Fwoscc%2Ffull-record%2FWOS:000474298100004","View Full Record in Web of Science")</f>
        <v>View Full Record in Web of Science</v>
      </c>
    </row>
    <row r="273" spans="1:72" x14ac:dyDescent="0.25">
      <c r="A273" t="s">
        <v>72</v>
      </c>
      <c r="B273" t="s">
        <v>4494</v>
      </c>
      <c r="C273" t="s">
        <v>74</v>
      </c>
      <c r="D273" t="s">
        <v>74</v>
      </c>
      <c r="E273" t="s">
        <v>74</v>
      </c>
      <c r="F273" t="s">
        <v>4495</v>
      </c>
      <c r="G273" t="s">
        <v>74</v>
      </c>
      <c r="H273" t="s">
        <v>74</v>
      </c>
      <c r="I273" t="s">
        <v>4496</v>
      </c>
      <c r="J273" t="s">
        <v>77</v>
      </c>
      <c r="K273" t="s">
        <v>74</v>
      </c>
      <c r="L273" t="s">
        <v>74</v>
      </c>
      <c r="M273" t="s">
        <v>78</v>
      </c>
      <c r="N273" t="s">
        <v>79</v>
      </c>
      <c r="O273" t="s">
        <v>74</v>
      </c>
      <c r="P273" t="s">
        <v>74</v>
      </c>
      <c r="Q273" t="s">
        <v>74</v>
      </c>
      <c r="R273" t="s">
        <v>74</v>
      </c>
      <c r="S273" t="s">
        <v>74</v>
      </c>
      <c r="T273" t="s">
        <v>4497</v>
      </c>
      <c r="U273" t="s">
        <v>4498</v>
      </c>
      <c r="V273" t="s">
        <v>4499</v>
      </c>
      <c r="W273" t="s">
        <v>4500</v>
      </c>
      <c r="X273" t="s">
        <v>4501</v>
      </c>
      <c r="Y273" t="s">
        <v>4502</v>
      </c>
      <c r="Z273" t="s">
        <v>4503</v>
      </c>
      <c r="AA273" t="s">
        <v>4504</v>
      </c>
      <c r="AB273" t="s">
        <v>4505</v>
      </c>
      <c r="AC273" t="s">
        <v>74</v>
      </c>
      <c r="AD273" t="s">
        <v>74</v>
      </c>
      <c r="AE273" t="s">
        <v>74</v>
      </c>
      <c r="AF273" t="s">
        <v>74</v>
      </c>
      <c r="AG273">
        <v>26</v>
      </c>
      <c r="AH273">
        <v>3</v>
      </c>
      <c r="AI273">
        <v>3</v>
      </c>
      <c r="AJ273">
        <v>0</v>
      </c>
      <c r="AK273">
        <v>2</v>
      </c>
      <c r="AL273" t="s">
        <v>92</v>
      </c>
      <c r="AM273" t="s">
        <v>93</v>
      </c>
      <c r="AN273" t="s">
        <v>94</v>
      </c>
      <c r="AO273" t="s">
        <v>95</v>
      </c>
      <c r="AP273" t="s">
        <v>96</v>
      </c>
      <c r="AQ273" t="s">
        <v>74</v>
      </c>
      <c r="AR273" t="s">
        <v>97</v>
      </c>
      <c r="AS273" t="s">
        <v>98</v>
      </c>
      <c r="AT273" t="s">
        <v>250</v>
      </c>
      <c r="AU273">
        <v>2019</v>
      </c>
      <c r="AV273">
        <v>64</v>
      </c>
      <c r="AW273">
        <v>11</v>
      </c>
      <c r="AX273" t="s">
        <v>74</v>
      </c>
      <c r="AY273" t="s">
        <v>74</v>
      </c>
      <c r="AZ273" t="s">
        <v>74</v>
      </c>
      <c r="BA273" t="s">
        <v>74</v>
      </c>
      <c r="BB273" t="s">
        <v>74</v>
      </c>
      <c r="BC273" t="s">
        <v>74</v>
      </c>
      <c r="BD273">
        <v>115028</v>
      </c>
      <c r="BE273" t="s">
        <v>4506</v>
      </c>
      <c r="BF273" t="str">
        <f>HYPERLINK("http://dx.doi.org/10.1088/1361-6560/ab177d","http://dx.doi.org/10.1088/1361-6560/ab177d")</f>
        <v>http://dx.doi.org/10.1088/1361-6560/ab177d</v>
      </c>
      <c r="BG273" t="s">
        <v>74</v>
      </c>
      <c r="BH273" t="s">
        <v>74</v>
      </c>
      <c r="BI273">
        <v>16</v>
      </c>
      <c r="BJ273" t="s">
        <v>101</v>
      </c>
      <c r="BK273" t="s">
        <v>102</v>
      </c>
      <c r="BL273" t="s">
        <v>103</v>
      </c>
      <c r="BM273" t="s">
        <v>2107</v>
      </c>
      <c r="BN273">
        <v>30965313</v>
      </c>
      <c r="BO273" t="s">
        <v>74</v>
      </c>
      <c r="BP273" t="s">
        <v>74</v>
      </c>
      <c r="BQ273" t="s">
        <v>74</v>
      </c>
      <c r="BR273" t="s">
        <v>106</v>
      </c>
      <c r="BS273" t="s">
        <v>4507</v>
      </c>
      <c r="BT273" t="str">
        <f>HYPERLINK("https%3A%2F%2Fwww.webofscience.com%2Fwos%2Fwoscc%2Ffull-record%2FWOS:000470808600003","View Full Record in Web of Science")</f>
        <v>View Full Record in Web of Science</v>
      </c>
    </row>
    <row r="274" spans="1:72" x14ac:dyDescent="0.25">
      <c r="A274" t="s">
        <v>72</v>
      </c>
      <c r="B274" t="s">
        <v>4508</v>
      </c>
      <c r="C274" t="s">
        <v>74</v>
      </c>
      <c r="D274" t="s">
        <v>74</v>
      </c>
      <c r="E274" t="s">
        <v>74</v>
      </c>
      <c r="F274" t="s">
        <v>4509</v>
      </c>
      <c r="G274" t="s">
        <v>74</v>
      </c>
      <c r="H274" t="s">
        <v>74</v>
      </c>
      <c r="I274" t="s">
        <v>4510</v>
      </c>
      <c r="J274" t="s">
        <v>77</v>
      </c>
      <c r="K274" t="s">
        <v>74</v>
      </c>
      <c r="L274" t="s">
        <v>74</v>
      </c>
      <c r="M274" t="s">
        <v>78</v>
      </c>
      <c r="N274" t="s">
        <v>79</v>
      </c>
      <c r="O274" t="s">
        <v>74</v>
      </c>
      <c r="P274" t="s">
        <v>74</v>
      </c>
      <c r="Q274" t="s">
        <v>74</v>
      </c>
      <c r="R274" t="s">
        <v>74</v>
      </c>
      <c r="S274" t="s">
        <v>74</v>
      </c>
      <c r="T274" t="s">
        <v>4511</v>
      </c>
      <c r="U274" t="s">
        <v>4512</v>
      </c>
      <c r="V274" t="s">
        <v>4513</v>
      </c>
      <c r="W274" t="s">
        <v>4514</v>
      </c>
      <c r="X274" t="s">
        <v>4515</v>
      </c>
      <c r="Y274" t="s">
        <v>4516</v>
      </c>
      <c r="Z274" t="s">
        <v>4517</v>
      </c>
      <c r="AA274" t="s">
        <v>4518</v>
      </c>
      <c r="AB274" t="s">
        <v>4519</v>
      </c>
      <c r="AC274" t="s">
        <v>4520</v>
      </c>
      <c r="AD274" t="s">
        <v>4521</v>
      </c>
      <c r="AE274" t="s">
        <v>4522</v>
      </c>
      <c r="AF274" t="s">
        <v>74</v>
      </c>
      <c r="AG274">
        <v>30</v>
      </c>
      <c r="AH274">
        <v>5</v>
      </c>
      <c r="AI274">
        <v>7</v>
      </c>
      <c r="AJ274">
        <v>1</v>
      </c>
      <c r="AK274">
        <v>29</v>
      </c>
      <c r="AL274" t="s">
        <v>92</v>
      </c>
      <c r="AM274" t="s">
        <v>93</v>
      </c>
      <c r="AN274" t="s">
        <v>94</v>
      </c>
      <c r="AO274" t="s">
        <v>95</v>
      </c>
      <c r="AP274" t="s">
        <v>96</v>
      </c>
      <c r="AQ274" t="s">
        <v>74</v>
      </c>
      <c r="AR274" t="s">
        <v>97</v>
      </c>
      <c r="AS274" t="s">
        <v>98</v>
      </c>
      <c r="AT274" t="s">
        <v>250</v>
      </c>
      <c r="AU274">
        <v>2019</v>
      </c>
      <c r="AV274">
        <v>64</v>
      </c>
      <c r="AW274">
        <v>12</v>
      </c>
      <c r="AX274" t="s">
        <v>74</v>
      </c>
      <c r="AY274" t="s">
        <v>74</v>
      </c>
      <c r="AZ274" t="s">
        <v>74</v>
      </c>
      <c r="BA274" t="s">
        <v>74</v>
      </c>
      <c r="BB274" t="s">
        <v>74</v>
      </c>
      <c r="BC274" t="s">
        <v>74</v>
      </c>
      <c r="BD274">
        <v>125015</v>
      </c>
      <c r="BE274" t="s">
        <v>4523</v>
      </c>
      <c r="BF274" t="str">
        <f>HYPERLINK("http://dx.doi.org/10.1088/1361-6560/ab23b3","http://dx.doi.org/10.1088/1361-6560/ab23b3")</f>
        <v>http://dx.doi.org/10.1088/1361-6560/ab23b3</v>
      </c>
      <c r="BG274" t="s">
        <v>74</v>
      </c>
      <c r="BH274" t="s">
        <v>74</v>
      </c>
      <c r="BI274">
        <v>7</v>
      </c>
      <c r="BJ274" t="s">
        <v>101</v>
      </c>
      <c r="BK274" t="s">
        <v>102</v>
      </c>
      <c r="BL274" t="s">
        <v>103</v>
      </c>
      <c r="BM274" t="s">
        <v>357</v>
      </c>
      <c r="BN274">
        <v>31117059</v>
      </c>
      <c r="BO274" t="s">
        <v>74</v>
      </c>
      <c r="BP274" t="s">
        <v>74</v>
      </c>
      <c r="BQ274" t="s">
        <v>74</v>
      </c>
      <c r="BR274" t="s">
        <v>106</v>
      </c>
      <c r="BS274" t="s">
        <v>4524</v>
      </c>
      <c r="BT274" t="str">
        <f>HYPERLINK("https%3A%2F%2Fwww.webofscience.com%2Fwos%2Fwoscc%2Ffull-record%2FWOS:000518929400005","View Full Record in Web of Science")</f>
        <v>View Full Record in Web of Science</v>
      </c>
    </row>
    <row r="275" spans="1:72" x14ac:dyDescent="0.25">
      <c r="A275" t="s">
        <v>72</v>
      </c>
      <c r="B275" t="s">
        <v>4525</v>
      </c>
      <c r="C275" t="s">
        <v>74</v>
      </c>
      <c r="D275" t="s">
        <v>74</v>
      </c>
      <c r="E275" t="s">
        <v>74</v>
      </c>
      <c r="F275" t="s">
        <v>4526</v>
      </c>
      <c r="G275" t="s">
        <v>74</v>
      </c>
      <c r="H275" t="s">
        <v>74</v>
      </c>
      <c r="I275" t="s">
        <v>4527</v>
      </c>
      <c r="J275" t="s">
        <v>77</v>
      </c>
      <c r="K275" t="s">
        <v>74</v>
      </c>
      <c r="L275" t="s">
        <v>74</v>
      </c>
      <c r="M275" t="s">
        <v>78</v>
      </c>
      <c r="N275" t="s">
        <v>79</v>
      </c>
      <c r="O275" t="s">
        <v>74</v>
      </c>
      <c r="P275" t="s">
        <v>74</v>
      </c>
      <c r="Q275" t="s">
        <v>74</v>
      </c>
      <c r="R275" t="s">
        <v>74</v>
      </c>
      <c r="S275" t="s">
        <v>74</v>
      </c>
      <c r="T275" t="s">
        <v>4528</v>
      </c>
      <c r="U275" t="s">
        <v>4529</v>
      </c>
      <c r="V275" t="s">
        <v>4530</v>
      </c>
      <c r="W275" t="s">
        <v>4531</v>
      </c>
      <c r="X275" t="s">
        <v>4532</v>
      </c>
      <c r="Y275" t="s">
        <v>4533</v>
      </c>
      <c r="Z275" t="s">
        <v>4534</v>
      </c>
      <c r="AA275" t="s">
        <v>4535</v>
      </c>
      <c r="AB275" t="s">
        <v>4536</v>
      </c>
      <c r="AC275" t="s">
        <v>4537</v>
      </c>
      <c r="AD275" t="s">
        <v>607</v>
      </c>
      <c r="AE275" t="s">
        <v>4538</v>
      </c>
      <c r="AF275" t="s">
        <v>74</v>
      </c>
      <c r="AG275">
        <v>42</v>
      </c>
      <c r="AH275">
        <v>33</v>
      </c>
      <c r="AI275">
        <v>36</v>
      </c>
      <c r="AJ275">
        <v>0</v>
      </c>
      <c r="AK275">
        <v>24</v>
      </c>
      <c r="AL275" t="s">
        <v>92</v>
      </c>
      <c r="AM275" t="s">
        <v>93</v>
      </c>
      <c r="AN275" t="s">
        <v>94</v>
      </c>
      <c r="AO275" t="s">
        <v>95</v>
      </c>
      <c r="AP275" t="s">
        <v>96</v>
      </c>
      <c r="AQ275" t="s">
        <v>74</v>
      </c>
      <c r="AR275" t="s">
        <v>97</v>
      </c>
      <c r="AS275" t="s">
        <v>98</v>
      </c>
      <c r="AT275" t="s">
        <v>386</v>
      </c>
      <c r="AU275">
        <v>2019</v>
      </c>
      <c r="AV275">
        <v>64</v>
      </c>
      <c r="AW275">
        <v>7</v>
      </c>
      <c r="AX275" t="s">
        <v>74</v>
      </c>
      <c r="AY275" t="s">
        <v>74</v>
      </c>
      <c r="AZ275" t="s">
        <v>74</v>
      </c>
      <c r="BA275" t="s">
        <v>74</v>
      </c>
      <c r="BB275" t="s">
        <v>74</v>
      </c>
      <c r="BC275" t="s">
        <v>74</v>
      </c>
      <c r="BD275" t="s">
        <v>74</v>
      </c>
      <c r="BE275" t="s">
        <v>4539</v>
      </c>
      <c r="BF275" t="str">
        <f>HYPERLINK("http://dx.doi.org/10.1088/1361-6560/aafc6c","http://dx.doi.org/10.1088/1361-6560/aafc6c")</f>
        <v>http://dx.doi.org/10.1088/1361-6560/aafc6c</v>
      </c>
      <c r="BG275" t="s">
        <v>74</v>
      </c>
      <c r="BH275" t="s">
        <v>74</v>
      </c>
      <c r="BI275">
        <v>12</v>
      </c>
      <c r="BJ275" t="s">
        <v>101</v>
      </c>
      <c r="BK275" t="s">
        <v>102</v>
      </c>
      <c r="BL275" t="s">
        <v>103</v>
      </c>
      <c r="BM275" t="s">
        <v>2615</v>
      </c>
      <c r="BN275">
        <v>30620929</v>
      </c>
      <c r="BO275" t="s">
        <v>105</v>
      </c>
      <c r="BP275" t="s">
        <v>74</v>
      </c>
      <c r="BQ275" t="s">
        <v>74</v>
      </c>
      <c r="BR275" t="s">
        <v>106</v>
      </c>
      <c r="BS275" t="s">
        <v>4540</v>
      </c>
      <c r="BT275" t="str">
        <f>HYPERLINK("https%3A%2F%2Fwww.webofscience.com%2Fwos%2Fwoscc%2Ffull-record%2FWOS:000462050200004","View Full Record in Web of Science")</f>
        <v>View Full Record in Web of Science</v>
      </c>
    </row>
    <row r="276" spans="1:72" x14ac:dyDescent="0.25">
      <c r="A276" t="s">
        <v>72</v>
      </c>
      <c r="B276" t="s">
        <v>4541</v>
      </c>
      <c r="C276" t="s">
        <v>74</v>
      </c>
      <c r="D276" t="s">
        <v>74</v>
      </c>
      <c r="E276" t="s">
        <v>74</v>
      </c>
      <c r="F276" t="s">
        <v>4542</v>
      </c>
      <c r="G276" t="s">
        <v>74</v>
      </c>
      <c r="H276" t="s">
        <v>74</v>
      </c>
      <c r="I276" t="s">
        <v>4543</v>
      </c>
      <c r="J276" t="s">
        <v>77</v>
      </c>
      <c r="K276" t="s">
        <v>74</v>
      </c>
      <c r="L276" t="s">
        <v>74</v>
      </c>
      <c r="M276" t="s">
        <v>78</v>
      </c>
      <c r="N276" t="s">
        <v>79</v>
      </c>
      <c r="O276" t="s">
        <v>74</v>
      </c>
      <c r="P276" t="s">
        <v>74</v>
      </c>
      <c r="Q276" t="s">
        <v>74</v>
      </c>
      <c r="R276" t="s">
        <v>74</v>
      </c>
      <c r="S276" t="s">
        <v>74</v>
      </c>
      <c r="T276" t="s">
        <v>4544</v>
      </c>
      <c r="U276" t="s">
        <v>4545</v>
      </c>
      <c r="V276" t="s">
        <v>4546</v>
      </c>
      <c r="W276" t="s">
        <v>4547</v>
      </c>
      <c r="X276" t="s">
        <v>4548</v>
      </c>
      <c r="Y276" t="s">
        <v>4549</v>
      </c>
      <c r="Z276" t="s">
        <v>4550</v>
      </c>
      <c r="AA276" t="s">
        <v>4551</v>
      </c>
      <c r="AB276" t="s">
        <v>4552</v>
      </c>
      <c r="AC276" t="s">
        <v>4553</v>
      </c>
      <c r="AD276" t="s">
        <v>4554</v>
      </c>
      <c r="AE276" t="s">
        <v>4555</v>
      </c>
      <c r="AF276" t="s">
        <v>74</v>
      </c>
      <c r="AG276">
        <v>28</v>
      </c>
      <c r="AH276">
        <v>8</v>
      </c>
      <c r="AI276">
        <v>8</v>
      </c>
      <c r="AJ276">
        <v>0</v>
      </c>
      <c r="AK276">
        <v>1</v>
      </c>
      <c r="AL276" t="s">
        <v>92</v>
      </c>
      <c r="AM276" t="s">
        <v>93</v>
      </c>
      <c r="AN276" t="s">
        <v>94</v>
      </c>
      <c r="AO276" t="s">
        <v>95</v>
      </c>
      <c r="AP276" t="s">
        <v>96</v>
      </c>
      <c r="AQ276" t="s">
        <v>74</v>
      </c>
      <c r="AR276" t="s">
        <v>97</v>
      </c>
      <c r="AS276" t="s">
        <v>98</v>
      </c>
      <c r="AT276" t="s">
        <v>646</v>
      </c>
      <c r="AU276">
        <v>2019</v>
      </c>
      <c r="AV276">
        <v>64</v>
      </c>
      <c r="AW276">
        <v>4</v>
      </c>
      <c r="AX276" t="s">
        <v>74</v>
      </c>
      <c r="AY276" t="s">
        <v>74</v>
      </c>
      <c r="AZ276" t="s">
        <v>74</v>
      </c>
      <c r="BA276" t="s">
        <v>74</v>
      </c>
      <c r="BB276" t="s">
        <v>74</v>
      </c>
      <c r="BC276" t="s">
        <v>74</v>
      </c>
      <c r="BD276">
        <v>45003</v>
      </c>
      <c r="BE276" t="s">
        <v>4556</v>
      </c>
      <c r="BF276" t="str">
        <f>HYPERLINK("http://dx.doi.org/10.1088/1361-6560/aafce7","http://dx.doi.org/10.1088/1361-6560/aafce7")</f>
        <v>http://dx.doi.org/10.1088/1361-6560/aafce7</v>
      </c>
      <c r="BG276" t="s">
        <v>74</v>
      </c>
      <c r="BH276" t="s">
        <v>74</v>
      </c>
      <c r="BI276">
        <v>12</v>
      </c>
      <c r="BJ276" t="s">
        <v>101</v>
      </c>
      <c r="BK276" t="s">
        <v>102</v>
      </c>
      <c r="BL276" t="s">
        <v>103</v>
      </c>
      <c r="BM276" t="s">
        <v>2257</v>
      </c>
      <c r="BN276">
        <v>30625424</v>
      </c>
      <c r="BO276" t="s">
        <v>270</v>
      </c>
      <c r="BP276" t="s">
        <v>74</v>
      </c>
      <c r="BQ276" t="s">
        <v>74</v>
      </c>
      <c r="BR276" t="s">
        <v>106</v>
      </c>
      <c r="BS276" t="s">
        <v>4557</v>
      </c>
      <c r="BT276" t="str">
        <f>HYPERLINK("https%3A%2F%2Fwww.webofscience.com%2Fwos%2Fwoscc%2Ffull-record%2FWOS:000457845700003","View Full Record in Web of Science")</f>
        <v>View Full Record in Web of Science</v>
      </c>
    </row>
    <row r="277" spans="1:72" x14ac:dyDescent="0.25">
      <c r="A277" t="s">
        <v>72</v>
      </c>
      <c r="B277" t="s">
        <v>4558</v>
      </c>
      <c r="C277" t="s">
        <v>74</v>
      </c>
      <c r="D277" t="s">
        <v>74</v>
      </c>
      <c r="E277" t="s">
        <v>74</v>
      </c>
      <c r="F277" t="s">
        <v>4559</v>
      </c>
      <c r="G277" t="s">
        <v>74</v>
      </c>
      <c r="H277" t="s">
        <v>74</v>
      </c>
      <c r="I277" t="s">
        <v>4560</v>
      </c>
      <c r="J277" t="s">
        <v>77</v>
      </c>
      <c r="K277" t="s">
        <v>74</v>
      </c>
      <c r="L277" t="s">
        <v>74</v>
      </c>
      <c r="M277" t="s">
        <v>78</v>
      </c>
      <c r="N277" t="s">
        <v>79</v>
      </c>
      <c r="O277" t="s">
        <v>74</v>
      </c>
      <c r="P277" t="s">
        <v>74</v>
      </c>
      <c r="Q277" t="s">
        <v>74</v>
      </c>
      <c r="R277" t="s">
        <v>74</v>
      </c>
      <c r="S277" t="s">
        <v>74</v>
      </c>
      <c r="T277" t="s">
        <v>4561</v>
      </c>
      <c r="U277" t="s">
        <v>4562</v>
      </c>
      <c r="V277" t="s">
        <v>4563</v>
      </c>
      <c r="W277" t="s">
        <v>4564</v>
      </c>
      <c r="X277" t="s">
        <v>4565</v>
      </c>
      <c r="Y277" t="s">
        <v>4566</v>
      </c>
      <c r="Z277" t="s">
        <v>3915</v>
      </c>
      <c r="AA277" t="s">
        <v>4567</v>
      </c>
      <c r="AB277" t="s">
        <v>74</v>
      </c>
      <c r="AC277" t="s">
        <v>4568</v>
      </c>
      <c r="AD277" t="s">
        <v>4569</v>
      </c>
      <c r="AE277" t="s">
        <v>4570</v>
      </c>
      <c r="AF277" t="s">
        <v>74</v>
      </c>
      <c r="AG277">
        <v>30</v>
      </c>
      <c r="AH277">
        <v>1</v>
      </c>
      <c r="AI277">
        <v>1</v>
      </c>
      <c r="AJ277">
        <v>0</v>
      </c>
      <c r="AK277">
        <v>1</v>
      </c>
      <c r="AL277" t="s">
        <v>92</v>
      </c>
      <c r="AM277" t="s">
        <v>93</v>
      </c>
      <c r="AN277" t="s">
        <v>94</v>
      </c>
      <c r="AO277" t="s">
        <v>95</v>
      </c>
      <c r="AP277" t="s">
        <v>96</v>
      </c>
      <c r="AQ277" t="s">
        <v>74</v>
      </c>
      <c r="AR277" t="s">
        <v>97</v>
      </c>
      <c r="AS277" t="s">
        <v>98</v>
      </c>
      <c r="AT277" t="s">
        <v>99</v>
      </c>
      <c r="AU277">
        <v>2019</v>
      </c>
      <c r="AV277">
        <v>64</v>
      </c>
      <c r="AW277">
        <v>24</v>
      </c>
      <c r="AX277" t="s">
        <v>74</v>
      </c>
      <c r="AY277" t="s">
        <v>74</v>
      </c>
      <c r="AZ277" t="s">
        <v>74</v>
      </c>
      <c r="BA277" t="s">
        <v>74</v>
      </c>
      <c r="BB277" t="s">
        <v>74</v>
      </c>
      <c r="BC277" t="s">
        <v>74</v>
      </c>
      <c r="BD277">
        <v>245009</v>
      </c>
      <c r="BE277" t="s">
        <v>4571</v>
      </c>
      <c r="BF277" t="str">
        <f>HYPERLINK("http://dx.doi.org/10.1088/1361-6560/ab57c4","http://dx.doi.org/10.1088/1361-6560/ab57c4")</f>
        <v>http://dx.doi.org/10.1088/1361-6560/ab57c4</v>
      </c>
      <c r="BG277" t="s">
        <v>74</v>
      </c>
      <c r="BH277" t="s">
        <v>74</v>
      </c>
      <c r="BI277">
        <v>10</v>
      </c>
      <c r="BJ277" t="s">
        <v>101</v>
      </c>
      <c r="BK277" t="s">
        <v>102</v>
      </c>
      <c r="BL277" t="s">
        <v>103</v>
      </c>
      <c r="BM277" t="s">
        <v>104</v>
      </c>
      <c r="BN277">
        <v>31726432</v>
      </c>
      <c r="BO277" t="s">
        <v>74</v>
      </c>
      <c r="BP277" t="s">
        <v>74</v>
      </c>
      <c r="BQ277" t="s">
        <v>74</v>
      </c>
      <c r="BR277" t="s">
        <v>106</v>
      </c>
      <c r="BS277" t="s">
        <v>4572</v>
      </c>
      <c r="BT277" t="str">
        <f>HYPERLINK("https%3A%2F%2Fwww.webofscience.com%2Fwos%2Fwoscc%2Ffull-record%2FWOS:000513009900009","View Full Record in Web of Science")</f>
        <v>View Full Record in Web of Science</v>
      </c>
    </row>
    <row r="278" spans="1:72" x14ac:dyDescent="0.25">
      <c r="A278" t="s">
        <v>72</v>
      </c>
      <c r="B278" t="s">
        <v>4573</v>
      </c>
      <c r="C278" t="s">
        <v>74</v>
      </c>
      <c r="D278" t="s">
        <v>74</v>
      </c>
      <c r="E278" t="s">
        <v>74</v>
      </c>
      <c r="F278" t="s">
        <v>4574</v>
      </c>
      <c r="G278" t="s">
        <v>74</v>
      </c>
      <c r="H278" t="s">
        <v>74</v>
      </c>
      <c r="I278" t="s">
        <v>4575</v>
      </c>
      <c r="J278" t="s">
        <v>77</v>
      </c>
      <c r="K278" t="s">
        <v>74</v>
      </c>
      <c r="L278" t="s">
        <v>74</v>
      </c>
      <c r="M278" t="s">
        <v>78</v>
      </c>
      <c r="N278" t="s">
        <v>79</v>
      </c>
      <c r="O278" t="s">
        <v>74</v>
      </c>
      <c r="P278" t="s">
        <v>74</v>
      </c>
      <c r="Q278" t="s">
        <v>74</v>
      </c>
      <c r="R278" t="s">
        <v>74</v>
      </c>
      <c r="S278" t="s">
        <v>74</v>
      </c>
      <c r="T278" t="s">
        <v>4576</v>
      </c>
      <c r="U278" t="s">
        <v>4577</v>
      </c>
      <c r="V278" t="s">
        <v>4578</v>
      </c>
      <c r="W278" t="s">
        <v>4579</v>
      </c>
      <c r="X278" t="s">
        <v>4580</v>
      </c>
      <c r="Y278" t="s">
        <v>4581</v>
      </c>
      <c r="Z278" t="s">
        <v>4582</v>
      </c>
      <c r="AA278" t="s">
        <v>4583</v>
      </c>
      <c r="AB278" t="s">
        <v>4584</v>
      </c>
      <c r="AC278" t="s">
        <v>4585</v>
      </c>
      <c r="AD278" t="s">
        <v>4586</v>
      </c>
      <c r="AE278" t="s">
        <v>4587</v>
      </c>
      <c r="AF278" t="s">
        <v>74</v>
      </c>
      <c r="AG278">
        <v>65</v>
      </c>
      <c r="AH278">
        <v>51</v>
      </c>
      <c r="AI278">
        <v>55</v>
      </c>
      <c r="AJ278">
        <v>8</v>
      </c>
      <c r="AK278">
        <v>30</v>
      </c>
      <c r="AL278" t="s">
        <v>92</v>
      </c>
      <c r="AM278" t="s">
        <v>93</v>
      </c>
      <c r="AN278" t="s">
        <v>94</v>
      </c>
      <c r="AO278" t="s">
        <v>95</v>
      </c>
      <c r="AP278" t="s">
        <v>96</v>
      </c>
      <c r="AQ278" t="s">
        <v>74</v>
      </c>
      <c r="AR278" t="s">
        <v>97</v>
      </c>
      <c r="AS278" t="s">
        <v>98</v>
      </c>
      <c r="AT278" t="s">
        <v>137</v>
      </c>
      <c r="AU278">
        <v>2019</v>
      </c>
      <c r="AV278">
        <v>64</v>
      </c>
      <c r="AW278">
        <v>22</v>
      </c>
      <c r="AX278" t="s">
        <v>74</v>
      </c>
      <c r="AY278" t="s">
        <v>74</v>
      </c>
      <c r="AZ278" t="s">
        <v>74</v>
      </c>
      <c r="BA278" t="s">
        <v>74</v>
      </c>
      <c r="BB278" t="s">
        <v>74</v>
      </c>
      <c r="BC278" t="s">
        <v>74</v>
      </c>
      <c r="BD278">
        <v>225001</v>
      </c>
      <c r="BE278" t="s">
        <v>4588</v>
      </c>
      <c r="BF278" t="str">
        <f>HYPERLINK("http://dx.doi.org/10.1088/1361-6560/ab5010","http://dx.doi.org/10.1088/1361-6560/ab5010")</f>
        <v>http://dx.doi.org/10.1088/1361-6560/ab5010</v>
      </c>
      <c r="BG278" t="s">
        <v>74</v>
      </c>
      <c r="BH278" t="s">
        <v>74</v>
      </c>
      <c r="BI278">
        <v>16</v>
      </c>
      <c r="BJ278" t="s">
        <v>101</v>
      </c>
      <c r="BK278" t="s">
        <v>102</v>
      </c>
      <c r="BL278" t="s">
        <v>103</v>
      </c>
      <c r="BM278" t="s">
        <v>4589</v>
      </c>
      <c r="BN278">
        <v>31639778</v>
      </c>
      <c r="BO278" t="s">
        <v>105</v>
      </c>
      <c r="BP278" t="s">
        <v>74</v>
      </c>
      <c r="BQ278" t="s">
        <v>74</v>
      </c>
      <c r="BR278" t="s">
        <v>106</v>
      </c>
      <c r="BS278" t="s">
        <v>4590</v>
      </c>
      <c r="BT278" t="str">
        <f>HYPERLINK("https%3A%2F%2Fwww.webofscience.com%2Fwos%2Fwoscc%2Ffull-record%2FWOS:000499352100001","View Full Record in Web of Science")</f>
        <v>View Full Record in Web of Science</v>
      </c>
    </row>
    <row r="279" spans="1:72" x14ac:dyDescent="0.25">
      <c r="A279" t="s">
        <v>72</v>
      </c>
      <c r="B279" t="s">
        <v>4591</v>
      </c>
      <c r="C279" t="s">
        <v>74</v>
      </c>
      <c r="D279" t="s">
        <v>74</v>
      </c>
      <c r="E279" t="s">
        <v>74</v>
      </c>
      <c r="F279" t="s">
        <v>4592</v>
      </c>
      <c r="G279" t="s">
        <v>74</v>
      </c>
      <c r="H279" t="s">
        <v>74</v>
      </c>
      <c r="I279" t="s">
        <v>4593</v>
      </c>
      <c r="J279" t="s">
        <v>77</v>
      </c>
      <c r="K279" t="s">
        <v>74</v>
      </c>
      <c r="L279" t="s">
        <v>74</v>
      </c>
      <c r="M279" t="s">
        <v>78</v>
      </c>
      <c r="N279" t="s">
        <v>79</v>
      </c>
      <c r="O279" t="s">
        <v>74</v>
      </c>
      <c r="P279" t="s">
        <v>74</v>
      </c>
      <c r="Q279" t="s">
        <v>74</v>
      </c>
      <c r="R279" t="s">
        <v>74</v>
      </c>
      <c r="S279" t="s">
        <v>74</v>
      </c>
      <c r="T279" t="s">
        <v>4594</v>
      </c>
      <c r="U279" t="s">
        <v>4595</v>
      </c>
      <c r="V279" t="s">
        <v>4596</v>
      </c>
      <c r="W279" t="s">
        <v>4597</v>
      </c>
      <c r="X279" t="s">
        <v>4598</v>
      </c>
      <c r="Y279" t="s">
        <v>4599</v>
      </c>
      <c r="Z279" t="s">
        <v>4600</v>
      </c>
      <c r="AA279" t="s">
        <v>4601</v>
      </c>
      <c r="AB279" t="s">
        <v>4602</v>
      </c>
      <c r="AC279" t="s">
        <v>4603</v>
      </c>
      <c r="AD279" t="s">
        <v>4604</v>
      </c>
      <c r="AE279" t="s">
        <v>4605</v>
      </c>
      <c r="AF279" t="s">
        <v>74</v>
      </c>
      <c r="AG279">
        <v>35</v>
      </c>
      <c r="AH279">
        <v>8</v>
      </c>
      <c r="AI279">
        <v>9</v>
      </c>
      <c r="AJ279">
        <v>0</v>
      </c>
      <c r="AK279">
        <v>56</v>
      </c>
      <c r="AL279" t="s">
        <v>92</v>
      </c>
      <c r="AM279" t="s">
        <v>93</v>
      </c>
      <c r="AN279" t="s">
        <v>94</v>
      </c>
      <c r="AO279" t="s">
        <v>95</v>
      </c>
      <c r="AP279" t="s">
        <v>96</v>
      </c>
      <c r="AQ279" t="s">
        <v>74</v>
      </c>
      <c r="AR279" t="s">
        <v>97</v>
      </c>
      <c r="AS279" t="s">
        <v>98</v>
      </c>
      <c r="AT279" t="s">
        <v>509</v>
      </c>
      <c r="AU279">
        <v>2019</v>
      </c>
      <c r="AV279">
        <v>64</v>
      </c>
      <c r="AW279">
        <v>19</v>
      </c>
      <c r="AX279" t="s">
        <v>74</v>
      </c>
      <c r="AY279" t="s">
        <v>74</v>
      </c>
      <c r="AZ279" t="s">
        <v>74</v>
      </c>
      <c r="BA279" t="s">
        <v>74</v>
      </c>
      <c r="BB279" t="s">
        <v>74</v>
      </c>
      <c r="BC279" t="s">
        <v>74</v>
      </c>
      <c r="BD279">
        <v>195002</v>
      </c>
      <c r="BE279" t="s">
        <v>4606</v>
      </c>
      <c r="BF279" t="str">
        <f>HYPERLINK("http://dx.doi.org/10.1088/1361-6560/ab408e","http://dx.doi.org/10.1088/1361-6560/ab408e")</f>
        <v>http://dx.doi.org/10.1088/1361-6560/ab408e</v>
      </c>
      <c r="BG279" t="s">
        <v>74</v>
      </c>
      <c r="BH279" t="s">
        <v>74</v>
      </c>
      <c r="BI279">
        <v>15</v>
      </c>
      <c r="BJ279" t="s">
        <v>101</v>
      </c>
      <c r="BK279" t="s">
        <v>102</v>
      </c>
      <c r="BL279" t="s">
        <v>103</v>
      </c>
      <c r="BM279" t="s">
        <v>511</v>
      </c>
      <c r="BN279">
        <v>31476750</v>
      </c>
      <c r="BO279" t="s">
        <v>74</v>
      </c>
      <c r="BP279" t="s">
        <v>74</v>
      </c>
      <c r="BQ279" t="s">
        <v>74</v>
      </c>
      <c r="BR279" t="s">
        <v>106</v>
      </c>
      <c r="BS279" t="s">
        <v>4607</v>
      </c>
      <c r="BT279" t="str">
        <f>HYPERLINK("https%3A%2F%2Fwww.webofscience.com%2Fwos%2Fwoscc%2Ffull-record%2FWOS:000487555100002","View Full Record in Web of Science")</f>
        <v>View Full Record in Web of Science</v>
      </c>
    </row>
    <row r="280" spans="1:72" x14ac:dyDescent="0.25">
      <c r="A280" t="s">
        <v>72</v>
      </c>
      <c r="B280" t="s">
        <v>4608</v>
      </c>
      <c r="C280" t="s">
        <v>74</v>
      </c>
      <c r="D280" t="s">
        <v>74</v>
      </c>
      <c r="E280" t="s">
        <v>74</v>
      </c>
      <c r="F280" t="s">
        <v>4609</v>
      </c>
      <c r="G280" t="s">
        <v>74</v>
      </c>
      <c r="H280" t="s">
        <v>74</v>
      </c>
      <c r="I280" t="s">
        <v>4610</v>
      </c>
      <c r="J280" t="s">
        <v>77</v>
      </c>
      <c r="K280" t="s">
        <v>74</v>
      </c>
      <c r="L280" t="s">
        <v>74</v>
      </c>
      <c r="M280" t="s">
        <v>78</v>
      </c>
      <c r="N280" t="s">
        <v>79</v>
      </c>
      <c r="O280" t="s">
        <v>74</v>
      </c>
      <c r="P280" t="s">
        <v>74</v>
      </c>
      <c r="Q280" t="s">
        <v>74</v>
      </c>
      <c r="R280" t="s">
        <v>74</v>
      </c>
      <c r="S280" t="s">
        <v>74</v>
      </c>
      <c r="T280" t="s">
        <v>4611</v>
      </c>
      <c r="U280" t="s">
        <v>4612</v>
      </c>
      <c r="V280" t="s">
        <v>4613</v>
      </c>
      <c r="W280" t="s">
        <v>4614</v>
      </c>
      <c r="X280" t="s">
        <v>4615</v>
      </c>
      <c r="Y280" t="s">
        <v>4616</v>
      </c>
      <c r="Z280" t="s">
        <v>4617</v>
      </c>
      <c r="AA280" t="s">
        <v>4618</v>
      </c>
      <c r="AB280" t="s">
        <v>4619</v>
      </c>
      <c r="AC280" t="s">
        <v>4620</v>
      </c>
      <c r="AD280" t="s">
        <v>4621</v>
      </c>
      <c r="AE280" t="s">
        <v>4622</v>
      </c>
      <c r="AF280" t="s">
        <v>74</v>
      </c>
      <c r="AG280">
        <v>35</v>
      </c>
      <c r="AH280">
        <v>15</v>
      </c>
      <c r="AI280">
        <v>16</v>
      </c>
      <c r="AJ280">
        <v>0</v>
      </c>
      <c r="AK280">
        <v>5</v>
      </c>
      <c r="AL280" t="s">
        <v>92</v>
      </c>
      <c r="AM280" t="s">
        <v>93</v>
      </c>
      <c r="AN280" t="s">
        <v>94</v>
      </c>
      <c r="AO280" t="s">
        <v>95</v>
      </c>
      <c r="AP280" t="s">
        <v>96</v>
      </c>
      <c r="AQ280" t="s">
        <v>74</v>
      </c>
      <c r="AR280" t="s">
        <v>97</v>
      </c>
      <c r="AS280" t="s">
        <v>98</v>
      </c>
      <c r="AT280" t="s">
        <v>196</v>
      </c>
      <c r="AU280">
        <v>2019</v>
      </c>
      <c r="AV280">
        <v>64</v>
      </c>
      <c r="AW280">
        <v>15</v>
      </c>
      <c r="AX280" t="s">
        <v>74</v>
      </c>
      <c r="AY280" t="s">
        <v>74</v>
      </c>
      <c r="AZ280" t="s">
        <v>74</v>
      </c>
      <c r="BA280" t="s">
        <v>74</v>
      </c>
      <c r="BB280" t="s">
        <v>74</v>
      </c>
      <c r="BC280" t="s">
        <v>74</v>
      </c>
      <c r="BD280" t="s">
        <v>4623</v>
      </c>
      <c r="BE280" t="s">
        <v>4624</v>
      </c>
      <c r="BF280" t="str">
        <f>HYPERLINK("http://dx.doi.org/10.1088/1361-6560/ab2671","http://dx.doi.org/10.1088/1361-6560/ab2671")</f>
        <v>http://dx.doi.org/10.1088/1361-6560/ab2671</v>
      </c>
      <c r="BG280" t="s">
        <v>74</v>
      </c>
      <c r="BH280" t="s">
        <v>74</v>
      </c>
      <c r="BI280">
        <v>12</v>
      </c>
      <c r="BJ280" t="s">
        <v>101</v>
      </c>
      <c r="BK280" t="s">
        <v>102</v>
      </c>
      <c r="BL280" t="s">
        <v>103</v>
      </c>
      <c r="BM280" t="s">
        <v>1764</v>
      </c>
      <c r="BN280">
        <v>31158820</v>
      </c>
      <c r="BO280" t="s">
        <v>74</v>
      </c>
      <c r="BP280" t="s">
        <v>74</v>
      </c>
      <c r="BQ280" t="s">
        <v>74</v>
      </c>
      <c r="BR280" t="s">
        <v>106</v>
      </c>
      <c r="BS280" t="s">
        <v>4625</v>
      </c>
      <c r="BT280" t="str">
        <f>HYPERLINK("https%3A%2F%2Fwww.webofscience.com%2Fwos%2Fwoscc%2Ffull-record%2FWOS:000478620700001","View Full Record in Web of Science")</f>
        <v>View Full Record in Web of Science</v>
      </c>
    </row>
    <row r="281" spans="1:72" x14ac:dyDescent="0.25">
      <c r="A281" t="s">
        <v>72</v>
      </c>
      <c r="B281" t="s">
        <v>4626</v>
      </c>
      <c r="C281" t="s">
        <v>74</v>
      </c>
      <c r="D281" t="s">
        <v>74</v>
      </c>
      <c r="E281" t="s">
        <v>74</v>
      </c>
      <c r="F281" t="s">
        <v>4627</v>
      </c>
      <c r="G281" t="s">
        <v>74</v>
      </c>
      <c r="H281" t="s">
        <v>74</v>
      </c>
      <c r="I281" t="s">
        <v>4628</v>
      </c>
      <c r="J281" t="s">
        <v>77</v>
      </c>
      <c r="K281" t="s">
        <v>74</v>
      </c>
      <c r="L281" t="s">
        <v>74</v>
      </c>
      <c r="M281" t="s">
        <v>78</v>
      </c>
      <c r="N281" t="s">
        <v>79</v>
      </c>
      <c r="O281" t="s">
        <v>74</v>
      </c>
      <c r="P281" t="s">
        <v>74</v>
      </c>
      <c r="Q281" t="s">
        <v>74</v>
      </c>
      <c r="R281" t="s">
        <v>74</v>
      </c>
      <c r="S281" t="s">
        <v>74</v>
      </c>
      <c r="T281" t="s">
        <v>4629</v>
      </c>
      <c r="U281" t="s">
        <v>4630</v>
      </c>
      <c r="V281" t="s">
        <v>4631</v>
      </c>
      <c r="W281" t="s">
        <v>4632</v>
      </c>
      <c r="X281" t="s">
        <v>4633</v>
      </c>
      <c r="Y281" t="s">
        <v>4634</v>
      </c>
      <c r="Z281" t="s">
        <v>4635</v>
      </c>
      <c r="AA281" t="s">
        <v>4636</v>
      </c>
      <c r="AB281" t="s">
        <v>4637</v>
      </c>
      <c r="AC281" t="s">
        <v>4638</v>
      </c>
      <c r="AD281" t="s">
        <v>3870</v>
      </c>
      <c r="AE281" t="s">
        <v>4639</v>
      </c>
      <c r="AF281" t="s">
        <v>74</v>
      </c>
      <c r="AG281">
        <v>26</v>
      </c>
      <c r="AH281">
        <v>29</v>
      </c>
      <c r="AI281">
        <v>30</v>
      </c>
      <c r="AJ281">
        <v>1</v>
      </c>
      <c r="AK281">
        <v>7</v>
      </c>
      <c r="AL281" t="s">
        <v>92</v>
      </c>
      <c r="AM281" t="s">
        <v>93</v>
      </c>
      <c r="AN281" t="s">
        <v>94</v>
      </c>
      <c r="AO281" t="s">
        <v>95</v>
      </c>
      <c r="AP281" t="s">
        <v>96</v>
      </c>
      <c r="AQ281" t="s">
        <v>74</v>
      </c>
      <c r="AR281" t="s">
        <v>97</v>
      </c>
      <c r="AS281" t="s">
        <v>98</v>
      </c>
      <c r="AT281" t="s">
        <v>214</v>
      </c>
      <c r="AU281">
        <v>2019</v>
      </c>
      <c r="AV281">
        <v>64</v>
      </c>
      <c r="AW281">
        <v>13</v>
      </c>
      <c r="AX281" t="s">
        <v>74</v>
      </c>
      <c r="AY281" t="s">
        <v>74</v>
      </c>
      <c r="AZ281" t="s">
        <v>74</v>
      </c>
      <c r="BA281" t="s">
        <v>74</v>
      </c>
      <c r="BB281" t="s">
        <v>74</v>
      </c>
      <c r="BC281" t="s">
        <v>74</v>
      </c>
      <c r="BD281">
        <v>135013</v>
      </c>
      <c r="BE281" t="s">
        <v>4640</v>
      </c>
      <c r="BF281" t="str">
        <f>HYPERLINK("http://dx.doi.org/10.1088/1361-6560/ab20d9","http://dx.doi.org/10.1088/1361-6560/ab20d9")</f>
        <v>http://dx.doi.org/10.1088/1361-6560/ab20d9</v>
      </c>
      <c r="BG281" t="s">
        <v>74</v>
      </c>
      <c r="BH281" t="s">
        <v>74</v>
      </c>
      <c r="BI281">
        <v>12</v>
      </c>
      <c r="BJ281" t="s">
        <v>101</v>
      </c>
      <c r="BK281" t="s">
        <v>102</v>
      </c>
      <c r="BL281" t="s">
        <v>103</v>
      </c>
      <c r="BM281" t="s">
        <v>2061</v>
      </c>
      <c r="BN281">
        <v>31075786</v>
      </c>
      <c r="BO281" t="s">
        <v>4069</v>
      </c>
      <c r="BP281" t="s">
        <v>74</v>
      </c>
      <c r="BQ281" t="s">
        <v>74</v>
      </c>
      <c r="BR281" t="s">
        <v>106</v>
      </c>
      <c r="BS281" t="s">
        <v>4641</v>
      </c>
      <c r="BT281" t="str">
        <f>HYPERLINK("https%3A%2F%2Fwww.webofscience.com%2Fwos%2Fwoscc%2Ffull-record%2FWOS:000474298100005","View Full Record in Web of Science")</f>
        <v>View Full Record in Web of Science</v>
      </c>
    </row>
    <row r="282" spans="1:72" x14ac:dyDescent="0.25">
      <c r="A282" t="s">
        <v>72</v>
      </c>
      <c r="B282" t="s">
        <v>4642</v>
      </c>
      <c r="C282" t="s">
        <v>74</v>
      </c>
      <c r="D282" t="s">
        <v>74</v>
      </c>
      <c r="E282" t="s">
        <v>74</v>
      </c>
      <c r="F282" t="s">
        <v>4643</v>
      </c>
      <c r="G282" t="s">
        <v>74</v>
      </c>
      <c r="H282" t="s">
        <v>74</v>
      </c>
      <c r="I282" t="s">
        <v>4644</v>
      </c>
      <c r="J282" t="s">
        <v>77</v>
      </c>
      <c r="K282" t="s">
        <v>74</v>
      </c>
      <c r="L282" t="s">
        <v>74</v>
      </c>
      <c r="M282" t="s">
        <v>78</v>
      </c>
      <c r="N282" t="s">
        <v>79</v>
      </c>
      <c r="O282" t="s">
        <v>74</v>
      </c>
      <c r="P282" t="s">
        <v>74</v>
      </c>
      <c r="Q282" t="s">
        <v>74</v>
      </c>
      <c r="R282" t="s">
        <v>74</v>
      </c>
      <c r="S282" t="s">
        <v>74</v>
      </c>
      <c r="T282" t="s">
        <v>4645</v>
      </c>
      <c r="U282" t="s">
        <v>4646</v>
      </c>
      <c r="V282" t="s">
        <v>4647</v>
      </c>
      <c r="W282" t="s">
        <v>4648</v>
      </c>
      <c r="X282" t="s">
        <v>4649</v>
      </c>
      <c r="Y282" t="s">
        <v>4650</v>
      </c>
      <c r="Z282" t="s">
        <v>4651</v>
      </c>
      <c r="AA282" t="s">
        <v>4652</v>
      </c>
      <c r="AB282" t="s">
        <v>74</v>
      </c>
      <c r="AC282" t="s">
        <v>4653</v>
      </c>
      <c r="AD282" t="s">
        <v>4654</v>
      </c>
      <c r="AE282" t="s">
        <v>4655</v>
      </c>
      <c r="AF282" t="s">
        <v>74</v>
      </c>
      <c r="AG282">
        <v>32</v>
      </c>
      <c r="AH282">
        <v>67</v>
      </c>
      <c r="AI282">
        <v>73</v>
      </c>
      <c r="AJ282">
        <v>1</v>
      </c>
      <c r="AK282">
        <v>27</v>
      </c>
      <c r="AL282" t="s">
        <v>157</v>
      </c>
      <c r="AM282" t="s">
        <v>93</v>
      </c>
      <c r="AN282" t="s">
        <v>94</v>
      </c>
      <c r="AO282" t="s">
        <v>95</v>
      </c>
      <c r="AP282" t="s">
        <v>96</v>
      </c>
      <c r="AQ282" t="s">
        <v>74</v>
      </c>
      <c r="AR282" t="s">
        <v>97</v>
      </c>
      <c r="AS282" t="s">
        <v>98</v>
      </c>
      <c r="AT282" t="s">
        <v>214</v>
      </c>
      <c r="AU282">
        <v>2019</v>
      </c>
      <c r="AV282">
        <v>64</v>
      </c>
      <c r="AW282">
        <v>14</v>
      </c>
      <c r="AX282" t="s">
        <v>74</v>
      </c>
      <c r="AY282" t="s">
        <v>74</v>
      </c>
      <c r="AZ282" t="s">
        <v>74</v>
      </c>
      <c r="BA282" t="s">
        <v>74</v>
      </c>
      <c r="BB282" t="s">
        <v>74</v>
      </c>
      <c r="BC282" t="s">
        <v>74</v>
      </c>
      <c r="BD282">
        <v>145010</v>
      </c>
      <c r="BE282" t="s">
        <v>4656</v>
      </c>
      <c r="BF282" t="str">
        <f>HYPERLINK("http://dx.doi.org/10.1088/1361-6560/ab2770","http://dx.doi.org/10.1088/1361-6560/ab2770")</f>
        <v>http://dx.doi.org/10.1088/1361-6560/ab2770</v>
      </c>
      <c r="BG282" t="s">
        <v>74</v>
      </c>
      <c r="BH282" t="s">
        <v>74</v>
      </c>
      <c r="BI282">
        <v>12</v>
      </c>
      <c r="BJ282" t="s">
        <v>101</v>
      </c>
      <c r="BK282" t="s">
        <v>102</v>
      </c>
      <c r="BL282" t="s">
        <v>103</v>
      </c>
      <c r="BM282" t="s">
        <v>233</v>
      </c>
      <c r="BN282">
        <v>31170699</v>
      </c>
      <c r="BO282" t="s">
        <v>74</v>
      </c>
      <c r="BP282" t="s">
        <v>74</v>
      </c>
      <c r="BQ282" t="s">
        <v>74</v>
      </c>
      <c r="BR282" t="s">
        <v>106</v>
      </c>
      <c r="BS282" t="s">
        <v>4657</v>
      </c>
      <c r="BT282" t="str">
        <f>HYPERLINK("https%3A%2F%2Fwww.webofscience.com%2Fwos%2Fwoscc%2Ffull-record%2FWOS:000475775200003","View Full Record in Web of Science")</f>
        <v>View Full Record in Web of Science</v>
      </c>
    </row>
    <row r="283" spans="1:72" x14ac:dyDescent="0.25">
      <c r="A283" t="s">
        <v>72</v>
      </c>
      <c r="B283" t="s">
        <v>4658</v>
      </c>
      <c r="C283" t="s">
        <v>74</v>
      </c>
      <c r="D283" t="s">
        <v>74</v>
      </c>
      <c r="E283" t="s">
        <v>74</v>
      </c>
      <c r="F283" t="s">
        <v>4659</v>
      </c>
      <c r="G283" t="s">
        <v>74</v>
      </c>
      <c r="H283" t="s">
        <v>74</v>
      </c>
      <c r="I283" t="s">
        <v>4660</v>
      </c>
      <c r="J283" t="s">
        <v>77</v>
      </c>
      <c r="K283" t="s">
        <v>74</v>
      </c>
      <c r="L283" t="s">
        <v>74</v>
      </c>
      <c r="M283" t="s">
        <v>78</v>
      </c>
      <c r="N283" t="s">
        <v>79</v>
      </c>
      <c r="O283" t="s">
        <v>74</v>
      </c>
      <c r="P283" t="s">
        <v>74</v>
      </c>
      <c r="Q283" t="s">
        <v>74</v>
      </c>
      <c r="R283" t="s">
        <v>74</v>
      </c>
      <c r="S283" t="s">
        <v>74</v>
      </c>
      <c r="T283" t="s">
        <v>4661</v>
      </c>
      <c r="U283" t="s">
        <v>4662</v>
      </c>
      <c r="V283" t="s">
        <v>4663</v>
      </c>
      <c r="W283" t="s">
        <v>4664</v>
      </c>
      <c r="X283" t="s">
        <v>4665</v>
      </c>
      <c r="Y283" t="s">
        <v>4666</v>
      </c>
      <c r="Z283" t="s">
        <v>3222</v>
      </c>
      <c r="AA283" t="s">
        <v>74</v>
      </c>
      <c r="AB283" t="s">
        <v>4667</v>
      </c>
      <c r="AC283" t="s">
        <v>4668</v>
      </c>
      <c r="AD283" t="s">
        <v>416</v>
      </c>
      <c r="AE283" t="s">
        <v>4669</v>
      </c>
      <c r="AF283" t="s">
        <v>74</v>
      </c>
      <c r="AG283">
        <v>55</v>
      </c>
      <c r="AH283">
        <v>16</v>
      </c>
      <c r="AI283">
        <v>16</v>
      </c>
      <c r="AJ283">
        <v>0</v>
      </c>
      <c r="AK283">
        <v>15</v>
      </c>
      <c r="AL283" t="s">
        <v>92</v>
      </c>
      <c r="AM283" t="s">
        <v>93</v>
      </c>
      <c r="AN283" t="s">
        <v>94</v>
      </c>
      <c r="AO283" t="s">
        <v>95</v>
      </c>
      <c r="AP283" t="s">
        <v>96</v>
      </c>
      <c r="AQ283" t="s">
        <v>74</v>
      </c>
      <c r="AR283" t="s">
        <v>97</v>
      </c>
      <c r="AS283" t="s">
        <v>98</v>
      </c>
      <c r="AT283" t="s">
        <v>250</v>
      </c>
      <c r="AU283">
        <v>2019</v>
      </c>
      <c r="AV283">
        <v>64</v>
      </c>
      <c r="AW283">
        <v>11</v>
      </c>
      <c r="AX283" t="s">
        <v>74</v>
      </c>
      <c r="AY283" t="s">
        <v>74</v>
      </c>
      <c r="AZ283" t="s">
        <v>74</v>
      </c>
      <c r="BA283" t="s">
        <v>74</v>
      </c>
      <c r="BB283" t="s">
        <v>74</v>
      </c>
      <c r="BC283" t="s">
        <v>74</v>
      </c>
      <c r="BD283">
        <v>115012</v>
      </c>
      <c r="BE283" t="s">
        <v>4670</v>
      </c>
      <c r="BF283" t="str">
        <f>HYPERLINK("http://dx.doi.org/10.1088/1361-6560/ab1a64","http://dx.doi.org/10.1088/1361-6560/ab1a64")</f>
        <v>http://dx.doi.org/10.1088/1361-6560/ab1a64</v>
      </c>
      <c r="BG283" t="s">
        <v>74</v>
      </c>
      <c r="BH283" t="s">
        <v>74</v>
      </c>
      <c r="BI283">
        <v>14</v>
      </c>
      <c r="BJ283" t="s">
        <v>101</v>
      </c>
      <c r="BK283" t="s">
        <v>102</v>
      </c>
      <c r="BL283" t="s">
        <v>103</v>
      </c>
      <c r="BM283" t="s">
        <v>287</v>
      </c>
      <c r="BN283">
        <v>30995623</v>
      </c>
      <c r="BO283" t="s">
        <v>105</v>
      </c>
      <c r="BP283" t="s">
        <v>74</v>
      </c>
      <c r="BQ283" t="s">
        <v>74</v>
      </c>
      <c r="BR283" t="s">
        <v>106</v>
      </c>
      <c r="BS283" t="s">
        <v>4671</v>
      </c>
      <c r="BT283" t="str">
        <f>HYPERLINK("https%3A%2F%2Fwww.webofscience.com%2Fwos%2Fwoscc%2Ffull-record%2FWOS:000469802000004","View Full Record in Web of Science")</f>
        <v>View Full Record in Web of Science</v>
      </c>
    </row>
    <row r="284" spans="1:72" x14ac:dyDescent="0.25">
      <c r="A284" t="s">
        <v>72</v>
      </c>
      <c r="B284" t="s">
        <v>4672</v>
      </c>
      <c r="C284" t="s">
        <v>74</v>
      </c>
      <c r="D284" t="s">
        <v>74</v>
      </c>
      <c r="E284" t="s">
        <v>74</v>
      </c>
      <c r="F284" t="s">
        <v>4673</v>
      </c>
      <c r="G284" t="s">
        <v>74</v>
      </c>
      <c r="H284" t="s">
        <v>74</v>
      </c>
      <c r="I284" t="s">
        <v>4674</v>
      </c>
      <c r="J284" t="s">
        <v>77</v>
      </c>
      <c r="K284" t="s">
        <v>74</v>
      </c>
      <c r="L284" t="s">
        <v>74</v>
      </c>
      <c r="M284" t="s">
        <v>78</v>
      </c>
      <c r="N284" t="s">
        <v>79</v>
      </c>
      <c r="O284" t="s">
        <v>74</v>
      </c>
      <c r="P284" t="s">
        <v>74</v>
      </c>
      <c r="Q284" t="s">
        <v>74</v>
      </c>
      <c r="R284" t="s">
        <v>74</v>
      </c>
      <c r="S284" t="s">
        <v>74</v>
      </c>
      <c r="T284" t="s">
        <v>4675</v>
      </c>
      <c r="U284" t="s">
        <v>4676</v>
      </c>
      <c r="V284" t="s">
        <v>4677</v>
      </c>
      <c r="W284" t="s">
        <v>4678</v>
      </c>
      <c r="X284" t="s">
        <v>4679</v>
      </c>
      <c r="Y284" t="s">
        <v>4680</v>
      </c>
      <c r="Z284" t="s">
        <v>4681</v>
      </c>
      <c r="AA284" t="s">
        <v>74</v>
      </c>
      <c r="AB284" t="s">
        <v>4682</v>
      </c>
      <c r="AC284" t="s">
        <v>1759</v>
      </c>
      <c r="AD284" t="s">
        <v>1760</v>
      </c>
      <c r="AE284" t="s">
        <v>1761</v>
      </c>
      <c r="AF284" t="s">
        <v>74</v>
      </c>
      <c r="AG284">
        <v>13</v>
      </c>
      <c r="AH284">
        <v>29</v>
      </c>
      <c r="AI284">
        <v>29</v>
      </c>
      <c r="AJ284">
        <v>0</v>
      </c>
      <c r="AK284">
        <v>7</v>
      </c>
      <c r="AL284" t="s">
        <v>92</v>
      </c>
      <c r="AM284" t="s">
        <v>93</v>
      </c>
      <c r="AN284" t="s">
        <v>94</v>
      </c>
      <c r="AO284" t="s">
        <v>95</v>
      </c>
      <c r="AP284" t="s">
        <v>96</v>
      </c>
      <c r="AQ284" t="s">
        <v>74</v>
      </c>
      <c r="AR284" t="s">
        <v>97</v>
      </c>
      <c r="AS284" t="s">
        <v>98</v>
      </c>
      <c r="AT284" t="s">
        <v>250</v>
      </c>
      <c r="AU284">
        <v>2019</v>
      </c>
      <c r="AV284">
        <v>64</v>
      </c>
      <c r="AW284">
        <v>12</v>
      </c>
      <c r="AX284" t="s">
        <v>74</v>
      </c>
      <c r="AY284" t="s">
        <v>74</v>
      </c>
      <c r="AZ284" t="s">
        <v>74</v>
      </c>
      <c r="BA284" t="s">
        <v>74</v>
      </c>
      <c r="BB284" t="s">
        <v>74</v>
      </c>
      <c r="BC284" t="s">
        <v>74</v>
      </c>
      <c r="BD284" t="s">
        <v>4683</v>
      </c>
      <c r="BE284" t="s">
        <v>4684</v>
      </c>
      <c r="BF284" t="str">
        <f>HYPERLINK("http://dx.doi.org/10.1088/1361-6560/ab231a","http://dx.doi.org/10.1088/1361-6560/ab231a")</f>
        <v>http://dx.doi.org/10.1088/1361-6560/ab231a</v>
      </c>
      <c r="BG284" t="s">
        <v>74</v>
      </c>
      <c r="BH284" t="s">
        <v>74</v>
      </c>
      <c r="BI284">
        <v>7</v>
      </c>
      <c r="BJ284" t="s">
        <v>101</v>
      </c>
      <c r="BK284" t="s">
        <v>102</v>
      </c>
      <c r="BL284" t="s">
        <v>103</v>
      </c>
      <c r="BM284" t="s">
        <v>4685</v>
      </c>
      <c r="BN284">
        <v>31108467</v>
      </c>
      <c r="BO284" t="s">
        <v>74</v>
      </c>
      <c r="BP284" t="s">
        <v>74</v>
      </c>
      <c r="BQ284" t="s">
        <v>74</v>
      </c>
      <c r="BR284" t="s">
        <v>106</v>
      </c>
      <c r="BS284" t="s">
        <v>4686</v>
      </c>
      <c r="BT284" t="str">
        <f>HYPERLINK("https%3A%2F%2Fwww.webofscience.com%2Fwos%2Fwoscc%2Ffull-record%2FWOS:000471167600001","View Full Record in Web of Science")</f>
        <v>View Full Record in Web of Science</v>
      </c>
    </row>
    <row r="285" spans="1:72" x14ac:dyDescent="0.25">
      <c r="A285" t="s">
        <v>72</v>
      </c>
      <c r="B285" t="s">
        <v>4687</v>
      </c>
      <c r="C285" t="s">
        <v>74</v>
      </c>
      <c r="D285" t="s">
        <v>74</v>
      </c>
      <c r="E285" t="s">
        <v>74</v>
      </c>
      <c r="F285" t="s">
        <v>4688</v>
      </c>
      <c r="G285" t="s">
        <v>74</v>
      </c>
      <c r="H285" t="s">
        <v>74</v>
      </c>
      <c r="I285" t="s">
        <v>4689</v>
      </c>
      <c r="J285" t="s">
        <v>77</v>
      </c>
      <c r="K285" t="s">
        <v>74</v>
      </c>
      <c r="L285" t="s">
        <v>74</v>
      </c>
      <c r="M285" t="s">
        <v>78</v>
      </c>
      <c r="N285" t="s">
        <v>79</v>
      </c>
      <c r="O285" t="s">
        <v>74</v>
      </c>
      <c r="P285" t="s">
        <v>74</v>
      </c>
      <c r="Q285" t="s">
        <v>74</v>
      </c>
      <c r="R285" t="s">
        <v>74</v>
      </c>
      <c r="S285" t="s">
        <v>74</v>
      </c>
      <c r="T285" t="s">
        <v>4690</v>
      </c>
      <c r="U285" t="s">
        <v>4691</v>
      </c>
      <c r="V285" t="s">
        <v>4692</v>
      </c>
      <c r="W285" t="s">
        <v>4693</v>
      </c>
      <c r="X285" t="s">
        <v>4694</v>
      </c>
      <c r="Y285" t="s">
        <v>4695</v>
      </c>
      <c r="Z285" t="s">
        <v>4696</v>
      </c>
      <c r="AA285" t="s">
        <v>4697</v>
      </c>
      <c r="AB285" t="s">
        <v>4698</v>
      </c>
      <c r="AC285" t="s">
        <v>74</v>
      </c>
      <c r="AD285" t="s">
        <v>74</v>
      </c>
      <c r="AE285" t="s">
        <v>74</v>
      </c>
      <c r="AF285" t="s">
        <v>74</v>
      </c>
      <c r="AG285">
        <v>54</v>
      </c>
      <c r="AH285">
        <v>5</v>
      </c>
      <c r="AI285">
        <v>5</v>
      </c>
      <c r="AJ285">
        <v>0</v>
      </c>
      <c r="AK285">
        <v>1</v>
      </c>
      <c r="AL285" t="s">
        <v>92</v>
      </c>
      <c r="AM285" t="s">
        <v>93</v>
      </c>
      <c r="AN285" t="s">
        <v>94</v>
      </c>
      <c r="AO285" t="s">
        <v>95</v>
      </c>
      <c r="AP285" t="s">
        <v>96</v>
      </c>
      <c r="AQ285" t="s">
        <v>74</v>
      </c>
      <c r="AR285" t="s">
        <v>97</v>
      </c>
      <c r="AS285" t="s">
        <v>98</v>
      </c>
      <c r="AT285" t="s">
        <v>370</v>
      </c>
      <c r="AU285">
        <v>2019</v>
      </c>
      <c r="AV285">
        <v>64</v>
      </c>
      <c r="AW285">
        <v>9</v>
      </c>
      <c r="AX285" t="s">
        <v>74</v>
      </c>
      <c r="AY285" t="s">
        <v>74</v>
      </c>
      <c r="AZ285" t="s">
        <v>74</v>
      </c>
      <c r="BA285" t="s">
        <v>74</v>
      </c>
      <c r="BB285" t="s">
        <v>74</v>
      </c>
      <c r="BC285" t="s">
        <v>74</v>
      </c>
      <c r="BD285">
        <v>95002</v>
      </c>
      <c r="BE285" t="s">
        <v>4699</v>
      </c>
      <c r="BF285" t="str">
        <f>HYPERLINK("http://dx.doi.org/10.1088/1361-6560/ab144c","http://dx.doi.org/10.1088/1361-6560/ab144c")</f>
        <v>http://dx.doi.org/10.1088/1361-6560/ab144c</v>
      </c>
      <c r="BG285" t="s">
        <v>74</v>
      </c>
      <c r="BH285" t="s">
        <v>74</v>
      </c>
      <c r="BI285">
        <v>15</v>
      </c>
      <c r="BJ285" t="s">
        <v>101</v>
      </c>
      <c r="BK285" t="s">
        <v>102</v>
      </c>
      <c r="BL285" t="s">
        <v>103</v>
      </c>
      <c r="BM285" t="s">
        <v>2125</v>
      </c>
      <c r="BN285">
        <v>30921779</v>
      </c>
      <c r="BO285" t="s">
        <v>74</v>
      </c>
      <c r="BP285" t="s">
        <v>74</v>
      </c>
      <c r="BQ285" t="s">
        <v>74</v>
      </c>
      <c r="BR285" t="s">
        <v>106</v>
      </c>
      <c r="BS285" t="s">
        <v>4700</v>
      </c>
      <c r="BT285" t="str">
        <f>HYPERLINK("https%3A%2F%2Fwww.webofscience.com%2Fwos%2Fwoscc%2Ffull-record%2FWOS:000465824100002","View Full Record in Web of Science")</f>
        <v>View Full Record in Web of Science</v>
      </c>
    </row>
    <row r="286" spans="1:72" x14ac:dyDescent="0.25">
      <c r="A286" t="s">
        <v>72</v>
      </c>
      <c r="B286" t="s">
        <v>4701</v>
      </c>
      <c r="C286" t="s">
        <v>74</v>
      </c>
      <c r="D286" t="s">
        <v>74</v>
      </c>
      <c r="E286" t="s">
        <v>74</v>
      </c>
      <c r="F286" t="s">
        <v>4702</v>
      </c>
      <c r="G286" t="s">
        <v>74</v>
      </c>
      <c r="H286" t="s">
        <v>74</v>
      </c>
      <c r="I286" t="s">
        <v>4703</v>
      </c>
      <c r="J286" t="s">
        <v>77</v>
      </c>
      <c r="K286" t="s">
        <v>74</v>
      </c>
      <c r="L286" t="s">
        <v>74</v>
      </c>
      <c r="M286" t="s">
        <v>78</v>
      </c>
      <c r="N286" t="s">
        <v>79</v>
      </c>
      <c r="O286" t="s">
        <v>74</v>
      </c>
      <c r="P286" t="s">
        <v>74</v>
      </c>
      <c r="Q286" t="s">
        <v>74</v>
      </c>
      <c r="R286" t="s">
        <v>74</v>
      </c>
      <c r="S286" t="s">
        <v>74</v>
      </c>
      <c r="T286" t="s">
        <v>4704</v>
      </c>
      <c r="U286" t="s">
        <v>4705</v>
      </c>
      <c r="V286" t="s">
        <v>4706</v>
      </c>
      <c r="W286" t="s">
        <v>4707</v>
      </c>
      <c r="X286" t="s">
        <v>4708</v>
      </c>
      <c r="Y286" t="s">
        <v>4709</v>
      </c>
      <c r="Z286" t="s">
        <v>4710</v>
      </c>
      <c r="AA286" t="s">
        <v>4711</v>
      </c>
      <c r="AB286" t="s">
        <v>4712</v>
      </c>
      <c r="AC286" t="s">
        <v>74</v>
      </c>
      <c r="AD286" t="s">
        <v>74</v>
      </c>
      <c r="AE286" t="s">
        <v>74</v>
      </c>
      <c r="AF286" t="s">
        <v>74</v>
      </c>
      <c r="AG286">
        <v>36</v>
      </c>
      <c r="AH286">
        <v>11</v>
      </c>
      <c r="AI286">
        <v>12</v>
      </c>
      <c r="AJ286">
        <v>0</v>
      </c>
      <c r="AK286">
        <v>9</v>
      </c>
      <c r="AL286" t="s">
        <v>92</v>
      </c>
      <c r="AM286" t="s">
        <v>93</v>
      </c>
      <c r="AN286" t="s">
        <v>94</v>
      </c>
      <c r="AO286" t="s">
        <v>95</v>
      </c>
      <c r="AP286" t="s">
        <v>96</v>
      </c>
      <c r="AQ286" t="s">
        <v>74</v>
      </c>
      <c r="AR286" t="s">
        <v>97</v>
      </c>
      <c r="AS286" t="s">
        <v>98</v>
      </c>
      <c r="AT286" t="s">
        <v>370</v>
      </c>
      <c r="AU286">
        <v>2019</v>
      </c>
      <c r="AV286">
        <v>64</v>
      </c>
      <c r="AW286">
        <v>9</v>
      </c>
      <c r="AX286" t="s">
        <v>74</v>
      </c>
      <c r="AY286" t="s">
        <v>74</v>
      </c>
      <c r="AZ286" t="s">
        <v>74</v>
      </c>
      <c r="BA286" t="s">
        <v>74</v>
      </c>
      <c r="BB286" t="s">
        <v>74</v>
      </c>
      <c r="BC286" t="s">
        <v>74</v>
      </c>
      <c r="BD286">
        <v>95001</v>
      </c>
      <c r="BE286" t="s">
        <v>4713</v>
      </c>
      <c r="BF286" t="str">
        <f>HYPERLINK("http://dx.doi.org/10.1088/1361-6560/ab1459","http://dx.doi.org/10.1088/1361-6560/ab1459")</f>
        <v>http://dx.doi.org/10.1088/1361-6560/ab1459</v>
      </c>
      <c r="BG286" t="s">
        <v>74</v>
      </c>
      <c r="BH286" t="s">
        <v>74</v>
      </c>
      <c r="BI286">
        <v>9</v>
      </c>
      <c r="BJ286" t="s">
        <v>101</v>
      </c>
      <c r="BK286" t="s">
        <v>102</v>
      </c>
      <c r="BL286" t="s">
        <v>103</v>
      </c>
      <c r="BM286" t="s">
        <v>2125</v>
      </c>
      <c r="BN286">
        <v>30921775</v>
      </c>
      <c r="BO286" t="s">
        <v>74</v>
      </c>
      <c r="BP286" t="s">
        <v>74</v>
      </c>
      <c r="BQ286" t="s">
        <v>74</v>
      </c>
      <c r="BR286" t="s">
        <v>106</v>
      </c>
      <c r="BS286" t="s">
        <v>4714</v>
      </c>
      <c r="BT286" t="str">
        <f>HYPERLINK("https%3A%2F%2Fwww.webofscience.com%2Fwos%2Fwoscc%2Ffull-record%2FWOS:000465824100001","View Full Record in Web of Science")</f>
        <v>View Full Record in Web of Science</v>
      </c>
    </row>
    <row r="287" spans="1:72" x14ac:dyDescent="0.25">
      <c r="A287" t="s">
        <v>72</v>
      </c>
      <c r="B287" t="s">
        <v>4715</v>
      </c>
      <c r="C287" t="s">
        <v>74</v>
      </c>
      <c r="D287" t="s">
        <v>74</v>
      </c>
      <c r="E287" t="s">
        <v>74</v>
      </c>
      <c r="F287" t="s">
        <v>4716</v>
      </c>
      <c r="G287" t="s">
        <v>74</v>
      </c>
      <c r="H287" t="s">
        <v>74</v>
      </c>
      <c r="I287" t="s">
        <v>4717</v>
      </c>
      <c r="J287" t="s">
        <v>77</v>
      </c>
      <c r="K287" t="s">
        <v>74</v>
      </c>
      <c r="L287" t="s">
        <v>74</v>
      </c>
      <c r="M287" t="s">
        <v>78</v>
      </c>
      <c r="N287" t="s">
        <v>79</v>
      </c>
      <c r="O287" t="s">
        <v>74</v>
      </c>
      <c r="P287" t="s">
        <v>74</v>
      </c>
      <c r="Q287" t="s">
        <v>74</v>
      </c>
      <c r="R287" t="s">
        <v>74</v>
      </c>
      <c r="S287" t="s">
        <v>74</v>
      </c>
      <c r="T287" t="s">
        <v>4718</v>
      </c>
      <c r="U287" t="s">
        <v>4719</v>
      </c>
      <c r="V287" t="s">
        <v>4720</v>
      </c>
      <c r="W287" t="s">
        <v>4721</v>
      </c>
      <c r="X287" t="s">
        <v>2019</v>
      </c>
      <c r="Y287" t="s">
        <v>4722</v>
      </c>
      <c r="Z287" t="s">
        <v>4723</v>
      </c>
      <c r="AA287" t="s">
        <v>4724</v>
      </c>
      <c r="AB287" t="s">
        <v>74</v>
      </c>
      <c r="AC287" t="s">
        <v>2023</v>
      </c>
      <c r="AD287" t="s">
        <v>607</v>
      </c>
      <c r="AE287" t="s">
        <v>4725</v>
      </c>
      <c r="AF287" t="s">
        <v>74</v>
      </c>
      <c r="AG287">
        <v>41</v>
      </c>
      <c r="AH287">
        <v>34</v>
      </c>
      <c r="AI287">
        <v>36</v>
      </c>
      <c r="AJ287">
        <v>1</v>
      </c>
      <c r="AK287">
        <v>18</v>
      </c>
      <c r="AL287" t="s">
        <v>157</v>
      </c>
      <c r="AM287" t="s">
        <v>93</v>
      </c>
      <c r="AN287" t="s">
        <v>94</v>
      </c>
      <c r="AO287" t="s">
        <v>95</v>
      </c>
      <c r="AP287" t="s">
        <v>96</v>
      </c>
      <c r="AQ287" t="s">
        <v>74</v>
      </c>
      <c r="AR287" t="s">
        <v>97</v>
      </c>
      <c r="AS287" t="s">
        <v>98</v>
      </c>
      <c r="AT287" t="s">
        <v>370</v>
      </c>
      <c r="AU287">
        <v>2019</v>
      </c>
      <c r="AV287">
        <v>64</v>
      </c>
      <c r="AW287">
        <v>10</v>
      </c>
      <c r="AX287" t="s">
        <v>74</v>
      </c>
      <c r="AY287" t="s">
        <v>74</v>
      </c>
      <c r="AZ287" t="s">
        <v>74</v>
      </c>
      <c r="BA287" t="s">
        <v>74</v>
      </c>
      <c r="BB287">
        <v>1</v>
      </c>
      <c r="BC287">
        <v>8</v>
      </c>
      <c r="BD287" t="s">
        <v>74</v>
      </c>
      <c r="BE287" t="s">
        <v>4726</v>
      </c>
      <c r="BF287" t="str">
        <f>HYPERLINK("http://dx.doi.org/10.1088/1361-6560/ab1ba0","http://dx.doi.org/10.1088/1361-6560/ab1ba0")</f>
        <v>http://dx.doi.org/10.1088/1361-6560/ab1ba0</v>
      </c>
      <c r="BG287" t="s">
        <v>74</v>
      </c>
      <c r="BH287" t="s">
        <v>74</v>
      </c>
      <c r="BI287">
        <v>8</v>
      </c>
      <c r="BJ287" t="s">
        <v>101</v>
      </c>
      <c r="BK287" t="s">
        <v>102</v>
      </c>
      <c r="BL287" t="s">
        <v>103</v>
      </c>
      <c r="BM287" t="s">
        <v>4727</v>
      </c>
      <c r="BN287">
        <v>31013481</v>
      </c>
      <c r="BO287" t="s">
        <v>795</v>
      </c>
      <c r="BP287" t="s">
        <v>74</v>
      </c>
      <c r="BQ287" t="s">
        <v>74</v>
      </c>
      <c r="BR287" t="s">
        <v>106</v>
      </c>
      <c r="BS287" t="s">
        <v>4728</v>
      </c>
      <c r="BT287" t="str">
        <f>HYPERLINK("https%3A%2F%2Fwww.webofscience.com%2Fwos%2Fwoscc%2Ffull-record%2FWOS:000467465300001","View Full Record in Web of Science")</f>
        <v>View Full Record in Web of Science</v>
      </c>
    </row>
    <row r="288" spans="1:72" x14ac:dyDescent="0.25">
      <c r="A288" t="s">
        <v>72</v>
      </c>
      <c r="B288" t="s">
        <v>4729</v>
      </c>
      <c r="C288" t="s">
        <v>74</v>
      </c>
      <c r="D288" t="s">
        <v>74</v>
      </c>
      <c r="E288" t="s">
        <v>74</v>
      </c>
      <c r="F288" t="s">
        <v>4730</v>
      </c>
      <c r="G288" t="s">
        <v>74</v>
      </c>
      <c r="H288" t="s">
        <v>74</v>
      </c>
      <c r="I288" t="s">
        <v>4731</v>
      </c>
      <c r="J288" t="s">
        <v>77</v>
      </c>
      <c r="K288" t="s">
        <v>74</v>
      </c>
      <c r="L288" t="s">
        <v>74</v>
      </c>
      <c r="M288" t="s">
        <v>78</v>
      </c>
      <c r="N288" t="s">
        <v>79</v>
      </c>
      <c r="O288" t="s">
        <v>74</v>
      </c>
      <c r="P288" t="s">
        <v>74</v>
      </c>
      <c r="Q288" t="s">
        <v>74</v>
      </c>
      <c r="R288" t="s">
        <v>74</v>
      </c>
      <c r="S288" t="s">
        <v>74</v>
      </c>
      <c r="T288" t="s">
        <v>4732</v>
      </c>
      <c r="U288" t="s">
        <v>4733</v>
      </c>
      <c r="V288" t="s">
        <v>4734</v>
      </c>
      <c r="W288" t="s">
        <v>4735</v>
      </c>
      <c r="X288" t="s">
        <v>4736</v>
      </c>
      <c r="Y288" t="s">
        <v>4737</v>
      </c>
      <c r="Z288" t="s">
        <v>3356</v>
      </c>
      <c r="AA288" t="s">
        <v>4738</v>
      </c>
      <c r="AB288" t="s">
        <v>4739</v>
      </c>
      <c r="AC288" t="s">
        <v>4740</v>
      </c>
      <c r="AD288" t="s">
        <v>4741</v>
      </c>
      <c r="AE288" t="s">
        <v>4742</v>
      </c>
      <c r="AF288" t="s">
        <v>74</v>
      </c>
      <c r="AG288">
        <v>33</v>
      </c>
      <c r="AH288">
        <v>22</v>
      </c>
      <c r="AI288">
        <v>23</v>
      </c>
      <c r="AJ288">
        <v>0</v>
      </c>
      <c r="AK288">
        <v>23</v>
      </c>
      <c r="AL288" t="s">
        <v>92</v>
      </c>
      <c r="AM288" t="s">
        <v>93</v>
      </c>
      <c r="AN288" t="s">
        <v>94</v>
      </c>
      <c r="AO288" t="s">
        <v>95</v>
      </c>
      <c r="AP288" t="s">
        <v>96</v>
      </c>
      <c r="AQ288" t="s">
        <v>74</v>
      </c>
      <c r="AR288" t="s">
        <v>97</v>
      </c>
      <c r="AS288" t="s">
        <v>98</v>
      </c>
      <c r="AT288" t="s">
        <v>386</v>
      </c>
      <c r="AU288">
        <v>2019</v>
      </c>
      <c r="AV288">
        <v>64</v>
      </c>
      <c r="AW288">
        <v>7</v>
      </c>
      <c r="AX288" t="s">
        <v>74</v>
      </c>
      <c r="AY288" t="s">
        <v>74</v>
      </c>
      <c r="AZ288" t="s">
        <v>74</v>
      </c>
      <c r="BA288" t="s">
        <v>74</v>
      </c>
      <c r="BB288" t="s">
        <v>74</v>
      </c>
      <c r="BC288" t="s">
        <v>74</v>
      </c>
      <c r="BD288">
        <v>75008</v>
      </c>
      <c r="BE288" t="s">
        <v>4743</v>
      </c>
      <c r="BF288" t="str">
        <f>HYPERLINK("http://dx.doi.org/10.1088/1361-6560/ab0670","http://dx.doi.org/10.1088/1361-6560/ab0670")</f>
        <v>http://dx.doi.org/10.1088/1361-6560/ab0670</v>
      </c>
      <c r="BG288" t="s">
        <v>74</v>
      </c>
      <c r="BH288" t="s">
        <v>74</v>
      </c>
      <c r="BI288">
        <v>11</v>
      </c>
      <c r="BJ288" t="s">
        <v>101</v>
      </c>
      <c r="BK288" t="s">
        <v>102</v>
      </c>
      <c r="BL288" t="s">
        <v>103</v>
      </c>
      <c r="BM288" t="s">
        <v>388</v>
      </c>
      <c r="BN288">
        <v>30754030</v>
      </c>
      <c r="BO288" t="s">
        <v>74</v>
      </c>
      <c r="BP288" t="s">
        <v>74</v>
      </c>
      <c r="BQ288" t="s">
        <v>74</v>
      </c>
      <c r="BR288" t="s">
        <v>106</v>
      </c>
      <c r="BS288" t="s">
        <v>4744</v>
      </c>
      <c r="BT288" t="str">
        <f>HYPERLINK("https%3A%2F%2Fwww.webofscience.com%2Fwos%2Fwoscc%2Ffull-record%2FWOS:000462743600004","View Full Record in Web of Science")</f>
        <v>View Full Record in Web of Science</v>
      </c>
    </row>
    <row r="289" spans="1:72" x14ac:dyDescent="0.25">
      <c r="A289" t="s">
        <v>72</v>
      </c>
      <c r="B289" t="s">
        <v>4745</v>
      </c>
      <c r="C289" t="s">
        <v>74</v>
      </c>
      <c r="D289" t="s">
        <v>74</v>
      </c>
      <c r="E289" t="s">
        <v>74</v>
      </c>
      <c r="F289" t="s">
        <v>4746</v>
      </c>
      <c r="G289" t="s">
        <v>74</v>
      </c>
      <c r="H289" t="s">
        <v>74</v>
      </c>
      <c r="I289" t="s">
        <v>4747</v>
      </c>
      <c r="J289" t="s">
        <v>77</v>
      </c>
      <c r="K289" t="s">
        <v>74</v>
      </c>
      <c r="L289" t="s">
        <v>74</v>
      </c>
      <c r="M289" t="s">
        <v>78</v>
      </c>
      <c r="N289" t="s">
        <v>79</v>
      </c>
      <c r="O289" t="s">
        <v>74</v>
      </c>
      <c r="P289" t="s">
        <v>74</v>
      </c>
      <c r="Q289" t="s">
        <v>74</v>
      </c>
      <c r="R289" t="s">
        <v>74</v>
      </c>
      <c r="S289" t="s">
        <v>74</v>
      </c>
      <c r="T289" t="s">
        <v>4748</v>
      </c>
      <c r="U289" t="s">
        <v>4749</v>
      </c>
      <c r="V289" t="s">
        <v>4750</v>
      </c>
      <c r="W289" t="s">
        <v>4751</v>
      </c>
      <c r="X289" t="s">
        <v>1708</v>
      </c>
      <c r="Y289" t="s">
        <v>4752</v>
      </c>
      <c r="Z289" t="s">
        <v>4753</v>
      </c>
      <c r="AA289" t="s">
        <v>4754</v>
      </c>
      <c r="AB289" t="s">
        <v>4755</v>
      </c>
      <c r="AC289" t="s">
        <v>4756</v>
      </c>
      <c r="AD289" t="s">
        <v>4757</v>
      </c>
      <c r="AE289" t="s">
        <v>4758</v>
      </c>
      <c r="AF289" t="s">
        <v>74</v>
      </c>
      <c r="AG289">
        <v>40</v>
      </c>
      <c r="AH289">
        <v>7</v>
      </c>
      <c r="AI289">
        <v>7</v>
      </c>
      <c r="AJ289">
        <v>0</v>
      </c>
      <c r="AK289">
        <v>7</v>
      </c>
      <c r="AL289" t="s">
        <v>92</v>
      </c>
      <c r="AM289" t="s">
        <v>93</v>
      </c>
      <c r="AN289" t="s">
        <v>94</v>
      </c>
      <c r="AO289" t="s">
        <v>95</v>
      </c>
      <c r="AP289" t="s">
        <v>96</v>
      </c>
      <c r="AQ289" t="s">
        <v>74</v>
      </c>
      <c r="AR289" t="s">
        <v>97</v>
      </c>
      <c r="AS289" t="s">
        <v>98</v>
      </c>
      <c r="AT289" t="s">
        <v>436</v>
      </c>
      <c r="AU289">
        <v>2019</v>
      </c>
      <c r="AV289">
        <v>64</v>
      </c>
      <c r="AW289">
        <v>6</v>
      </c>
      <c r="AX289" t="s">
        <v>74</v>
      </c>
      <c r="AY289" t="s">
        <v>74</v>
      </c>
      <c r="AZ289" t="s">
        <v>74</v>
      </c>
      <c r="BA289" t="s">
        <v>74</v>
      </c>
      <c r="BB289" t="s">
        <v>74</v>
      </c>
      <c r="BC289" t="s">
        <v>74</v>
      </c>
      <c r="BD289" t="s">
        <v>4759</v>
      </c>
      <c r="BE289" t="s">
        <v>4760</v>
      </c>
      <c r="BF289" t="str">
        <f>HYPERLINK("http://dx.doi.org/10.1088/1361-6560/ab0295","http://dx.doi.org/10.1088/1361-6560/ab0295")</f>
        <v>http://dx.doi.org/10.1088/1361-6560/ab0295</v>
      </c>
      <c r="BG289" t="s">
        <v>74</v>
      </c>
      <c r="BH289" t="s">
        <v>74</v>
      </c>
      <c r="BI289">
        <v>10</v>
      </c>
      <c r="BJ289" t="s">
        <v>101</v>
      </c>
      <c r="BK289" t="s">
        <v>102</v>
      </c>
      <c r="BL289" t="s">
        <v>103</v>
      </c>
      <c r="BM289" t="s">
        <v>454</v>
      </c>
      <c r="BN289">
        <v>30695759</v>
      </c>
      <c r="BO289" t="s">
        <v>74</v>
      </c>
      <c r="BP289" t="s">
        <v>74</v>
      </c>
      <c r="BQ289" t="s">
        <v>74</v>
      </c>
      <c r="BR289" t="s">
        <v>106</v>
      </c>
      <c r="BS289" t="s">
        <v>4761</v>
      </c>
      <c r="BT289" t="str">
        <f>HYPERLINK("https%3A%2F%2Fwww.webofscience.com%2Fwos%2Fwoscc%2Ffull-record%2FWOS:000460823400002","View Full Record in Web of Science")</f>
        <v>View Full Record in Web of Science</v>
      </c>
    </row>
    <row r="290" spans="1:72" x14ac:dyDescent="0.25">
      <c r="A290" t="s">
        <v>72</v>
      </c>
      <c r="B290" t="s">
        <v>4762</v>
      </c>
      <c r="C290" t="s">
        <v>74</v>
      </c>
      <c r="D290" t="s">
        <v>74</v>
      </c>
      <c r="E290" t="s">
        <v>74</v>
      </c>
      <c r="F290" t="s">
        <v>4763</v>
      </c>
      <c r="G290" t="s">
        <v>74</v>
      </c>
      <c r="H290" t="s">
        <v>74</v>
      </c>
      <c r="I290" t="s">
        <v>4764</v>
      </c>
      <c r="J290" t="s">
        <v>77</v>
      </c>
      <c r="K290" t="s">
        <v>74</v>
      </c>
      <c r="L290" t="s">
        <v>74</v>
      </c>
      <c r="M290" t="s">
        <v>78</v>
      </c>
      <c r="N290" t="s">
        <v>79</v>
      </c>
      <c r="O290" t="s">
        <v>74</v>
      </c>
      <c r="P290" t="s">
        <v>74</v>
      </c>
      <c r="Q290" t="s">
        <v>74</v>
      </c>
      <c r="R290" t="s">
        <v>74</v>
      </c>
      <c r="S290" t="s">
        <v>74</v>
      </c>
      <c r="T290" t="s">
        <v>4765</v>
      </c>
      <c r="U290" t="s">
        <v>4766</v>
      </c>
      <c r="V290" t="s">
        <v>4767</v>
      </c>
      <c r="W290" t="s">
        <v>4768</v>
      </c>
      <c r="X290" t="s">
        <v>4769</v>
      </c>
      <c r="Y290" t="s">
        <v>4770</v>
      </c>
      <c r="Z290" t="s">
        <v>4771</v>
      </c>
      <c r="AA290" t="s">
        <v>4772</v>
      </c>
      <c r="AB290" t="s">
        <v>4773</v>
      </c>
      <c r="AC290" t="s">
        <v>4774</v>
      </c>
      <c r="AD290" t="s">
        <v>4775</v>
      </c>
      <c r="AE290" t="s">
        <v>4776</v>
      </c>
      <c r="AF290" t="s">
        <v>74</v>
      </c>
      <c r="AG290">
        <v>25</v>
      </c>
      <c r="AH290">
        <v>8</v>
      </c>
      <c r="AI290">
        <v>8</v>
      </c>
      <c r="AJ290">
        <v>0</v>
      </c>
      <c r="AK290">
        <v>10</v>
      </c>
      <c r="AL290" t="s">
        <v>92</v>
      </c>
      <c r="AM290" t="s">
        <v>93</v>
      </c>
      <c r="AN290" t="s">
        <v>94</v>
      </c>
      <c r="AO290" t="s">
        <v>95</v>
      </c>
      <c r="AP290" t="s">
        <v>96</v>
      </c>
      <c r="AQ290" t="s">
        <v>74</v>
      </c>
      <c r="AR290" t="s">
        <v>97</v>
      </c>
      <c r="AS290" t="s">
        <v>98</v>
      </c>
      <c r="AT290" t="s">
        <v>646</v>
      </c>
      <c r="AU290">
        <v>2019</v>
      </c>
      <c r="AV290">
        <v>64</v>
      </c>
      <c r="AW290">
        <v>4</v>
      </c>
      <c r="AX290" t="s">
        <v>74</v>
      </c>
      <c r="AY290" t="s">
        <v>74</v>
      </c>
      <c r="AZ290" t="s">
        <v>74</v>
      </c>
      <c r="BA290" t="s">
        <v>74</v>
      </c>
      <c r="BB290" t="s">
        <v>74</v>
      </c>
      <c r="BC290" t="s">
        <v>74</v>
      </c>
      <c r="BD290">
        <v>45015</v>
      </c>
      <c r="BE290" t="s">
        <v>4777</v>
      </c>
      <c r="BF290" t="str">
        <f>HYPERLINK("http://dx.doi.org/10.1088/1361-6560/aafeff","http://dx.doi.org/10.1088/1361-6560/aafeff")</f>
        <v>http://dx.doi.org/10.1088/1361-6560/aafeff</v>
      </c>
      <c r="BG290" t="s">
        <v>74</v>
      </c>
      <c r="BH290" t="s">
        <v>74</v>
      </c>
      <c r="BI290">
        <v>9</v>
      </c>
      <c r="BJ290" t="s">
        <v>101</v>
      </c>
      <c r="BK290" t="s">
        <v>102</v>
      </c>
      <c r="BL290" t="s">
        <v>103</v>
      </c>
      <c r="BM290" t="s">
        <v>906</v>
      </c>
      <c r="BN290">
        <v>30650398</v>
      </c>
      <c r="BO290" t="s">
        <v>74</v>
      </c>
      <c r="BP290" t="s">
        <v>74</v>
      </c>
      <c r="BQ290" t="s">
        <v>74</v>
      </c>
      <c r="BR290" t="s">
        <v>106</v>
      </c>
      <c r="BS290" t="s">
        <v>4778</v>
      </c>
      <c r="BT290" t="str">
        <f>HYPERLINK("https%3A%2F%2Fwww.webofscience.com%2Fwos%2Fwoscc%2Ffull-record%2FWOS:000459135900003","View Full Record in Web of Science")</f>
        <v>View Full Record in Web of Science</v>
      </c>
    </row>
    <row r="291" spans="1:72" x14ac:dyDescent="0.25">
      <c r="A291" t="s">
        <v>72</v>
      </c>
      <c r="B291" t="s">
        <v>4779</v>
      </c>
      <c r="C291" t="s">
        <v>74</v>
      </c>
      <c r="D291" t="s">
        <v>74</v>
      </c>
      <c r="E291" t="s">
        <v>74</v>
      </c>
      <c r="F291" t="s">
        <v>4780</v>
      </c>
      <c r="G291" t="s">
        <v>74</v>
      </c>
      <c r="H291" t="s">
        <v>74</v>
      </c>
      <c r="I291" t="s">
        <v>4781</v>
      </c>
      <c r="J291" t="s">
        <v>77</v>
      </c>
      <c r="K291" t="s">
        <v>74</v>
      </c>
      <c r="L291" t="s">
        <v>74</v>
      </c>
      <c r="M291" t="s">
        <v>78</v>
      </c>
      <c r="N291" t="s">
        <v>79</v>
      </c>
      <c r="O291" t="s">
        <v>74</v>
      </c>
      <c r="P291" t="s">
        <v>74</v>
      </c>
      <c r="Q291" t="s">
        <v>74</v>
      </c>
      <c r="R291" t="s">
        <v>74</v>
      </c>
      <c r="S291" t="s">
        <v>74</v>
      </c>
      <c r="T291" t="s">
        <v>4782</v>
      </c>
      <c r="U291" t="s">
        <v>4783</v>
      </c>
      <c r="V291" t="s">
        <v>4784</v>
      </c>
      <c r="W291" t="s">
        <v>4785</v>
      </c>
      <c r="X291" t="s">
        <v>4786</v>
      </c>
      <c r="Y291" t="s">
        <v>4787</v>
      </c>
      <c r="Z291" t="s">
        <v>4788</v>
      </c>
      <c r="AA291" t="s">
        <v>74</v>
      </c>
      <c r="AB291" t="s">
        <v>4789</v>
      </c>
      <c r="AC291" t="s">
        <v>4790</v>
      </c>
      <c r="AD291" t="s">
        <v>4790</v>
      </c>
      <c r="AE291" t="s">
        <v>4791</v>
      </c>
      <c r="AF291" t="s">
        <v>74</v>
      </c>
      <c r="AG291">
        <v>40</v>
      </c>
      <c r="AH291">
        <v>11</v>
      </c>
      <c r="AI291">
        <v>12</v>
      </c>
      <c r="AJ291">
        <v>0</v>
      </c>
      <c r="AK291">
        <v>3</v>
      </c>
      <c r="AL291" t="s">
        <v>92</v>
      </c>
      <c r="AM291" t="s">
        <v>93</v>
      </c>
      <c r="AN291" t="s">
        <v>94</v>
      </c>
      <c r="AO291" t="s">
        <v>95</v>
      </c>
      <c r="AP291" t="s">
        <v>96</v>
      </c>
      <c r="AQ291" t="s">
        <v>74</v>
      </c>
      <c r="AR291" t="s">
        <v>97</v>
      </c>
      <c r="AS291" t="s">
        <v>98</v>
      </c>
      <c r="AT291" t="s">
        <v>646</v>
      </c>
      <c r="AU291">
        <v>2019</v>
      </c>
      <c r="AV291">
        <v>64</v>
      </c>
      <c r="AW291">
        <v>3</v>
      </c>
      <c r="AX291" t="s">
        <v>74</v>
      </c>
      <c r="AY291" t="s">
        <v>74</v>
      </c>
      <c r="AZ291" t="s">
        <v>74</v>
      </c>
      <c r="BA291" t="s">
        <v>74</v>
      </c>
      <c r="BB291" t="s">
        <v>74</v>
      </c>
      <c r="BC291" t="s">
        <v>74</v>
      </c>
      <c r="BD291">
        <v>35008</v>
      </c>
      <c r="BE291" t="s">
        <v>4792</v>
      </c>
      <c r="BF291" t="str">
        <f>HYPERLINK("http://dx.doi.org/10.1088/1361-6560/aafa3f","http://dx.doi.org/10.1088/1361-6560/aafa3f")</f>
        <v>http://dx.doi.org/10.1088/1361-6560/aafa3f</v>
      </c>
      <c r="BG291" t="s">
        <v>74</v>
      </c>
      <c r="BH291" t="s">
        <v>74</v>
      </c>
      <c r="BI291">
        <v>13</v>
      </c>
      <c r="BJ291" t="s">
        <v>101</v>
      </c>
      <c r="BK291" t="s">
        <v>102</v>
      </c>
      <c r="BL291" t="s">
        <v>103</v>
      </c>
      <c r="BM291" t="s">
        <v>648</v>
      </c>
      <c r="BN291">
        <v>30572312</v>
      </c>
      <c r="BO291" t="s">
        <v>74</v>
      </c>
      <c r="BP291" t="s">
        <v>74</v>
      </c>
      <c r="BQ291" t="s">
        <v>74</v>
      </c>
      <c r="BR291" t="s">
        <v>106</v>
      </c>
      <c r="BS291" t="s">
        <v>4793</v>
      </c>
      <c r="BT291" t="str">
        <f>HYPERLINK("https%3A%2F%2Fwww.webofscience.com%2Fwos%2Fwoscc%2Ffull-record%2FWOS:000456840500007","View Full Record in Web of Science")</f>
        <v>View Full Record in Web of Science</v>
      </c>
    </row>
    <row r="292" spans="1:72" x14ac:dyDescent="0.25">
      <c r="A292" t="s">
        <v>72</v>
      </c>
      <c r="B292" t="s">
        <v>4794</v>
      </c>
      <c r="C292" t="s">
        <v>74</v>
      </c>
      <c r="D292" t="s">
        <v>74</v>
      </c>
      <c r="E292" t="s">
        <v>74</v>
      </c>
      <c r="F292" t="s">
        <v>4795</v>
      </c>
      <c r="G292" t="s">
        <v>74</v>
      </c>
      <c r="H292" t="s">
        <v>74</v>
      </c>
      <c r="I292" t="s">
        <v>4796</v>
      </c>
      <c r="J292" t="s">
        <v>77</v>
      </c>
      <c r="K292" t="s">
        <v>74</v>
      </c>
      <c r="L292" t="s">
        <v>74</v>
      </c>
      <c r="M292" t="s">
        <v>78</v>
      </c>
      <c r="N292" t="s">
        <v>79</v>
      </c>
      <c r="O292" t="s">
        <v>74</v>
      </c>
      <c r="P292" t="s">
        <v>74</v>
      </c>
      <c r="Q292" t="s">
        <v>74</v>
      </c>
      <c r="R292" t="s">
        <v>74</v>
      </c>
      <c r="S292" t="s">
        <v>74</v>
      </c>
      <c r="T292" t="s">
        <v>4797</v>
      </c>
      <c r="U292" t="s">
        <v>4798</v>
      </c>
      <c r="V292" t="s">
        <v>4799</v>
      </c>
      <c r="W292" t="s">
        <v>4800</v>
      </c>
      <c r="X292" t="s">
        <v>4801</v>
      </c>
      <c r="Y292" t="s">
        <v>4802</v>
      </c>
      <c r="Z292" t="s">
        <v>4803</v>
      </c>
      <c r="AA292" t="s">
        <v>4804</v>
      </c>
      <c r="AB292" t="s">
        <v>4805</v>
      </c>
      <c r="AC292" t="s">
        <v>4806</v>
      </c>
      <c r="AD292" t="s">
        <v>4807</v>
      </c>
      <c r="AE292" t="s">
        <v>4808</v>
      </c>
      <c r="AF292" t="s">
        <v>74</v>
      </c>
      <c r="AG292">
        <v>40</v>
      </c>
      <c r="AH292">
        <v>8</v>
      </c>
      <c r="AI292">
        <v>8</v>
      </c>
      <c r="AJ292">
        <v>1</v>
      </c>
      <c r="AK292">
        <v>6</v>
      </c>
      <c r="AL292" t="s">
        <v>92</v>
      </c>
      <c r="AM292" t="s">
        <v>93</v>
      </c>
      <c r="AN292" t="s">
        <v>94</v>
      </c>
      <c r="AO292" t="s">
        <v>95</v>
      </c>
      <c r="AP292" t="s">
        <v>96</v>
      </c>
      <c r="AQ292" t="s">
        <v>74</v>
      </c>
      <c r="AR292" t="s">
        <v>97</v>
      </c>
      <c r="AS292" t="s">
        <v>98</v>
      </c>
      <c r="AT292" t="s">
        <v>471</v>
      </c>
      <c r="AU292">
        <v>2019</v>
      </c>
      <c r="AV292">
        <v>64</v>
      </c>
      <c r="AW292">
        <v>1</v>
      </c>
      <c r="AX292" t="s">
        <v>74</v>
      </c>
      <c r="AY292" t="s">
        <v>74</v>
      </c>
      <c r="AZ292" t="s">
        <v>74</v>
      </c>
      <c r="BA292" t="s">
        <v>74</v>
      </c>
      <c r="BB292" t="s">
        <v>74</v>
      </c>
      <c r="BC292" t="s">
        <v>74</v>
      </c>
      <c r="BD292">
        <v>15003</v>
      </c>
      <c r="BE292" t="s">
        <v>4809</v>
      </c>
      <c r="BF292" t="str">
        <f>HYPERLINK("http://dx.doi.org/10.1088/1361-6560/aaf453","http://dx.doi.org/10.1088/1361-6560/aaf453")</f>
        <v>http://dx.doi.org/10.1088/1361-6560/aaf453</v>
      </c>
      <c r="BG292" t="s">
        <v>74</v>
      </c>
      <c r="BH292" t="s">
        <v>74</v>
      </c>
      <c r="BI292">
        <v>11</v>
      </c>
      <c r="BJ292" t="s">
        <v>101</v>
      </c>
      <c r="BK292" t="s">
        <v>102</v>
      </c>
      <c r="BL292" t="s">
        <v>103</v>
      </c>
      <c r="BM292" t="s">
        <v>666</v>
      </c>
      <c r="BN292">
        <v>30524034</v>
      </c>
      <c r="BO292" t="s">
        <v>105</v>
      </c>
      <c r="BP292" t="s">
        <v>74</v>
      </c>
      <c r="BQ292" t="s">
        <v>74</v>
      </c>
      <c r="BR292" t="s">
        <v>106</v>
      </c>
      <c r="BS292" t="s">
        <v>4810</v>
      </c>
      <c r="BT292" t="str">
        <f>HYPERLINK("https%3A%2F%2Fwww.webofscience.com%2Fwos%2Fwoscc%2Ffull-record%2FWOS:000454078500001","View Full Record in Web of Science")</f>
        <v>View Full Record in Web of Science</v>
      </c>
    </row>
    <row r="293" spans="1:72" x14ac:dyDescent="0.25">
      <c r="A293" t="s">
        <v>72</v>
      </c>
      <c r="B293" t="s">
        <v>4811</v>
      </c>
      <c r="C293" t="s">
        <v>74</v>
      </c>
      <c r="D293" t="s">
        <v>74</v>
      </c>
      <c r="E293" t="s">
        <v>74</v>
      </c>
      <c r="F293" t="s">
        <v>4812</v>
      </c>
      <c r="G293" t="s">
        <v>74</v>
      </c>
      <c r="H293" t="s">
        <v>74</v>
      </c>
      <c r="I293" t="s">
        <v>4813</v>
      </c>
      <c r="J293" t="s">
        <v>77</v>
      </c>
      <c r="K293" t="s">
        <v>74</v>
      </c>
      <c r="L293" t="s">
        <v>74</v>
      </c>
      <c r="M293" t="s">
        <v>78</v>
      </c>
      <c r="N293" t="s">
        <v>79</v>
      </c>
      <c r="O293" t="s">
        <v>74</v>
      </c>
      <c r="P293" t="s">
        <v>74</v>
      </c>
      <c r="Q293" t="s">
        <v>74</v>
      </c>
      <c r="R293" t="s">
        <v>74</v>
      </c>
      <c r="S293" t="s">
        <v>74</v>
      </c>
      <c r="T293" t="s">
        <v>4814</v>
      </c>
      <c r="U293" t="s">
        <v>4815</v>
      </c>
      <c r="V293" t="s">
        <v>4816</v>
      </c>
      <c r="W293" t="s">
        <v>4817</v>
      </c>
      <c r="X293" t="s">
        <v>4818</v>
      </c>
      <c r="Y293" t="s">
        <v>4819</v>
      </c>
      <c r="Z293" t="s">
        <v>4820</v>
      </c>
      <c r="AA293" t="s">
        <v>4821</v>
      </c>
      <c r="AB293" t="s">
        <v>4822</v>
      </c>
      <c r="AC293" t="s">
        <v>4823</v>
      </c>
      <c r="AD293" t="s">
        <v>4824</v>
      </c>
      <c r="AE293" t="s">
        <v>4825</v>
      </c>
      <c r="AF293" t="s">
        <v>74</v>
      </c>
      <c r="AG293">
        <v>32</v>
      </c>
      <c r="AH293">
        <v>5</v>
      </c>
      <c r="AI293">
        <v>5</v>
      </c>
      <c r="AJ293">
        <v>0</v>
      </c>
      <c r="AK293">
        <v>3</v>
      </c>
      <c r="AL293" t="s">
        <v>92</v>
      </c>
      <c r="AM293" t="s">
        <v>93</v>
      </c>
      <c r="AN293" t="s">
        <v>94</v>
      </c>
      <c r="AO293" t="s">
        <v>95</v>
      </c>
      <c r="AP293" t="s">
        <v>96</v>
      </c>
      <c r="AQ293" t="s">
        <v>74</v>
      </c>
      <c r="AR293" t="s">
        <v>97</v>
      </c>
      <c r="AS293" t="s">
        <v>98</v>
      </c>
      <c r="AT293" t="s">
        <v>471</v>
      </c>
      <c r="AU293">
        <v>2019</v>
      </c>
      <c r="AV293">
        <v>64</v>
      </c>
      <c r="AW293">
        <v>2</v>
      </c>
      <c r="AX293" t="s">
        <v>74</v>
      </c>
      <c r="AY293" t="s">
        <v>74</v>
      </c>
      <c r="AZ293" t="s">
        <v>74</v>
      </c>
      <c r="BA293" t="s">
        <v>74</v>
      </c>
      <c r="BB293" t="s">
        <v>74</v>
      </c>
      <c r="BC293" t="s">
        <v>74</v>
      </c>
      <c r="BD293">
        <v>25002</v>
      </c>
      <c r="BE293" t="s">
        <v>4826</v>
      </c>
      <c r="BF293" t="str">
        <f>HYPERLINK("http://dx.doi.org/10.1088/1361-6560/aaf598","http://dx.doi.org/10.1088/1361-6560/aaf598")</f>
        <v>http://dx.doi.org/10.1088/1361-6560/aaf598</v>
      </c>
      <c r="BG293" t="s">
        <v>74</v>
      </c>
      <c r="BH293" t="s">
        <v>74</v>
      </c>
      <c r="BI293">
        <v>16</v>
      </c>
      <c r="BJ293" t="s">
        <v>101</v>
      </c>
      <c r="BK293" t="s">
        <v>102</v>
      </c>
      <c r="BL293" t="s">
        <v>103</v>
      </c>
      <c r="BM293" t="s">
        <v>473</v>
      </c>
      <c r="BN293">
        <v>30523830</v>
      </c>
      <c r="BO293" t="s">
        <v>420</v>
      </c>
      <c r="BP293" t="s">
        <v>74</v>
      </c>
      <c r="BQ293" t="s">
        <v>74</v>
      </c>
      <c r="BR293" t="s">
        <v>106</v>
      </c>
      <c r="BS293" t="s">
        <v>4827</v>
      </c>
      <c r="BT293" t="str">
        <f>HYPERLINK("https%3A%2F%2Fwww.webofscience.com%2Fwos%2Fwoscc%2Ffull-record%2FWOS:000455360700002","View Full Record in Web of Science")</f>
        <v>View Full Record in Web of Science</v>
      </c>
    </row>
    <row r="294" spans="1:72" x14ac:dyDescent="0.25">
      <c r="A294" t="s">
        <v>72</v>
      </c>
      <c r="B294" t="s">
        <v>4828</v>
      </c>
      <c r="C294" t="s">
        <v>74</v>
      </c>
      <c r="D294" t="s">
        <v>74</v>
      </c>
      <c r="E294" t="s">
        <v>74</v>
      </c>
      <c r="F294" t="s">
        <v>4829</v>
      </c>
      <c r="G294" t="s">
        <v>74</v>
      </c>
      <c r="H294" t="s">
        <v>74</v>
      </c>
      <c r="I294" t="s">
        <v>4830</v>
      </c>
      <c r="J294" t="s">
        <v>77</v>
      </c>
      <c r="K294" t="s">
        <v>74</v>
      </c>
      <c r="L294" t="s">
        <v>74</v>
      </c>
      <c r="M294" t="s">
        <v>78</v>
      </c>
      <c r="N294" t="s">
        <v>79</v>
      </c>
      <c r="O294" t="s">
        <v>74</v>
      </c>
      <c r="P294" t="s">
        <v>74</v>
      </c>
      <c r="Q294" t="s">
        <v>74</v>
      </c>
      <c r="R294" t="s">
        <v>74</v>
      </c>
      <c r="S294" t="s">
        <v>74</v>
      </c>
      <c r="T294" t="s">
        <v>4831</v>
      </c>
      <c r="U294" t="s">
        <v>4832</v>
      </c>
      <c r="V294" t="s">
        <v>4833</v>
      </c>
      <c r="W294" t="s">
        <v>4834</v>
      </c>
      <c r="X294" t="s">
        <v>4835</v>
      </c>
      <c r="Y294" t="s">
        <v>4836</v>
      </c>
      <c r="Z294" t="s">
        <v>4837</v>
      </c>
      <c r="AA294" t="s">
        <v>4838</v>
      </c>
      <c r="AB294" t="s">
        <v>4839</v>
      </c>
      <c r="AC294" t="s">
        <v>4840</v>
      </c>
      <c r="AD294" t="s">
        <v>4840</v>
      </c>
      <c r="AE294" t="s">
        <v>4841</v>
      </c>
      <c r="AF294" t="s">
        <v>74</v>
      </c>
      <c r="AG294">
        <v>36</v>
      </c>
      <c r="AH294">
        <v>3</v>
      </c>
      <c r="AI294">
        <v>3</v>
      </c>
      <c r="AJ294">
        <v>0</v>
      </c>
      <c r="AK294">
        <v>4</v>
      </c>
      <c r="AL294" t="s">
        <v>92</v>
      </c>
      <c r="AM294" t="s">
        <v>93</v>
      </c>
      <c r="AN294" t="s">
        <v>94</v>
      </c>
      <c r="AO294" t="s">
        <v>95</v>
      </c>
      <c r="AP294" t="s">
        <v>96</v>
      </c>
      <c r="AQ294" t="s">
        <v>74</v>
      </c>
      <c r="AR294" t="s">
        <v>97</v>
      </c>
      <c r="AS294" t="s">
        <v>98</v>
      </c>
      <c r="AT294" t="s">
        <v>471</v>
      </c>
      <c r="AU294">
        <v>2019</v>
      </c>
      <c r="AV294">
        <v>64</v>
      </c>
      <c r="AW294">
        <v>2</v>
      </c>
      <c r="AX294" t="s">
        <v>74</v>
      </c>
      <c r="AY294" t="s">
        <v>74</v>
      </c>
      <c r="AZ294" t="s">
        <v>74</v>
      </c>
      <c r="BA294" t="s">
        <v>74</v>
      </c>
      <c r="BB294" t="s">
        <v>74</v>
      </c>
      <c r="BC294" t="s">
        <v>74</v>
      </c>
      <c r="BD294">
        <v>25020</v>
      </c>
      <c r="BE294" t="s">
        <v>4842</v>
      </c>
      <c r="BF294" t="str">
        <f>HYPERLINK("http://dx.doi.org/10.1088/1361-6560/aaf977","http://dx.doi.org/10.1088/1361-6560/aaf977")</f>
        <v>http://dx.doi.org/10.1088/1361-6560/aaf977</v>
      </c>
      <c r="BG294" t="s">
        <v>74</v>
      </c>
      <c r="BH294" t="s">
        <v>74</v>
      </c>
      <c r="BI294">
        <v>11</v>
      </c>
      <c r="BJ294" t="s">
        <v>101</v>
      </c>
      <c r="BK294" t="s">
        <v>102</v>
      </c>
      <c r="BL294" t="s">
        <v>103</v>
      </c>
      <c r="BM294" t="s">
        <v>4843</v>
      </c>
      <c r="BN294">
        <v>30561374</v>
      </c>
      <c r="BO294" t="s">
        <v>74</v>
      </c>
      <c r="BP294" t="s">
        <v>74</v>
      </c>
      <c r="BQ294" t="s">
        <v>74</v>
      </c>
      <c r="BR294" t="s">
        <v>106</v>
      </c>
      <c r="BS294" t="s">
        <v>4844</v>
      </c>
      <c r="BT294" t="str">
        <f>HYPERLINK("https%3A%2F%2Fwww.webofscience.com%2Fwos%2Fwoscc%2Ffull-record%2FWOS:000456268100003","View Full Record in Web of Science")</f>
        <v>View Full Record in Web of Science</v>
      </c>
    </row>
    <row r="295" spans="1:72" x14ac:dyDescent="0.25">
      <c r="A295" t="s">
        <v>72</v>
      </c>
      <c r="B295" t="s">
        <v>4845</v>
      </c>
      <c r="C295" t="s">
        <v>74</v>
      </c>
      <c r="D295" t="s">
        <v>74</v>
      </c>
      <c r="E295" t="s">
        <v>74</v>
      </c>
      <c r="F295" t="s">
        <v>4846</v>
      </c>
      <c r="G295" t="s">
        <v>74</v>
      </c>
      <c r="H295" t="s">
        <v>74</v>
      </c>
      <c r="I295" t="s">
        <v>4847</v>
      </c>
      <c r="J295" t="s">
        <v>77</v>
      </c>
      <c r="K295" t="s">
        <v>74</v>
      </c>
      <c r="L295" t="s">
        <v>74</v>
      </c>
      <c r="M295" t="s">
        <v>78</v>
      </c>
      <c r="N295" t="s">
        <v>79</v>
      </c>
      <c r="O295" t="s">
        <v>74</v>
      </c>
      <c r="P295" t="s">
        <v>74</v>
      </c>
      <c r="Q295" t="s">
        <v>74</v>
      </c>
      <c r="R295" t="s">
        <v>74</v>
      </c>
      <c r="S295" t="s">
        <v>74</v>
      </c>
      <c r="T295" t="s">
        <v>4848</v>
      </c>
      <c r="U295" t="s">
        <v>4849</v>
      </c>
      <c r="V295" t="s">
        <v>4850</v>
      </c>
      <c r="W295" t="s">
        <v>4851</v>
      </c>
      <c r="X295" t="s">
        <v>4852</v>
      </c>
      <c r="Y295" t="s">
        <v>4853</v>
      </c>
      <c r="Z295" t="s">
        <v>4854</v>
      </c>
      <c r="AA295" t="s">
        <v>4855</v>
      </c>
      <c r="AB295" t="s">
        <v>74</v>
      </c>
      <c r="AC295" t="s">
        <v>4856</v>
      </c>
      <c r="AD295" t="s">
        <v>4857</v>
      </c>
      <c r="AE295" t="s">
        <v>4858</v>
      </c>
      <c r="AF295" t="s">
        <v>74</v>
      </c>
      <c r="AG295">
        <v>18</v>
      </c>
      <c r="AH295">
        <v>15</v>
      </c>
      <c r="AI295">
        <v>16</v>
      </c>
      <c r="AJ295">
        <v>0</v>
      </c>
      <c r="AK295">
        <v>5</v>
      </c>
      <c r="AL295" t="s">
        <v>92</v>
      </c>
      <c r="AM295" t="s">
        <v>93</v>
      </c>
      <c r="AN295" t="s">
        <v>94</v>
      </c>
      <c r="AO295" t="s">
        <v>95</v>
      </c>
      <c r="AP295" t="s">
        <v>96</v>
      </c>
      <c r="AQ295" t="s">
        <v>74</v>
      </c>
      <c r="AR295" t="s">
        <v>97</v>
      </c>
      <c r="AS295" t="s">
        <v>98</v>
      </c>
      <c r="AT295" t="s">
        <v>137</v>
      </c>
      <c r="AU295">
        <v>2019</v>
      </c>
      <c r="AV295">
        <v>64</v>
      </c>
      <c r="AW295">
        <v>22</v>
      </c>
      <c r="AX295" t="s">
        <v>74</v>
      </c>
      <c r="AY295" t="s">
        <v>74</v>
      </c>
      <c r="AZ295" t="s">
        <v>74</v>
      </c>
      <c r="BA295" t="s">
        <v>74</v>
      </c>
      <c r="BB295" t="s">
        <v>74</v>
      </c>
      <c r="BC295" t="s">
        <v>74</v>
      </c>
      <c r="BD295">
        <v>225006</v>
      </c>
      <c r="BE295" t="s">
        <v>4859</v>
      </c>
      <c r="BF295" t="str">
        <f>HYPERLINK("http://dx.doi.org/10.1088/1361-6560/ab4af4","http://dx.doi.org/10.1088/1361-6560/ab4af4")</f>
        <v>http://dx.doi.org/10.1088/1361-6560/ab4af4</v>
      </c>
      <c r="BG295" t="s">
        <v>74</v>
      </c>
      <c r="BH295" t="s">
        <v>74</v>
      </c>
      <c r="BI295">
        <v>12</v>
      </c>
      <c r="BJ295" t="s">
        <v>101</v>
      </c>
      <c r="BK295" t="s">
        <v>102</v>
      </c>
      <c r="BL295" t="s">
        <v>103</v>
      </c>
      <c r="BM295" t="s">
        <v>4860</v>
      </c>
      <c r="BN295">
        <v>31585444</v>
      </c>
      <c r="BO295" t="s">
        <v>105</v>
      </c>
      <c r="BP295" t="s">
        <v>74</v>
      </c>
      <c r="BQ295" t="s">
        <v>74</v>
      </c>
      <c r="BR295" t="s">
        <v>106</v>
      </c>
      <c r="BS295" t="s">
        <v>4861</v>
      </c>
      <c r="BT295" t="str">
        <f>HYPERLINK("https%3A%2F%2Fwww.webofscience.com%2Fwos%2Fwoscc%2Ffull-record%2FWOS:000499353600001","View Full Record in Web of Science")</f>
        <v>View Full Record in Web of Science</v>
      </c>
    </row>
    <row r="296" spans="1:72" x14ac:dyDescent="0.25">
      <c r="A296" t="s">
        <v>72</v>
      </c>
      <c r="B296" t="s">
        <v>4862</v>
      </c>
      <c r="C296" t="s">
        <v>74</v>
      </c>
      <c r="D296" t="s">
        <v>74</v>
      </c>
      <c r="E296" t="s">
        <v>74</v>
      </c>
      <c r="F296" t="s">
        <v>4863</v>
      </c>
      <c r="G296" t="s">
        <v>74</v>
      </c>
      <c r="H296" t="s">
        <v>74</v>
      </c>
      <c r="I296" t="s">
        <v>4864</v>
      </c>
      <c r="J296" t="s">
        <v>77</v>
      </c>
      <c r="K296" t="s">
        <v>74</v>
      </c>
      <c r="L296" t="s">
        <v>74</v>
      </c>
      <c r="M296" t="s">
        <v>78</v>
      </c>
      <c r="N296" t="s">
        <v>79</v>
      </c>
      <c r="O296" t="s">
        <v>74</v>
      </c>
      <c r="P296" t="s">
        <v>74</v>
      </c>
      <c r="Q296" t="s">
        <v>74</v>
      </c>
      <c r="R296" t="s">
        <v>74</v>
      </c>
      <c r="S296" t="s">
        <v>74</v>
      </c>
      <c r="T296" t="s">
        <v>4865</v>
      </c>
      <c r="U296" t="s">
        <v>4866</v>
      </c>
      <c r="V296" t="s">
        <v>4867</v>
      </c>
      <c r="W296" t="s">
        <v>4868</v>
      </c>
      <c r="X296" t="s">
        <v>4869</v>
      </c>
      <c r="Y296" t="s">
        <v>4870</v>
      </c>
      <c r="Z296" t="s">
        <v>4871</v>
      </c>
      <c r="AA296" t="s">
        <v>74</v>
      </c>
      <c r="AB296" t="s">
        <v>4872</v>
      </c>
      <c r="AC296" t="s">
        <v>74</v>
      </c>
      <c r="AD296" t="s">
        <v>74</v>
      </c>
      <c r="AE296" t="s">
        <v>74</v>
      </c>
      <c r="AF296" t="s">
        <v>74</v>
      </c>
      <c r="AG296">
        <v>45</v>
      </c>
      <c r="AH296">
        <v>23</v>
      </c>
      <c r="AI296">
        <v>25</v>
      </c>
      <c r="AJ296">
        <v>0</v>
      </c>
      <c r="AK296">
        <v>5</v>
      </c>
      <c r="AL296" t="s">
        <v>92</v>
      </c>
      <c r="AM296" t="s">
        <v>93</v>
      </c>
      <c r="AN296" t="s">
        <v>94</v>
      </c>
      <c r="AO296" t="s">
        <v>95</v>
      </c>
      <c r="AP296" t="s">
        <v>96</v>
      </c>
      <c r="AQ296" t="s">
        <v>74</v>
      </c>
      <c r="AR296" t="s">
        <v>97</v>
      </c>
      <c r="AS296" t="s">
        <v>98</v>
      </c>
      <c r="AT296" t="s">
        <v>509</v>
      </c>
      <c r="AU296">
        <v>2019</v>
      </c>
      <c r="AV296">
        <v>64</v>
      </c>
      <c r="AW296">
        <v>20</v>
      </c>
      <c r="AX296" t="s">
        <v>74</v>
      </c>
      <c r="AY296" t="s">
        <v>74</v>
      </c>
      <c r="AZ296" t="s">
        <v>74</v>
      </c>
      <c r="BA296" t="s">
        <v>74</v>
      </c>
      <c r="BB296" t="s">
        <v>74</v>
      </c>
      <c r="BC296" t="s">
        <v>74</v>
      </c>
      <c r="BD296">
        <v>205019</v>
      </c>
      <c r="BE296" t="s">
        <v>4873</v>
      </c>
      <c r="BF296" t="str">
        <f>HYPERLINK("http://dx.doi.org/10.1088/1361-6560/ab421d","http://dx.doi.org/10.1088/1361-6560/ab421d")</f>
        <v>http://dx.doi.org/10.1088/1361-6560/ab421d</v>
      </c>
      <c r="BG296" t="s">
        <v>74</v>
      </c>
      <c r="BH296" t="s">
        <v>74</v>
      </c>
      <c r="BI296">
        <v>19</v>
      </c>
      <c r="BJ296" t="s">
        <v>101</v>
      </c>
      <c r="BK296" t="s">
        <v>102</v>
      </c>
      <c r="BL296" t="s">
        <v>103</v>
      </c>
      <c r="BM296" t="s">
        <v>741</v>
      </c>
      <c r="BN296">
        <v>31491771</v>
      </c>
      <c r="BO296" t="s">
        <v>74</v>
      </c>
      <c r="BP296" t="s">
        <v>74</v>
      </c>
      <c r="BQ296" t="s">
        <v>74</v>
      </c>
      <c r="BR296" t="s">
        <v>106</v>
      </c>
      <c r="BS296" t="s">
        <v>4874</v>
      </c>
      <c r="BT296" t="str">
        <f>HYPERLINK("https%3A%2F%2Fwww.webofscience.com%2Fwos%2Fwoscc%2Ffull-record%2FWOS:000500247900019","View Full Record in Web of Science")</f>
        <v>View Full Record in Web of Science</v>
      </c>
    </row>
    <row r="297" spans="1:72" x14ac:dyDescent="0.25">
      <c r="A297" t="s">
        <v>72</v>
      </c>
      <c r="B297" t="s">
        <v>4875</v>
      </c>
      <c r="C297" t="s">
        <v>74</v>
      </c>
      <c r="D297" t="s">
        <v>74</v>
      </c>
      <c r="E297" t="s">
        <v>74</v>
      </c>
      <c r="F297" t="s">
        <v>4876</v>
      </c>
      <c r="G297" t="s">
        <v>74</v>
      </c>
      <c r="H297" t="s">
        <v>74</v>
      </c>
      <c r="I297" t="s">
        <v>4877</v>
      </c>
      <c r="J297" t="s">
        <v>77</v>
      </c>
      <c r="K297" t="s">
        <v>74</v>
      </c>
      <c r="L297" t="s">
        <v>74</v>
      </c>
      <c r="M297" t="s">
        <v>78</v>
      </c>
      <c r="N297" t="s">
        <v>79</v>
      </c>
      <c r="O297" t="s">
        <v>74</v>
      </c>
      <c r="P297" t="s">
        <v>74</v>
      </c>
      <c r="Q297" t="s">
        <v>74</v>
      </c>
      <c r="R297" t="s">
        <v>74</v>
      </c>
      <c r="S297" t="s">
        <v>74</v>
      </c>
      <c r="T297" t="s">
        <v>4878</v>
      </c>
      <c r="U297" t="s">
        <v>4879</v>
      </c>
      <c r="V297" t="s">
        <v>4880</v>
      </c>
      <c r="W297" t="s">
        <v>4881</v>
      </c>
      <c r="X297" t="s">
        <v>4882</v>
      </c>
      <c r="Y297" t="s">
        <v>4883</v>
      </c>
      <c r="Z297" t="s">
        <v>4884</v>
      </c>
      <c r="AA297" t="s">
        <v>4885</v>
      </c>
      <c r="AB297" t="s">
        <v>4886</v>
      </c>
      <c r="AC297" t="s">
        <v>4887</v>
      </c>
      <c r="AD297" t="s">
        <v>4888</v>
      </c>
      <c r="AE297" t="s">
        <v>4889</v>
      </c>
      <c r="AF297" t="s">
        <v>74</v>
      </c>
      <c r="AG297">
        <v>36</v>
      </c>
      <c r="AH297">
        <v>12</v>
      </c>
      <c r="AI297">
        <v>12</v>
      </c>
      <c r="AJ297">
        <v>1</v>
      </c>
      <c r="AK297">
        <v>5</v>
      </c>
      <c r="AL297" t="s">
        <v>92</v>
      </c>
      <c r="AM297" t="s">
        <v>93</v>
      </c>
      <c r="AN297" t="s">
        <v>94</v>
      </c>
      <c r="AO297" t="s">
        <v>95</v>
      </c>
      <c r="AP297" t="s">
        <v>96</v>
      </c>
      <c r="AQ297" t="s">
        <v>74</v>
      </c>
      <c r="AR297" t="s">
        <v>97</v>
      </c>
      <c r="AS297" t="s">
        <v>98</v>
      </c>
      <c r="AT297" t="s">
        <v>509</v>
      </c>
      <c r="AU297">
        <v>2019</v>
      </c>
      <c r="AV297">
        <v>64</v>
      </c>
      <c r="AW297">
        <v>20</v>
      </c>
      <c r="AX297" t="s">
        <v>74</v>
      </c>
      <c r="AY297" t="s">
        <v>74</v>
      </c>
      <c r="AZ297" t="s">
        <v>74</v>
      </c>
      <c r="BA297" t="s">
        <v>74</v>
      </c>
      <c r="BB297" t="s">
        <v>74</v>
      </c>
      <c r="BC297" t="s">
        <v>74</v>
      </c>
      <c r="BD297">
        <v>205010</v>
      </c>
      <c r="BE297" t="s">
        <v>4890</v>
      </c>
      <c r="BF297" t="str">
        <f>HYPERLINK("http://dx.doi.org/10.1088/1361-6560/ab469d","http://dx.doi.org/10.1088/1361-6560/ab469d")</f>
        <v>http://dx.doi.org/10.1088/1361-6560/ab469d</v>
      </c>
      <c r="BG297" t="s">
        <v>74</v>
      </c>
      <c r="BH297" t="s">
        <v>74</v>
      </c>
      <c r="BI297">
        <v>16</v>
      </c>
      <c r="BJ297" t="s">
        <v>101</v>
      </c>
      <c r="BK297" t="s">
        <v>102</v>
      </c>
      <c r="BL297" t="s">
        <v>103</v>
      </c>
      <c r="BM297" t="s">
        <v>741</v>
      </c>
      <c r="BN297">
        <v>31539891</v>
      </c>
      <c r="BO297" t="s">
        <v>4891</v>
      </c>
      <c r="BP297" t="s">
        <v>74</v>
      </c>
      <c r="BQ297" t="s">
        <v>74</v>
      </c>
      <c r="BR297" t="s">
        <v>106</v>
      </c>
      <c r="BS297" t="s">
        <v>4892</v>
      </c>
      <c r="BT297" t="str">
        <f>HYPERLINK("https%3A%2F%2Fwww.webofscience.com%2Fwos%2Fwoscc%2Ffull-record%2FWOS:000500247900010","View Full Record in Web of Science")</f>
        <v>View Full Record in Web of Science</v>
      </c>
    </row>
    <row r="298" spans="1:72" x14ac:dyDescent="0.25">
      <c r="A298" t="s">
        <v>72</v>
      </c>
      <c r="B298" t="s">
        <v>4893</v>
      </c>
      <c r="C298" t="s">
        <v>74</v>
      </c>
      <c r="D298" t="s">
        <v>74</v>
      </c>
      <c r="E298" t="s">
        <v>74</v>
      </c>
      <c r="F298" t="s">
        <v>4894</v>
      </c>
      <c r="G298" t="s">
        <v>74</v>
      </c>
      <c r="H298" t="s">
        <v>74</v>
      </c>
      <c r="I298" t="s">
        <v>4895</v>
      </c>
      <c r="J298" t="s">
        <v>77</v>
      </c>
      <c r="K298" t="s">
        <v>74</v>
      </c>
      <c r="L298" t="s">
        <v>74</v>
      </c>
      <c r="M298" t="s">
        <v>78</v>
      </c>
      <c r="N298" t="s">
        <v>79</v>
      </c>
      <c r="O298" t="s">
        <v>74</v>
      </c>
      <c r="P298" t="s">
        <v>74</v>
      </c>
      <c r="Q298" t="s">
        <v>74</v>
      </c>
      <c r="R298" t="s">
        <v>74</v>
      </c>
      <c r="S298" t="s">
        <v>74</v>
      </c>
      <c r="T298" t="s">
        <v>4896</v>
      </c>
      <c r="U298" t="s">
        <v>74</v>
      </c>
      <c r="V298" t="s">
        <v>4897</v>
      </c>
      <c r="W298" t="s">
        <v>4898</v>
      </c>
      <c r="X298" t="s">
        <v>1514</v>
      </c>
      <c r="Y298" t="s">
        <v>1515</v>
      </c>
      <c r="Z298" t="s">
        <v>1516</v>
      </c>
      <c r="AA298" t="s">
        <v>74</v>
      </c>
      <c r="AB298" t="s">
        <v>74</v>
      </c>
      <c r="AC298" t="s">
        <v>74</v>
      </c>
      <c r="AD298" t="s">
        <v>74</v>
      </c>
      <c r="AE298" t="s">
        <v>74</v>
      </c>
      <c r="AF298" t="s">
        <v>74</v>
      </c>
      <c r="AG298">
        <v>16</v>
      </c>
      <c r="AH298">
        <v>39</v>
      </c>
      <c r="AI298">
        <v>39</v>
      </c>
      <c r="AJ298">
        <v>0</v>
      </c>
      <c r="AK298">
        <v>4</v>
      </c>
      <c r="AL298" t="s">
        <v>92</v>
      </c>
      <c r="AM298" t="s">
        <v>93</v>
      </c>
      <c r="AN298" t="s">
        <v>94</v>
      </c>
      <c r="AO298" t="s">
        <v>95</v>
      </c>
      <c r="AP298" t="s">
        <v>96</v>
      </c>
      <c r="AQ298" t="s">
        <v>74</v>
      </c>
      <c r="AR298" t="s">
        <v>97</v>
      </c>
      <c r="AS298" t="s">
        <v>98</v>
      </c>
      <c r="AT298" t="s">
        <v>509</v>
      </c>
      <c r="AU298">
        <v>2019</v>
      </c>
      <c r="AV298">
        <v>64</v>
      </c>
      <c r="AW298">
        <v>20</v>
      </c>
      <c r="AX298" t="s">
        <v>74</v>
      </c>
      <c r="AY298" t="s">
        <v>74</v>
      </c>
      <c r="AZ298" t="s">
        <v>74</v>
      </c>
      <c r="BA298" t="s">
        <v>74</v>
      </c>
      <c r="BB298" t="s">
        <v>74</v>
      </c>
      <c r="BC298" t="s">
        <v>74</v>
      </c>
      <c r="BD298">
        <v>205001</v>
      </c>
      <c r="BE298" t="s">
        <v>4899</v>
      </c>
      <c r="BF298" t="str">
        <f>HYPERLINK("http://dx.doi.org/10.1088/1361-6560/ab4529","http://dx.doi.org/10.1088/1361-6560/ab4529")</f>
        <v>http://dx.doi.org/10.1088/1361-6560/ab4529</v>
      </c>
      <c r="BG298" t="s">
        <v>74</v>
      </c>
      <c r="BH298" t="s">
        <v>74</v>
      </c>
      <c r="BI298">
        <v>7</v>
      </c>
      <c r="BJ298" t="s">
        <v>101</v>
      </c>
      <c r="BK298" t="s">
        <v>102</v>
      </c>
      <c r="BL298" t="s">
        <v>103</v>
      </c>
      <c r="BM298" t="s">
        <v>741</v>
      </c>
      <c r="BN298">
        <v>31530746</v>
      </c>
      <c r="BO298" t="s">
        <v>74</v>
      </c>
      <c r="BP298" t="s">
        <v>74</v>
      </c>
      <c r="BQ298" t="s">
        <v>74</v>
      </c>
      <c r="BR298" t="s">
        <v>106</v>
      </c>
      <c r="BS298" t="s">
        <v>4900</v>
      </c>
      <c r="BT298" t="str">
        <f>HYPERLINK("https%3A%2F%2Fwww.webofscience.com%2Fwos%2Fwoscc%2Ffull-record%2FWOS:000500247900001","View Full Record in Web of Science")</f>
        <v>View Full Record in Web of Science</v>
      </c>
    </row>
    <row r="299" spans="1:72" x14ac:dyDescent="0.25">
      <c r="A299" t="s">
        <v>72</v>
      </c>
      <c r="B299" t="s">
        <v>4901</v>
      </c>
      <c r="C299" t="s">
        <v>74</v>
      </c>
      <c r="D299" t="s">
        <v>74</v>
      </c>
      <c r="E299" t="s">
        <v>74</v>
      </c>
      <c r="F299" t="s">
        <v>4902</v>
      </c>
      <c r="G299" t="s">
        <v>74</v>
      </c>
      <c r="H299" t="s">
        <v>74</v>
      </c>
      <c r="I299" t="s">
        <v>4903</v>
      </c>
      <c r="J299" t="s">
        <v>77</v>
      </c>
      <c r="K299" t="s">
        <v>74</v>
      </c>
      <c r="L299" t="s">
        <v>74</v>
      </c>
      <c r="M299" t="s">
        <v>78</v>
      </c>
      <c r="N299" t="s">
        <v>79</v>
      </c>
      <c r="O299" t="s">
        <v>74</v>
      </c>
      <c r="P299" t="s">
        <v>74</v>
      </c>
      <c r="Q299" t="s">
        <v>74</v>
      </c>
      <c r="R299" t="s">
        <v>74</v>
      </c>
      <c r="S299" t="s">
        <v>74</v>
      </c>
      <c r="T299" t="s">
        <v>4904</v>
      </c>
      <c r="U299" t="s">
        <v>4905</v>
      </c>
      <c r="V299" t="s">
        <v>4906</v>
      </c>
      <c r="W299" t="s">
        <v>4907</v>
      </c>
      <c r="X299" t="s">
        <v>4908</v>
      </c>
      <c r="Y299" t="s">
        <v>4909</v>
      </c>
      <c r="Z299" t="s">
        <v>4910</v>
      </c>
      <c r="AA299" t="s">
        <v>4911</v>
      </c>
      <c r="AB299" t="s">
        <v>4912</v>
      </c>
      <c r="AC299" t="s">
        <v>4913</v>
      </c>
      <c r="AD299" t="s">
        <v>416</v>
      </c>
      <c r="AE299" t="s">
        <v>4914</v>
      </c>
      <c r="AF299" t="s">
        <v>74</v>
      </c>
      <c r="AG299">
        <v>57</v>
      </c>
      <c r="AH299">
        <v>8</v>
      </c>
      <c r="AI299">
        <v>9</v>
      </c>
      <c r="AJ299">
        <v>0</v>
      </c>
      <c r="AK299">
        <v>3</v>
      </c>
      <c r="AL299" t="s">
        <v>92</v>
      </c>
      <c r="AM299" t="s">
        <v>93</v>
      </c>
      <c r="AN299" t="s">
        <v>94</v>
      </c>
      <c r="AO299" t="s">
        <v>95</v>
      </c>
      <c r="AP299" t="s">
        <v>96</v>
      </c>
      <c r="AQ299" t="s">
        <v>74</v>
      </c>
      <c r="AR299" t="s">
        <v>97</v>
      </c>
      <c r="AS299" t="s">
        <v>98</v>
      </c>
      <c r="AT299" t="s">
        <v>176</v>
      </c>
      <c r="AU299">
        <v>2019</v>
      </c>
      <c r="AV299">
        <v>64</v>
      </c>
      <c r="AW299">
        <v>18</v>
      </c>
      <c r="AX299" t="s">
        <v>74</v>
      </c>
      <c r="AY299" t="s">
        <v>74</v>
      </c>
      <c r="AZ299" t="s">
        <v>74</v>
      </c>
      <c r="BA299" t="s">
        <v>74</v>
      </c>
      <c r="BB299" t="s">
        <v>74</v>
      </c>
      <c r="BC299" t="s">
        <v>74</v>
      </c>
      <c r="BD299">
        <v>185007</v>
      </c>
      <c r="BE299" t="s">
        <v>4915</v>
      </c>
      <c r="BF299" t="str">
        <f>HYPERLINK("http://dx.doi.org/10.1088/1361-6560/ab3fb5","http://dx.doi.org/10.1088/1361-6560/ab3fb5")</f>
        <v>http://dx.doi.org/10.1088/1361-6560/ab3fb5</v>
      </c>
      <c r="BG299" t="s">
        <v>74</v>
      </c>
      <c r="BH299" t="s">
        <v>74</v>
      </c>
      <c r="BI299">
        <v>17</v>
      </c>
      <c r="BJ299" t="s">
        <v>101</v>
      </c>
      <c r="BK299" t="s">
        <v>102</v>
      </c>
      <c r="BL299" t="s">
        <v>103</v>
      </c>
      <c r="BM299" t="s">
        <v>1058</v>
      </c>
      <c r="BN299">
        <v>31470417</v>
      </c>
      <c r="BO299" t="s">
        <v>1059</v>
      </c>
      <c r="BP299" t="s">
        <v>74</v>
      </c>
      <c r="BQ299" t="s">
        <v>74</v>
      </c>
      <c r="BR299" t="s">
        <v>106</v>
      </c>
      <c r="BS299" t="s">
        <v>4916</v>
      </c>
      <c r="BT299" t="str">
        <f>HYPERLINK("https%3A%2F%2Fwww.webofscience.com%2Fwos%2Fwoscc%2Ffull-record%2FWOS:000486374400001","View Full Record in Web of Science")</f>
        <v>View Full Record in Web of Science</v>
      </c>
    </row>
    <row r="300" spans="1:72" x14ac:dyDescent="0.25">
      <c r="A300" t="s">
        <v>72</v>
      </c>
      <c r="B300" t="s">
        <v>4917</v>
      </c>
      <c r="C300" t="s">
        <v>74</v>
      </c>
      <c r="D300" t="s">
        <v>74</v>
      </c>
      <c r="E300" t="s">
        <v>74</v>
      </c>
      <c r="F300" t="s">
        <v>4918</v>
      </c>
      <c r="G300" t="s">
        <v>74</v>
      </c>
      <c r="H300" t="s">
        <v>74</v>
      </c>
      <c r="I300" t="s">
        <v>4919</v>
      </c>
      <c r="J300" t="s">
        <v>77</v>
      </c>
      <c r="K300" t="s">
        <v>74</v>
      </c>
      <c r="L300" t="s">
        <v>74</v>
      </c>
      <c r="M300" t="s">
        <v>78</v>
      </c>
      <c r="N300" t="s">
        <v>79</v>
      </c>
      <c r="O300" t="s">
        <v>74</v>
      </c>
      <c r="P300" t="s">
        <v>74</v>
      </c>
      <c r="Q300" t="s">
        <v>74</v>
      </c>
      <c r="R300" t="s">
        <v>74</v>
      </c>
      <c r="S300" t="s">
        <v>74</v>
      </c>
      <c r="T300" t="s">
        <v>4920</v>
      </c>
      <c r="U300" t="s">
        <v>4921</v>
      </c>
      <c r="V300" t="s">
        <v>4922</v>
      </c>
      <c r="W300" t="s">
        <v>4923</v>
      </c>
      <c r="X300" t="s">
        <v>4924</v>
      </c>
      <c r="Y300" t="s">
        <v>4925</v>
      </c>
      <c r="Z300" t="s">
        <v>4926</v>
      </c>
      <c r="AA300" t="s">
        <v>4927</v>
      </c>
      <c r="AB300" t="s">
        <v>4928</v>
      </c>
      <c r="AC300" t="s">
        <v>4929</v>
      </c>
      <c r="AD300" t="s">
        <v>4930</v>
      </c>
      <c r="AE300" t="s">
        <v>4931</v>
      </c>
      <c r="AF300" t="s">
        <v>74</v>
      </c>
      <c r="AG300">
        <v>41</v>
      </c>
      <c r="AH300">
        <v>8</v>
      </c>
      <c r="AI300">
        <v>8</v>
      </c>
      <c r="AJ300">
        <v>0</v>
      </c>
      <c r="AK300">
        <v>5</v>
      </c>
      <c r="AL300" t="s">
        <v>157</v>
      </c>
      <c r="AM300" t="s">
        <v>93</v>
      </c>
      <c r="AN300" t="s">
        <v>94</v>
      </c>
      <c r="AO300" t="s">
        <v>95</v>
      </c>
      <c r="AP300" t="s">
        <v>96</v>
      </c>
      <c r="AQ300" t="s">
        <v>74</v>
      </c>
      <c r="AR300" t="s">
        <v>97</v>
      </c>
      <c r="AS300" t="s">
        <v>98</v>
      </c>
      <c r="AT300" t="s">
        <v>176</v>
      </c>
      <c r="AU300">
        <v>2019</v>
      </c>
      <c r="AV300">
        <v>64</v>
      </c>
      <c r="AW300">
        <v>18</v>
      </c>
      <c r="AX300" t="s">
        <v>74</v>
      </c>
      <c r="AY300" t="s">
        <v>74</v>
      </c>
      <c r="AZ300" t="s">
        <v>74</v>
      </c>
      <c r="BA300" t="s">
        <v>74</v>
      </c>
      <c r="BB300" t="s">
        <v>74</v>
      </c>
      <c r="BC300" t="s">
        <v>74</v>
      </c>
      <c r="BD300" t="s">
        <v>4932</v>
      </c>
      <c r="BE300" t="s">
        <v>4933</v>
      </c>
      <c r="BF300" t="str">
        <f>HYPERLINK("http://dx.doi.org/10.1088/1361-6560/ab3a5a","http://dx.doi.org/10.1088/1361-6560/ab3a5a")</f>
        <v>http://dx.doi.org/10.1088/1361-6560/ab3a5a</v>
      </c>
      <c r="BG300" t="s">
        <v>74</v>
      </c>
      <c r="BH300" t="s">
        <v>74</v>
      </c>
      <c r="BI300">
        <v>11</v>
      </c>
      <c r="BJ300" t="s">
        <v>101</v>
      </c>
      <c r="BK300" t="s">
        <v>102</v>
      </c>
      <c r="BL300" t="s">
        <v>103</v>
      </c>
      <c r="BM300" t="s">
        <v>1390</v>
      </c>
      <c r="BN300">
        <v>31404913</v>
      </c>
      <c r="BO300" t="s">
        <v>4934</v>
      </c>
      <c r="BP300" t="s">
        <v>74</v>
      </c>
      <c r="BQ300" t="s">
        <v>74</v>
      </c>
      <c r="BR300" t="s">
        <v>106</v>
      </c>
      <c r="BS300" t="s">
        <v>4935</v>
      </c>
      <c r="BT300" t="str">
        <f>HYPERLINK("https%3A%2F%2Fwww.webofscience.com%2Fwos%2Fwoscc%2Ffull-record%2FWOS:000486373800002","View Full Record in Web of Science")</f>
        <v>View Full Record in Web of Science</v>
      </c>
    </row>
    <row r="301" spans="1:72" x14ac:dyDescent="0.25">
      <c r="A301" t="s">
        <v>72</v>
      </c>
      <c r="B301" t="s">
        <v>4936</v>
      </c>
      <c r="C301" t="s">
        <v>74</v>
      </c>
      <c r="D301" t="s">
        <v>74</v>
      </c>
      <c r="E301" t="s">
        <v>74</v>
      </c>
      <c r="F301" t="s">
        <v>4937</v>
      </c>
      <c r="G301" t="s">
        <v>74</v>
      </c>
      <c r="H301" t="s">
        <v>74</v>
      </c>
      <c r="I301" t="s">
        <v>4938</v>
      </c>
      <c r="J301" t="s">
        <v>77</v>
      </c>
      <c r="K301" t="s">
        <v>74</v>
      </c>
      <c r="L301" t="s">
        <v>74</v>
      </c>
      <c r="M301" t="s">
        <v>78</v>
      </c>
      <c r="N301" t="s">
        <v>79</v>
      </c>
      <c r="O301" t="s">
        <v>74</v>
      </c>
      <c r="P301" t="s">
        <v>74</v>
      </c>
      <c r="Q301" t="s">
        <v>74</v>
      </c>
      <c r="R301" t="s">
        <v>74</v>
      </c>
      <c r="S301" t="s">
        <v>74</v>
      </c>
      <c r="T301" t="s">
        <v>4939</v>
      </c>
      <c r="U301" t="s">
        <v>4940</v>
      </c>
      <c r="V301" t="s">
        <v>4941</v>
      </c>
      <c r="W301" t="s">
        <v>4942</v>
      </c>
      <c r="X301" t="s">
        <v>4943</v>
      </c>
      <c r="Y301" t="s">
        <v>4944</v>
      </c>
      <c r="Z301" t="s">
        <v>4945</v>
      </c>
      <c r="AA301" t="s">
        <v>4946</v>
      </c>
      <c r="AB301" t="s">
        <v>4947</v>
      </c>
      <c r="AC301" t="s">
        <v>74</v>
      </c>
      <c r="AD301" t="s">
        <v>74</v>
      </c>
      <c r="AE301" t="s">
        <v>74</v>
      </c>
      <c r="AF301" t="s">
        <v>74</v>
      </c>
      <c r="AG301">
        <v>30</v>
      </c>
      <c r="AH301">
        <v>17</v>
      </c>
      <c r="AI301">
        <v>17</v>
      </c>
      <c r="AJ301">
        <v>0</v>
      </c>
      <c r="AK301">
        <v>6</v>
      </c>
      <c r="AL301" t="s">
        <v>92</v>
      </c>
      <c r="AM301" t="s">
        <v>93</v>
      </c>
      <c r="AN301" t="s">
        <v>94</v>
      </c>
      <c r="AO301" t="s">
        <v>95</v>
      </c>
      <c r="AP301" t="s">
        <v>96</v>
      </c>
      <c r="AQ301" t="s">
        <v>74</v>
      </c>
      <c r="AR301" t="s">
        <v>97</v>
      </c>
      <c r="AS301" t="s">
        <v>98</v>
      </c>
      <c r="AT301" t="s">
        <v>196</v>
      </c>
      <c r="AU301">
        <v>2019</v>
      </c>
      <c r="AV301">
        <v>64</v>
      </c>
      <c r="AW301">
        <v>15</v>
      </c>
      <c r="AX301" t="s">
        <v>74</v>
      </c>
      <c r="AY301" t="s">
        <v>74</v>
      </c>
      <c r="AZ301" t="s">
        <v>74</v>
      </c>
      <c r="BA301" t="s">
        <v>74</v>
      </c>
      <c r="BB301" t="s">
        <v>74</v>
      </c>
      <c r="BC301" t="s">
        <v>74</v>
      </c>
      <c r="BD301">
        <v>155003</v>
      </c>
      <c r="BE301" t="s">
        <v>4948</v>
      </c>
      <c r="BF301" t="str">
        <f>HYPERLINK("http://dx.doi.org/10.1088/1361-6560/ab2ae7","http://dx.doi.org/10.1088/1361-6560/ab2ae7")</f>
        <v>http://dx.doi.org/10.1088/1361-6560/ab2ae7</v>
      </c>
      <c r="BG301" t="s">
        <v>74</v>
      </c>
      <c r="BH301" t="s">
        <v>74</v>
      </c>
      <c r="BI301">
        <v>11</v>
      </c>
      <c r="BJ301" t="s">
        <v>101</v>
      </c>
      <c r="BK301" t="s">
        <v>102</v>
      </c>
      <c r="BL301" t="s">
        <v>103</v>
      </c>
      <c r="BM301" t="s">
        <v>2395</v>
      </c>
      <c r="BN301">
        <v>31216523</v>
      </c>
      <c r="BO301" t="s">
        <v>140</v>
      </c>
      <c r="BP301" t="s">
        <v>74</v>
      </c>
      <c r="BQ301" t="s">
        <v>74</v>
      </c>
      <c r="BR301" t="s">
        <v>106</v>
      </c>
      <c r="BS301" t="s">
        <v>4949</v>
      </c>
      <c r="BT301" t="str">
        <f>HYPERLINK("https%3A%2F%2Fwww.webofscience.com%2Fwos%2Fwoscc%2Ffull-record%2FWOS:000478621000003","View Full Record in Web of Science")</f>
        <v>View Full Record in Web of Science</v>
      </c>
    </row>
    <row r="302" spans="1:72" x14ac:dyDescent="0.25">
      <c r="A302" t="s">
        <v>72</v>
      </c>
      <c r="B302" t="s">
        <v>4950</v>
      </c>
      <c r="C302" t="s">
        <v>74</v>
      </c>
      <c r="D302" t="s">
        <v>74</v>
      </c>
      <c r="E302" t="s">
        <v>74</v>
      </c>
      <c r="F302" t="s">
        <v>4951</v>
      </c>
      <c r="G302" t="s">
        <v>74</v>
      </c>
      <c r="H302" t="s">
        <v>74</v>
      </c>
      <c r="I302" t="s">
        <v>4952</v>
      </c>
      <c r="J302" t="s">
        <v>77</v>
      </c>
      <c r="K302" t="s">
        <v>74</v>
      </c>
      <c r="L302" t="s">
        <v>74</v>
      </c>
      <c r="M302" t="s">
        <v>78</v>
      </c>
      <c r="N302" t="s">
        <v>79</v>
      </c>
      <c r="O302" t="s">
        <v>74</v>
      </c>
      <c r="P302" t="s">
        <v>74</v>
      </c>
      <c r="Q302" t="s">
        <v>74</v>
      </c>
      <c r="R302" t="s">
        <v>74</v>
      </c>
      <c r="S302" t="s">
        <v>74</v>
      </c>
      <c r="T302" t="s">
        <v>4953</v>
      </c>
      <c r="U302" t="s">
        <v>4954</v>
      </c>
      <c r="V302" t="s">
        <v>4955</v>
      </c>
      <c r="W302" t="s">
        <v>4956</v>
      </c>
      <c r="X302" t="s">
        <v>74</v>
      </c>
      <c r="Y302" t="s">
        <v>4957</v>
      </c>
      <c r="Z302" t="s">
        <v>4958</v>
      </c>
      <c r="AA302" t="s">
        <v>74</v>
      </c>
      <c r="AB302" t="s">
        <v>4959</v>
      </c>
      <c r="AC302" t="s">
        <v>74</v>
      </c>
      <c r="AD302" t="s">
        <v>74</v>
      </c>
      <c r="AE302" t="s">
        <v>74</v>
      </c>
      <c r="AF302" t="s">
        <v>74</v>
      </c>
      <c r="AG302">
        <v>52</v>
      </c>
      <c r="AH302">
        <v>1</v>
      </c>
      <c r="AI302">
        <v>1</v>
      </c>
      <c r="AJ302">
        <v>0</v>
      </c>
      <c r="AK302">
        <v>3</v>
      </c>
      <c r="AL302" t="s">
        <v>92</v>
      </c>
      <c r="AM302" t="s">
        <v>93</v>
      </c>
      <c r="AN302" t="s">
        <v>94</v>
      </c>
      <c r="AO302" t="s">
        <v>95</v>
      </c>
      <c r="AP302" t="s">
        <v>96</v>
      </c>
      <c r="AQ302" t="s">
        <v>74</v>
      </c>
      <c r="AR302" t="s">
        <v>97</v>
      </c>
      <c r="AS302" t="s">
        <v>98</v>
      </c>
      <c r="AT302" t="s">
        <v>196</v>
      </c>
      <c r="AU302">
        <v>2019</v>
      </c>
      <c r="AV302">
        <v>64</v>
      </c>
      <c r="AW302">
        <v>15</v>
      </c>
      <c r="AX302" t="s">
        <v>74</v>
      </c>
      <c r="AY302" t="s">
        <v>74</v>
      </c>
      <c r="AZ302" t="s">
        <v>74</v>
      </c>
      <c r="BA302" t="s">
        <v>74</v>
      </c>
      <c r="BB302" t="s">
        <v>74</v>
      </c>
      <c r="BC302" t="s">
        <v>74</v>
      </c>
      <c r="BD302">
        <v>155015</v>
      </c>
      <c r="BE302" t="s">
        <v>4960</v>
      </c>
      <c r="BF302" t="str">
        <f>HYPERLINK("http://dx.doi.org/10.1088/1361-6560/ab2cbe","http://dx.doi.org/10.1088/1361-6560/ab2cbe")</f>
        <v>http://dx.doi.org/10.1088/1361-6560/ab2cbe</v>
      </c>
      <c r="BG302" t="s">
        <v>74</v>
      </c>
      <c r="BH302" t="s">
        <v>74</v>
      </c>
      <c r="BI302">
        <v>14</v>
      </c>
      <c r="BJ302" t="s">
        <v>101</v>
      </c>
      <c r="BK302" t="s">
        <v>102</v>
      </c>
      <c r="BL302" t="s">
        <v>103</v>
      </c>
      <c r="BM302" t="s">
        <v>198</v>
      </c>
      <c r="BN302">
        <v>31239425</v>
      </c>
      <c r="BO302" t="s">
        <v>270</v>
      </c>
      <c r="BP302" t="s">
        <v>74</v>
      </c>
      <c r="BQ302" t="s">
        <v>74</v>
      </c>
      <c r="BR302" t="s">
        <v>106</v>
      </c>
      <c r="BS302" t="s">
        <v>4961</v>
      </c>
      <c r="BT302" t="str">
        <f>HYPERLINK("https%3A%2F%2Fwww.webofscience.com%2Fwos%2Fwoscc%2Ffull-record%2FWOS:000480292700010","View Full Record in Web of Science")</f>
        <v>View Full Record in Web of Science</v>
      </c>
    </row>
    <row r="303" spans="1:72" x14ac:dyDescent="0.25">
      <c r="A303" t="s">
        <v>72</v>
      </c>
      <c r="B303" t="s">
        <v>4962</v>
      </c>
      <c r="C303" t="s">
        <v>74</v>
      </c>
      <c r="D303" t="s">
        <v>74</v>
      </c>
      <c r="E303" t="s">
        <v>74</v>
      </c>
      <c r="F303" t="s">
        <v>4963</v>
      </c>
      <c r="G303" t="s">
        <v>74</v>
      </c>
      <c r="H303" t="s">
        <v>74</v>
      </c>
      <c r="I303" t="s">
        <v>4964</v>
      </c>
      <c r="J303" t="s">
        <v>77</v>
      </c>
      <c r="K303" t="s">
        <v>74</v>
      </c>
      <c r="L303" t="s">
        <v>74</v>
      </c>
      <c r="M303" t="s">
        <v>78</v>
      </c>
      <c r="N303" t="s">
        <v>79</v>
      </c>
      <c r="O303" t="s">
        <v>74</v>
      </c>
      <c r="P303" t="s">
        <v>74</v>
      </c>
      <c r="Q303" t="s">
        <v>74</v>
      </c>
      <c r="R303" t="s">
        <v>74</v>
      </c>
      <c r="S303" t="s">
        <v>74</v>
      </c>
      <c r="T303" t="s">
        <v>4965</v>
      </c>
      <c r="U303" t="s">
        <v>4966</v>
      </c>
      <c r="V303" t="s">
        <v>4967</v>
      </c>
      <c r="W303" t="s">
        <v>4968</v>
      </c>
      <c r="X303" t="s">
        <v>4969</v>
      </c>
      <c r="Y303" t="s">
        <v>4970</v>
      </c>
      <c r="Z303" t="s">
        <v>4971</v>
      </c>
      <c r="AA303" t="s">
        <v>4972</v>
      </c>
      <c r="AB303" t="s">
        <v>4973</v>
      </c>
      <c r="AC303" t="s">
        <v>4974</v>
      </c>
      <c r="AD303" t="s">
        <v>4975</v>
      </c>
      <c r="AE303" t="s">
        <v>4976</v>
      </c>
      <c r="AF303" t="s">
        <v>74</v>
      </c>
      <c r="AG303">
        <v>38</v>
      </c>
      <c r="AH303">
        <v>14</v>
      </c>
      <c r="AI303">
        <v>14</v>
      </c>
      <c r="AJ303">
        <v>2</v>
      </c>
      <c r="AK303">
        <v>23</v>
      </c>
      <c r="AL303" t="s">
        <v>92</v>
      </c>
      <c r="AM303" t="s">
        <v>93</v>
      </c>
      <c r="AN303" t="s">
        <v>94</v>
      </c>
      <c r="AO303" t="s">
        <v>95</v>
      </c>
      <c r="AP303" t="s">
        <v>96</v>
      </c>
      <c r="AQ303" t="s">
        <v>74</v>
      </c>
      <c r="AR303" t="s">
        <v>97</v>
      </c>
      <c r="AS303" t="s">
        <v>98</v>
      </c>
      <c r="AT303" t="s">
        <v>214</v>
      </c>
      <c r="AU303">
        <v>2019</v>
      </c>
      <c r="AV303">
        <v>64</v>
      </c>
      <c r="AW303">
        <v>14</v>
      </c>
      <c r="AX303" t="s">
        <v>74</v>
      </c>
      <c r="AY303" t="s">
        <v>74</v>
      </c>
      <c r="AZ303" t="s">
        <v>74</v>
      </c>
      <c r="BA303" t="s">
        <v>74</v>
      </c>
      <c r="BB303" t="s">
        <v>74</v>
      </c>
      <c r="BC303" t="s">
        <v>74</v>
      </c>
      <c r="BD303" t="s">
        <v>4977</v>
      </c>
      <c r="BE303" t="s">
        <v>4978</v>
      </c>
      <c r="BF303" t="str">
        <f>HYPERLINK("http://dx.doi.org/10.1088/1361-6560/ab274d","http://dx.doi.org/10.1088/1361-6560/ab274d")</f>
        <v>http://dx.doi.org/10.1088/1361-6560/ab274d</v>
      </c>
      <c r="BG303" t="s">
        <v>74</v>
      </c>
      <c r="BH303" t="s">
        <v>74</v>
      </c>
      <c r="BI303">
        <v>10</v>
      </c>
      <c r="BJ303" t="s">
        <v>101</v>
      </c>
      <c r="BK303" t="s">
        <v>102</v>
      </c>
      <c r="BL303" t="s">
        <v>103</v>
      </c>
      <c r="BM303" t="s">
        <v>4979</v>
      </c>
      <c r="BN303">
        <v>31167169</v>
      </c>
      <c r="BO303" t="s">
        <v>74</v>
      </c>
      <c r="BP303" t="s">
        <v>74</v>
      </c>
      <c r="BQ303" t="s">
        <v>74</v>
      </c>
      <c r="BR303" t="s">
        <v>106</v>
      </c>
      <c r="BS303" t="s">
        <v>4980</v>
      </c>
      <c r="BT303" t="str">
        <f>HYPERLINK("https%3A%2F%2Fwww.webofscience.com%2Fwos%2Fwoscc%2Ffull-record%2FWOS:000476530000001","View Full Record in Web of Science")</f>
        <v>View Full Record in Web of Science</v>
      </c>
    </row>
    <row r="304" spans="1:72" x14ac:dyDescent="0.25">
      <c r="A304" t="s">
        <v>72</v>
      </c>
      <c r="B304" t="s">
        <v>4981</v>
      </c>
      <c r="C304" t="s">
        <v>74</v>
      </c>
      <c r="D304" t="s">
        <v>74</v>
      </c>
      <c r="E304" t="s">
        <v>74</v>
      </c>
      <c r="F304" t="s">
        <v>4982</v>
      </c>
      <c r="G304" t="s">
        <v>74</v>
      </c>
      <c r="H304" t="s">
        <v>74</v>
      </c>
      <c r="I304" t="s">
        <v>4983</v>
      </c>
      <c r="J304" t="s">
        <v>77</v>
      </c>
      <c r="K304" t="s">
        <v>74</v>
      </c>
      <c r="L304" t="s">
        <v>74</v>
      </c>
      <c r="M304" t="s">
        <v>78</v>
      </c>
      <c r="N304" t="s">
        <v>79</v>
      </c>
      <c r="O304" t="s">
        <v>74</v>
      </c>
      <c r="P304" t="s">
        <v>74</v>
      </c>
      <c r="Q304" t="s">
        <v>74</v>
      </c>
      <c r="R304" t="s">
        <v>74</v>
      </c>
      <c r="S304" t="s">
        <v>74</v>
      </c>
      <c r="T304" t="s">
        <v>4984</v>
      </c>
      <c r="U304" t="s">
        <v>4985</v>
      </c>
      <c r="V304" t="s">
        <v>4986</v>
      </c>
      <c r="W304" t="s">
        <v>4987</v>
      </c>
      <c r="X304" t="s">
        <v>4988</v>
      </c>
      <c r="Y304" t="s">
        <v>4989</v>
      </c>
      <c r="Z304" t="s">
        <v>4990</v>
      </c>
      <c r="AA304" t="s">
        <v>74</v>
      </c>
      <c r="AB304" t="s">
        <v>4991</v>
      </c>
      <c r="AC304" t="s">
        <v>74</v>
      </c>
      <c r="AD304" t="s">
        <v>74</v>
      </c>
      <c r="AE304" t="s">
        <v>74</v>
      </c>
      <c r="AF304" t="s">
        <v>74</v>
      </c>
      <c r="AG304">
        <v>26</v>
      </c>
      <c r="AH304">
        <v>6</v>
      </c>
      <c r="AI304">
        <v>7</v>
      </c>
      <c r="AJ304">
        <v>0</v>
      </c>
      <c r="AK304">
        <v>9</v>
      </c>
      <c r="AL304" t="s">
        <v>92</v>
      </c>
      <c r="AM304" t="s">
        <v>93</v>
      </c>
      <c r="AN304" t="s">
        <v>94</v>
      </c>
      <c r="AO304" t="s">
        <v>95</v>
      </c>
      <c r="AP304" t="s">
        <v>96</v>
      </c>
      <c r="AQ304" t="s">
        <v>74</v>
      </c>
      <c r="AR304" t="s">
        <v>97</v>
      </c>
      <c r="AS304" t="s">
        <v>98</v>
      </c>
      <c r="AT304" t="s">
        <v>250</v>
      </c>
      <c r="AU304">
        <v>2019</v>
      </c>
      <c r="AV304">
        <v>64</v>
      </c>
      <c r="AW304">
        <v>11</v>
      </c>
      <c r="AX304" t="s">
        <v>74</v>
      </c>
      <c r="AY304" t="s">
        <v>74</v>
      </c>
      <c r="AZ304" t="s">
        <v>74</v>
      </c>
      <c r="BA304" t="s">
        <v>74</v>
      </c>
      <c r="BB304" t="s">
        <v>74</v>
      </c>
      <c r="BC304" t="s">
        <v>74</v>
      </c>
      <c r="BD304">
        <v>115002</v>
      </c>
      <c r="BE304" t="s">
        <v>4992</v>
      </c>
      <c r="BF304" t="str">
        <f>HYPERLINK("http://dx.doi.org/10.1088/1361-6560/ab0bc8","http://dx.doi.org/10.1088/1361-6560/ab0bc8")</f>
        <v>http://dx.doi.org/10.1088/1361-6560/ab0bc8</v>
      </c>
      <c r="BG304" t="s">
        <v>74</v>
      </c>
      <c r="BH304" t="s">
        <v>74</v>
      </c>
      <c r="BI304">
        <v>12</v>
      </c>
      <c r="BJ304" t="s">
        <v>101</v>
      </c>
      <c r="BK304" t="s">
        <v>102</v>
      </c>
      <c r="BL304" t="s">
        <v>103</v>
      </c>
      <c r="BM304" t="s">
        <v>323</v>
      </c>
      <c r="BN304">
        <v>30822764</v>
      </c>
      <c r="BO304" t="s">
        <v>74</v>
      </c>
      <c r="BP304" t="s">
        <v>74</v>
      </c>
      <c r="BQ304" t="s">
        <v>74</v>
      </c>
      <c r="BR304" t="s">
        <v>106</v>
      </c>
      <c r="BS304" t="s">
        <v>4993</v>
      </c>
      <c r="BT304" t="str">
        <f>HYPERLINK("https%3A%2F%2Fwww.webofscience.com%2Fwos%2Fwoscc%2Ffull-record%2FWOS:000468942900002","View Full Record in Web of Science")</f>
        <v>View Full Record in Web of Science</v>
      </c>
    </row>
    <row r="305" spans="1:72" x14ac:dyDescent="0.25">
      <c r="A305" t="s">
        <v>72</v>
      </c>
      <c r="B305" t="s">
        <v>4994</v>
      </c>
      <c r="C305" t="s">
        <v>74</v>
      </c>
      <c r="D305" t="s">
        <v>74</v>
      </c>
      <c r="E305" t="s">
        <v>74</v>
      </c>
      <c r="F305" t="s">
        <v>4995</v>
      </c>
      <c r="G305" t="s">
        <v>74</v>
      </c>
      <c r="H305" t="s">
        <v>74</v>
      </c>
      <c r="I305" t="s">
        <v>4996</v>
      </c>
      <c r="J305" t="s">
        <v>77</v>
      </c>
      <c r="K305" t="s">
        <v>74</v>
      </c>
      <c r="L305" t="s">
        <v>74</v>
      </c>
      <c r="M305" t="s">
        <v>78</v>
      </c>
      <c r="N305" t="s">
        <v>79</v>
      </c>
      <c r="O305" t="s">
        <v>74</v>
      </c>
      <c r="P305" t="s">
        <v>74</v>
      </c>
      <c r="Q305" t="s">
        <v>74</v>
      </c>
      <c r="R305" t="s">
        <v>74</v>
      </c>
      <c r="S305" t="s">
        <v>74</v>
      </c>
      <c r="T305" t="s">
        <v>4997</v>
      </c>
      <c r="U305" t="s">
        <v>4998</v>
      </c>
      <c r="V305" t="s">
        <v>4999</v>
      </c>
      <c r="W305" t="s">
        <v>5000</v>
      </c>
      <c r="X305" t="s">
        <v>5001</v>
      </c>
      <c r="Y305" t="s">
        <v>5002</v>
      </c>
      <c r="Z305" t="s">
        <v>2906</v>
      </c>
      <c r="AA305" t="s">
        <v>5003</v>
      </c>
      <c r="AB305" t="s">
        <v>5004</v>
      </c>
      <c r="AC305" t="s">
        <v>5005</v>
      </c>
      <c r="AD305" t="s">
        <v>2427</v>
      </c>
      <c r="AE305" t="s">
        <v>5006</v>
      </c>
      <c r="AF305" t="s">
        <v>74</v>
      </c>
      <c r="AG305">
        <v>57</v>
      </c>
      <c r="AH305">
        <v>7</v>
      </c>
      <c r="AI305">
        <v>10</v>
      </c>
      <c r="AJ305">
        <v>0</v>
      </c>
      <c r="AK305">
        <v>9</v>
      </c>
      <c r="AL305" t="s">
        <v>92</v>
      </c>
      <c r="AM305" t="s">
        <v>93</v>
      </c>
      <c r="AN305" t="s">
        <v>94</v>
      </c>
      <c r="AO305" t="s">
        <v>95</v>
      </c>
      <c r="AP305" t="s">
        <v>96</v>
      </c>
      <c r="AQ305" t="s">
        <v>74</v>
      </c>
      <c r="AR305" t="s">
        <v>97</v>
      </c>
      <c r="AS305" t="s">
        <v>98</v>
      </c>
      <c r="AT305" t="s">
        <v>250</v>
      </c>
      <c r="AU305">
        <v>2019</v>
      </c>
      <c r="AV305">
        <v>64</v>
      </c>
      <c r="AW305">
        <v>11</v>
      </c>
      <c r="AX305" t="s">
        <v>74</v>
      </c>
      <c r="AY305" t="s">
        <v>74</v>
      </c>
      <c r="AZ305" t="s">
        <v>74</v>
      </c>
      <c r="BA305" t="s">
        <v>74</v>
      </c>
      <c r="BB305" t="s">
        <v>74</v>
      </c>
      <c r="BC305" t="s">
        <v>74</v>
      </c>
      <c r="BD305">
        <v>115022</v>
      </c>
      <c r="BE305" t="s">
        <v>5007</v>
      </c>
      <c r="BF305" t="str">
        <f>HYPERLINK("http://dx.doi.org/10.1088/1361-6560/ab1a44","http://dx.doi.org/10.1088/1361-6560/ab1a44")</f>
        <v>http://dx.doi.org/10.1088/1361-6560/ab1a44</v>
      </c>
      <c r="BG305" t="s">
        <v>74</v>
      </c>
      <c r="BH305" t="s">
        <v>74</v>
      </c>
      <c r="BI305">
        <v>10</v>
      </c>
      <c r="BJ305" t="s">
        <v>101</v>
      </c>
      <c r="BK305" t="s">
        <v>102</v>
      </c>
      <c r="BL305" t="s">
        <v>103</v>
      </c>
      <c r="BM305" t="s">
        <v>305</v>
      </c>
      <c r="BN305">
        <v>30995615</v>
      </c>
      <c r="BO305" t="s">
        <v>105</v>
      </c>
      <c r="BP305" t="s">
        <v>74</v>
      </c>
      <c r="BQ305" t="s">
        <v>74</v>
      </c>
      <c r="BR305" t="s">
        <v>106</v>
      </c>
      <c r="BS305" t="s">
        <v>5008</v>
      </c>
      <c r="BT305" t="str">
        <f>HYPERLINK("https%3A%2F%2Fwww.webofscience.com%2Fwos%2Fwoscc%2Ffull-record%2FWOS:000470205600006","View Full Record in Web of Science")</f>
        <v>View Full Record in Web of Science</v>
      </c>
    </row>
    <row r="306" spans="1:72" x14ac:dyDescent="0.25">
      <c r="A306" t="s">
        <v>72</v>
      </c>
      <c r="B306" t="s">
        <v>5009</v>
      </c>
      <c r="C306" t="s">
        <v>74</v>
      </c>
      <c r="D306" t="s">
        <v>74</v>
      </c>
      <c r="E306" t="s">
        <v>74</v>
      </c>
      <c r="F306" t="s">
        <v>5010</v>
      </c>
      <c r="G306" t="s">
        <v>74</v>
      </c>
      <c r="H306" t="s">
        <v>74</v>
      </c>
      <c r="I306" t="s">
        <v>5011</v>
      </c>
      <c r="J306" t="s">
        <v>77</v>
      </c>
      <c r="K306" t="s">
        <v>74</v>
      </c>
      <c r="L306" t="s">
        <v>74</v>
      </c>
      <c r="M306" t="s">
        <v>78</v>
      </c>
      <c r="N306" t="s">
        <v>79</v>
      </c>
      <c r="O306" t="s">
        <v>74</v>
      </c>
      <c r="P306" t="s">
        <v>74</v>
      </c>
      <c r="Q306" t="s">
        <v>74</v>
      </c>
      <c r="R306" t="s">
        <v>74</v>
      </c>
      <c r="S306" t="s">
        <v>74</v>
      </c>
      <c r="T306" t="s">
        <v>5012</v>
      </c>
      <c r="U306" t="s">
        <v>5013</v>
      </c>
      <c r="V306" t="s">
        <v>5014</v>
      </c>
      <c r="W306" t="s">
        <v>5015</v>
      </c>
      <c r="X306" t="s">
        <v>5016</v>
      </c>
      <c r="Y306" t="s">
        <v>5017</v>
      </c>
      <c r="Z306" t="s">
        <v>5018</v>
      </c>
      <c r="AA306" t="s">
        <v>5019</v>
      </c>
      <c r="AB306" t="s">
        <v>5020</v>
      </c>
      <c r="AC306" t="s">
        <v>5021</v>
      </c>
      <c r="AD306" t="s">
        <v>5021</v>
      </c>
      <c r="AE306" t="s">
        <v>5022</v>
      </c>
      <c r="AF306" t="s">
        <v>74</v>
      </c>
      <c r="AG306">
        <v>43</v>
      </c>
      <c r="AH306">
        <v>15</v>
      </c>
      <c r="AI306">
        <v>15</v>
      </c>
      <c r="AJ306">
        <v>0</v>
      </c>
      <c r="AK306">
        <v>1</v>
      </c>
      <c r="AL306" t="s">
        <v>92</v>
      </c>
      <c r="AM306" t="s">
        <v>93</v>
      </c>
      <c r="AN306" t="s">
        <v>94</v>
      </c>
      <c r="AO306" t="s">
        <v>95</v>
      </c>
      <c r="AP306" t="s">
        <v>96</v>
      </c>
      <c r="AQ306" t="s">
        <v>74</v>
      </c>
      <c r="AR306" t="s">
        <v>97</v>
      </c>
      <c r="AS306" t="s">
        <v>98</v>
      </c>
      <c r="AT306" t="s">
        <v>386</v>
      </c>
      <c r="AU306">
        <v>2019</v>
      </c>
      <c r="AV306">
        <v>64</v>
      </c>
      <c r="AW306">
        <v>8</v>
      </c>
      <c r="AX306" t="s">
        <v>74</v>
      </c>
      <c r="AY306" t="s">
        <v>74</v>
      </c>
      <c r="AZ306" t="s">
        <v>74</v>
      </c>
      <c r="BA306" t="s">
        <v>74</v>
      </c>
      <c r="BB306" t="s">
        <v>74</v>
      </c>
      <c r="BC306" t="s">
        <v>74</v>
      </c>
      <c r="BD306">
        <v>85011</v>
      </c>
      <c r="BE306" t="s">
        <v>5023</v>
      </c>
      <c r="BF306" t="str">
        <f>HYPERLINK("http://dx.doi.org/10.1088/1361-6560/ab1175","http://dx.doi.org/10.1088/1361-6560/ab1175")</f>
        <v>http://dx.doi.org/10.1088/1361-6560/ab1175</v>
      </c>
      <c r="BG306" t="s">
        <v>74</v>
      </c>
      <c r="BH306" t="s">
        <v>74</v>
      </c>
      <c r="BI306">
        <v>11</v>
      </c>
      <c r="BJ306" t="s">
        <v>101</v>
      </c>
      <c r="BK306" t="s">
        <v>102</v>
      </c>
      <c r="BL306" t="s">
        <v>103</v>
      </c>
      <c r="BM306" t="s">
        <v>2159</v>
      </c>
      <c r="BN306">
        <v>30893660</v>
      </c>
      <c r="BO306" t="s">
        <v>759</v>
      </c>
      <c r="BP306" t="s">
        <v>74</v>
      </c>
      <c r="BQ306" t="s">
        <v>74</v>
      </c>
      <c r="BR306" t="s">
        <v>106</v>
      </c>
      <c r="BS306" t="s">
        <v>5024</v>
      </c>
      <c r="BT306" t="str">
        <f>HYPERLINK("https%3A%2F%2Fwww.webofscience.com%2Fwos%2Fwoscc%2Ffull-record%2FWOS:000464179400003","View Full Record in Web of Science")</f>
        <v>View Full Record in Web of Science</v>
      </c>
    </row>
    <row r="307" spans="1:72" x14ac:dyDescent="0.25">
      <c r="A307" t="s">
        <v>72</v>
      </c>
      <c r="B307" t="s">
        <v>5025</v>
      </c>
      <c r="C307" t="s">
        <v>74</v>
      </c>
      <c r="D307" t="s">
        <v>74</v>
      </c>
      <c r="E307" t="s">
        <v>74</v>
      </c>
      <c r="F307" t="s">
        <v>5026</v>
      </c>
      <c r="G307" t="s">
        <v>74</v>
      </c>
      <c r="H307" t="s">
        <v>74</v>
      </c>
      <c r="I307" t="s">
        <v>5027</v>
      </c>
      <c r="J307" t="s">
        <v>77</v>
      </c>
      <c r="K307" t="s">
        <v>74</v>
      </c>
      <c r="L307" t="s">
        <v>74</v>
      </c>
      <c r="M307" t="s">
        <v>78</v>
      </c>
      <c r="N307" t="s">
        <v>79</v>
      </c>
      <c r="O307" t="s">
        <v>74</v>
      </c>
      <c r="P307" t="s">
        <v>74</v>
      </c>
      <c r="Q307" t="s">
        <v>74</v>
      </c>
      <c r="R307" t="s">
        <v>74</v>
      </c>
      <c r="S307" t="s">
        <v>74</v>
      </c>
      <c r="T307" t="s">
        <v>5028</v>
      </c>
      <c r="U307" t="s">
        <v>5029</v>
      </c>
      <c r="V307" t="s">
        <v>5030</v>
      </c>
      <c r="W307" t="s">
        <v>5031</v>
      </c>
      <c r="X307" t="s">
        <v>5032</v>
      </c>
      <c r="Y307" t="s">
        <v>5033</v>
      </c>
      <c r="Z307" t="s">
        <v>5034</v>
      </c>
      <c r="AA307" t="s">
        <v>5035</v>
      </c>
      <c r="AB307" t="s">
        <v>5036</v>
      </c>
      <c r="AC307" t="s">
        <v>5037</v>
      </c>
      <c r="AD307" t="s">
        <v>5038</v>
      </c>
      <c r="AE307" t="s">
        <v>5039</v>
      </c>
      <c r="AF307" t="s">
        <v>74</v>
      </c>
      <c r="AG307">
        <v>27</v>
      </c>
      <c r="AH307">
        <v>6</v>
      </c>
      <c r="AI307">
        <v>6</v>
      </c>
      <c r="AJ307">
        <v>0</v>
      </c>
      <c r="AK307">
        <v>1</v>
      </c>
      <c r="AL307" t="s">
        <v>92</v>
      </c>
      <c r="AM307" t="s">
        <v>93</v>
      </c>
      <c r="AN307" t="s">
        <v>94</v>
      </c>
      <c r="AO307" t="s">
        <v>95</v>
      </c>
      <c r="AP307" t="s">
        <v>96</v>
      </c>
      <c r="AQ307" t="s">
        <v>74</v>
      </c>
      <c r="AR307" t="s">
        <v>97</v>
      </c>
      <c r="AS307" t="s">
        <v>98</v>
      </c>
      <c r="AT307" t="s">
        <v>386</v>
      </c>
      <c r="AU307">
        <v>2019</v>
      </c>
      <c r="AV307">
        <v>64</v>
      </c>
      <c r="AW307">
        <v>8</v>
      </c>
      <c r="AX307" t="s">
        <v>74</v>
      </c>
      <c r="AY307" t="s">
        <v>74</v>
      </c>
      <c r="AZ307" t="s">
        <v>74</v>
      </c>
      <c r="BA307" t="s">
        <v>74</v>
      </c>
      <c r="BB307" t="s">
        <v>74</v>
      </c>
      <c r="BC307" t="s">
        <v>74</v>
      </c>
      <c r="BD307">
        <v>85009</v>
      </c>
      <c r="BE307" t="s">
        <v>5040</v>
      </c>
      <c r="BF307" t="str">
        <f>HYPERLINK("http://dx.doi.org/10.1088/1361-6560/ab145e","http://dx.doi.org/10.1088/1361-6560/ab145e")</f>
        <v>http://dx.doi.org/10.1088/1361-6560/ab145e</v>
      </c>
      <c r="BG307" t="s">
        <v>74</v>
      </c>
      <c r="BH307" t="s">
        <v>74</v>
      </c>
      <c r="BI307">
        <v>10</v>
      </c>
      <c r="BJ307" t="s">
        <v>101</v>
      </c>
      <c r="BK307" t="s">
        <v>102</v>
      </c>
      <c r="BL307" t="s">
        <v>103</v>
      </c>
      <c r="BM307" t="s">
        <v>2159</v>
      </c>
      <c r="BN307">
        <v>30921771</v>
      </c>
      <c r="BO307" t="s">
        <v>74</v>
      </c>
      <c r="BP307" t="s">
        <v>74</v>
      </c>
      <c r="BQ307" t="s">
        <v>74</v>
      </c>
      <c r="BR307" t="s">
        <v>106</v>
      </c>
      <c r="BS307" t="s">
        <v>5041</v>
      </c>
      <c r="BT307" t="str">
        <f>HYPERLINK("https%3A%2F%2Fwww.webofscience.com%2Fwos%2Fwoscc%2Ffull-record%2FWOS:000464179400001","View Full Record in Web of Science")</f>
        <v>View Full Record in Web of Science</v>
      </c>
    </row>
    <row r="308" spans="1:72" x14ac:dyDescent="0.25">
      <c r="A308" t="s">
        <v>72</v>
      </c>
      <c r="B308" t="s">
        <v>5042</v>
      </c>
      <c r="C308" t="s">
        <v>74</v>
      </c>
      <c r="D308" t="s">
        <v>74</v>
      </c>
      <c r="E308" t="s">
        <v>74</v>
      </c>
      <c r="F308" t="s">
        <v>5043</v>
      </c>
      <c r="G308" t="s">
        <v>74</v>
      </c>
      <c r="H308" t="s">
        <v>74</v>
      </c>
      <c r="I308" t="s">
        <v>5044</v>
      </c>
      <c r="J308" t="s">
        <v>77</v>
      </c>
      <c r="K308" t="s">
        <v>74</v>
      </c>
      <c r="L308" t="s">
        <v>74</v>
      </c>
      <c r="M308" t="s">
        <v>78</v>
      </c>
      <c r="N308" t="s">
        <v>79</v>
      </c>
      <c r="O308" t="s">
        <v>74</v>
      </c>
      <c r="P308" t="s">
        <v>74</v>
      </c>
      <c r="Q308" t="s">
        <v>74</v>
      </c>
      <c r="R308" t="s">
        <v>74</v>
      </c>
      <c r="S308" t="s">
        <v>74</v>
      </c>
      <c r="T308" t="s">
        <v>5045</v>
      </c>
      <c r="U308" t="s">
        <v>5046</v>
      </c>
      <c r="V308" t="s">
        <v>5047</v>
      </c>
      <c r="W308" t="s">
        <v>5048</v>
      </c>
      <c r="X308" t="s">
        <v>5049</v>
      </c>
      <c r="Y308" t="s">
        <v>5050</v>
      </c>
      <c r="Z308" t="s">
        <v>5051</v>
      </c>
      <c r="AA308" t="s">
        <v>5052</v>
      </c>
      <c r="AB308" t="s">
        <v>5053</v>
      </c>
      <c r="AC308" t="s">
        <v>74</v>
      </c>
      <c r="AD308" t="s">
        <v>74</v>
      </c>
      <c r="AE308" t="s">
        <v>74</v>
      </c>
      <c r="AF308" t="s">
        <v>74</v>
      </c>
      <c r="AG308">
        <v>33</v>
      </c>
      <c r="AH308">
        <v>14</v>
      </c>
      <c r="AI308">
        <v>16</v>
      </c>
      <c r="AJ308">
        <v>0</v>
      </c>
      <c r="AK308">
        <v>16</v>
      </c>
      <c r="AL308" t="s">
        <v>92</v>
      </c>
      <c r="AM308" t="s">
        <v>93</v>
      </c>
      <c r="AN308" t="s">
        <v>94</v>
      </c>
      <c r="AO308" t="s">
        <v>95</v>
      </c>
      <c r="AP308" t="s">
        <v>96</v>
      </c>
      <c r="AQ308" t="s">
        <v>74</v>
      </c>
      <c r="AR308" t="s">
        <v>97</v>
      </c>
      <c r="AS308" t="s">
        <v>98</v>
      </c>
      <c r="AT308" t="s">
        <v>386</v>
      </c>
      <c r="AU308">
        <v>2019</v>
      </c>
      <c r="AV308">
        <v>64</v>
      </c>
      <c r="AW308">
        <v>7</v>
      </c>
      <c r="AX308" t="s">
        <v>74</v>
      </c>
      <c r="AY308" t="s">
        <v>74</v>
      </c>
      <c r="AZ308" t="s">
        <v>74</v>
      </c>
      <c r="BA308" t="s">
        <v>74</v>
      </c>
      <c r="BB308" t="s">
        <v>74</v>
      </c>
      <c r="BC308" t="s">
        <v>74</v>
      </c>
      <c r="BD308">
        <v>75010</v>
      </c>
      <c r="BE308" t="s">
        <v>5054</v>
      </c>
      <c r="BF308" t="str">
        <f>HYPERLINK("http://dx.doi.org/10.1088/1361-6560/ab0b49","http://dx.doi.org/10.1088/1361-6560/ab0b49")</f>
        <v>http://dx.doi.org/10.1088/1361-6560/ab0b49</v>
      </c>
      <c r="BG308" t="s">
        <v>74</v>
      </c>
      <c r="BH308" t="s">
        <v>74</v>
      </c>
      <c r="BI308">
        <v>12</v>
      </c>
      <c r="BJ308" t="s">
        <v>101</v>
      </c>
      <c r="BK308" t="s">
        <v>102</v>
      </c>
      <c r="BL308" t="s">
        <v>103</v>
      </c>
      <c r="BM308" t="s">
        <v>2580</v>
      </c>
      <c r="BN308">
        <v>30818301</v>
      </c>
      <c r="BO308" t="s">
        <v>74</v>
      </c>
      <c r="BP308" t="s">
        <v>74</v>
      </c>
      <c r="BQ308" t="s">
        <v>74</v>
      </c>
      <c r="BR308" t="s">
        <v>106</v>
      </c>
      <c r="BS308" t="s">
        <v>5055</v>
      </c>
      <c r="BT308" t="str">
        <f>HYPERLINK("https%3A%2F%2Fwww.webofscience.com%2Fwos%2Fwoscc%2Ffull-record%2FWOS:000462887300002","View Full Record in Web of Science")</f>
        <v>View Full Record in Web of Science</v>
      </c>
    </row>
    <row r="309" spans="1:72" x14ac:dyDescent="0.25">
      <c r="A309" t="s">
        <v>72</v>
      </c>
      <c r="B309" t="s">
        <v>5056</v>
      </c>
      <c r="C309" t="s">
        <v>74</v>
      </c>
      <c r="D309" t="s">
        <v>74</v>
      </c>
      <c r="E309" t="s">
        <v>74</v>
      </c>
      <c r="F309" t="s">
        <v>5057</v>
      </c>
      <c r="G309" t="s">
        <v>74</v>
      </c>
      <c r="H309" t="s">
        <v>74</v>
      </c>
      <c r="I309" t="s">
        <v>5058</v>
      </c>
      <c r="J309" t="s">
        <v>77</v>
      </c>
      <c r="K309" t="s">
        <v>74</v>
      </c>
      <c r="L309" t="s">
        <v>74</v>
      </c>
      <c r="M309" t="s">
        <v>78</v>
      </c>
      <c r="N309" t="s">
        <v>79</v>
      </c>
      <c r="O309" t="s">
        <v>74</v>
      </c>
      <c r="P309" t="s">
        <v>74</v>
      </c>
      <c r="Q309" t="s">
        <v>74</v>
      </c>
      <c r="R309" t="s">
        <v>74</v>
      </c>
      <c r="S309" t="s">
        <v>74</v>
      </c>
      <c r="T309" t="s">
        <v>5059</v>
      </c>
      <c r="U309" t="s">
        <v>5060</v>
      </c>
      <c r="V309" t="s">
        <v>5061</v>
      </c>
      <c r="W309" t="s">
        <v>5062</v>
      </c>
      <c r="X309" t="s">
        <v>5063</v>
      </c>
      <c r="Y309" t="s">
        <v>5064</v>
      </c>
      <c r="Z309" t="s">
        <v>5065</v>
      </c>
      <c r="AA309" t="s">
        <v>5066</v>
      </c>
      <c r="AB309" t="s">
        <v>5067</v>
      </c>
      <c r="AC309" t="s">
        <v>5068</v>
      </c>
      <c r="AD309" t="s">
        <v>5069</v>
      </c>
      <c r="AE309" t="s">
        <v>5070</v>
      </c>
      <c r="AF309" t="s">
        <v>74</v>
      </c>
      <c r="AG309">
        <v>82</v>
      </c>
      <c r="AH309">
        <v>134</v>
      </c>
      <c r="AI309">
        <v>137</v>
      </c>
      <c r="AJ309">
        <v>1</v>
      </c>
      <c r="AK309">
        <v>34</v>
      </c>
      <c r="AL309" t="s">
        <v>157</v>
      </c>
      <c r="AM309" t="s">
        <v>93</v>
      </c>
      <c r="AN309" t="s">
        <v>94</v>
      </c>
      <c r="AO309" t="s">
        <v>95</v>
      </c>
      <c r="AP309" t="s">
        <v>96</v>
      </c>
      <c r="AQ309" t="s">
        <v>74</v>
      </c>
      <c r="AR309" t="s">
        <v>97</v>
      </c>
      <c r="AS309" t="s">
        <v>98</v>
      </c>
      <c r="AT309" t="s">
        <v>436</v>
      </c>
      <c r="AU309">
        <v>2019</v>
      </c>
      <c r="AV309">
        <v>64</v>
      </c>
      <c r="AW309">
        <v>5</v>
      </c>
      <c r="AX309" t="s">
        <v>74</v>
      </c>
      <c r="AY309" t="s">
        <v>74</v>
      </c>
      <c r="AZ309" t="s">
        <v>74</v>
      </c>
      <c r="BA309" t="s">
        <v>74</v>
      </c>
      <c r="BB309" t="s">
        <v>74</v>
      </c>
      <c r="BC309" t="s">
        <v>74</v>
      </c>
      <c r="BD309">
        <v>55017</v>
      </c>
      <c r="BE309" t="s">
        <v>5071</v>
      </c>
      <c r="BF309" t="str">
        <f>HYPERLINK("http://dx.doi.org/10.1088/1361-6560/aafe20","http://dx.doi.org/10.1088/1361-6560/aafe20")</f>
        <v>http://dx.doi.org/10.1088/1361-6560/aafe20</v>
      </c>
      <c r="BG309" t="s">
        <v>74</v>
      </c>
      <c r="BH309" t="s">
        <v>74</v>
      </c>
      <c r="BI309">
        <v>14</v>
      </c>
      <c r="BJ309" t="s">
        <v>101</v>
      </c>
      <c r="BK309" t="s">
        <v>102</v>
      </c>
      <c r="BL309" t="s">
        <v>103</v>
      </c>
      <c r="BM309" t="s">
        <v>1878</v>
      </c>
      <c r="BN309">
        <v>30641509</v>
      </c>
      <c r="BO309" t="s">
        <v>5072</v>
      </c>
      <c r="BP309" t="s">
        <v>74</v>
      </c>
      <c r="BQ309" t="s">
        <v>74</v>
      </c>
      <c r="BR309" t="s">
        <v>106</v>
      </c>
      <c r="BS309" t="s">
        <v>5073</v>
      </c>
      <c r="BT309" t="str">
        <f>HYPERLINK("https%3A%2F%2Fwww.webofscience.com%2Fwos%2Fwoscc%2Ffull-record%2FWOS:000460772200005","View Full Record in Web of Science")</f>
        <v>View Full Record in Web of Science</v>
      </c>
    </row>
    <row r="310" spans="1:72" x14ac:dyDescent="0.25">
      <c r="A310" t="s">
        <v>72</v>
      </c>
      <c r="B310" t="s">
        <v>5074</v>
      </c>
      <c r="C310" t="s">
        <v>74</v>
      </c>
      <c r="D310" t="s">
        <v>74</v>
      </c>
      <c r="E310" t="s">
        <v>74</v>
      </c>
      <c r="F310" t="s">
        <v>5075</v>
      </c>
      <c r="G310" t="s">
        <v>74</v>
      </c>
      <c r="H310" t="s">
        <v>74</v>
      </c>
      <c r="I310" t="s">
        <v>5076</v>
      </c>
      <c r="J310" t="s">
        <v>77</v>
      </c>
      <c r="K310" t="s">
        <v>74</v>
      </c>
      <c r="L310" t="s">
        <v>74</v>
      </c>
      <c r="M310" t="s">
        <v>78</v>
      </c>
      <c r="N310" t="s">
        <v>79</v>
      </c>
      <c r="O310" t="s">
        <v>74</v>
      </c>
      <c r="P310" t="s">
        <v>74</v>
      </c>
      <c r="Q310" t="s">
        <v>74</v>
      </c>
      <c r="R310" t="s">
        <v>74</v>
      </c>
      <c r="S310" t="s">
        <v>74</v>
      </c>
      <c r="T310" t="s">
        <v>5077</v>
      </c>
      <c r="U310" t="s">
        <v>5078</v>
      </c>
      <c r="V310" t="s">
        <v>5079</v>
      </c>
      <c r="W310" t="s">
        <v>5080</v>
      </c>
      <c r="X310" t="s">
        <v>5081</v>
      </c>
      <c r="Y310" t="s">
        <v>5082</v>
      </c>
      <c r="Z310" t="s">
        <v>5083</v>
      </c>
      <c r="AA310" t="s">
        <v>74</v>
      </c>
      <c r="AB310" t="s">
        <v>74</v>
      </c>
      <c r="AC310" t="s">
        <v>5084</v>
      </c>
      <c r="AD310" t="s">
        <v>5085</v>
      </c>
      <c r="AE310" t="s">
        <v>5086</v>
      </c>
      <c r="AF310" t="s">
        <v>74</v>
      </c>
      <c r="AG310">
        <v>66</v>
      </c>
      <c r="AH310">
        <v>4</v>
      </c>
      <c r="AI310">
        <v>4</v>
      </c>
      <c r="AJ310">
        <v>0</v>
      </c>
      <c r="AK310">
        <v>7</v>
      </c>
      <c r="AL310" t="s">
        <v>92</v>
      </c>
      <c r="AM310" t="s">
        <v>93</v>
      </c>
      <c r="AN310" t="s">
        <v>94</v>
      </c>
      <c r="AO310" t="s">
        <v>95</v>
      </c>
      <c r="AP310" t="s">
        <v>96</v>
      </c>
      <c r="AQ310" t="s">
        <v>74</v>
      </c>
      <c r="AR310" t="s">
        <v>97</v>
      </c>
      <c r="AS310" t="s">
        <v>98</v>
      </c>
      <c r="AT310" t="s">
        <v>436</v>
      </c>
      <c r="AU310">
        <v>2019</v>
      </c>
      <c r="AV310">
        <v>64</v>
      </c>
      <c r="AW310">
        <v>5</v>
      </c>
      <c r="AX310" t="s">
        <v>74</v>
      </c>
      <c r="AY310" t="s">
        <v>74</v>
      </c>
      <c r="AZ310" t="s">
        <v>74</v>
      </c>
      <c r="BA310" t="s">
        <v>74</v>
      </c>
      <c r="BB310" t="s">
        <v>74</v>
      </c>
      <c r="BC310" t="s">
        <v>74</v>
      </c>
      <c r="BD310">
        <v>55004</v>
      </c>
      <c r="BE310" t="s">
        <v>5087</v>
      </c>
      <c r="BF310" t="str">
        <f>HYPERLINK("http://dx.doi.org/10.1088/1361-6560/aaff73","http://dx.doi.org/10.1088/1361-6560/aaff73")</f>
        <v>http://dx.doi.org/10.1088/1361-6560/aaff73</v>
      </c>
      <c r="BG310" t="s">
        <v>74</v>
      </c>
      <c r="BH310" t="s">
        <v>74</v>
      </c>
      <c r="BI310">
        <v>16</v>
      </c>
      <c r="BJ310" t="s">
        <v>101</v>
      </c>
      <c r="BK310" t="s">
        <v>102</v>
      </c>
      <c r="BL310" t="s">
        <v>103</v>
      </c>
      <c r="BM310" t="s">
        <v>5088</v>
      </c>
      <c r="BN310">
        <v>30654339</v>
      </c>
      <c r="BO310" t="s">
        <v>74</v>
      </c>
      <c r="BP310" t="s">
        <v>74</v>
      </c>
      <c r="BQ310" t="s">
        <v>74</v>
      </c>
      <c r="BR310" t="s">
        <v>106</v>
      </c>
      <c r="BS310" t="s">
        <v>5089</v>
      </c>
      <c r="BT310" t="str">
        <f>HYPERLINK("https%3A%2F%2Fwww.webofscience.com%2Fwos%2Fwoscc%2Ffull-record%2FWOS:000459325000004","View Full Record in Web of Science")</f>
        <v>View Full Record in Web of Science</v>
      </c>
    </row>
    <row r="311" spans="1:72" x14ac:dyDescent="0.25">
      <c r="A311" t="s">
        <v>72</v>
      </c>
      <c r="B311" t="s">
        <v>5090</v>
      </c>
      <c r="C311" t="s">
        <v>74</v>
      </c>
      <c r="D311" t="s">
        <v>74</v>
      </c>
      <c r="E311" t="s">
        <v>74</v>
      </c>
      <c r="F311" t="s">
        <v>5091</v>
      </c>
      <c r="G311" t="s">
        <v>74</v>
      </c>
      <c r="H311" t="s">
        <v>74</v>
      </c>
      <c r="I311" t="s">
        <v>5092</v>
      </c>
      <c r="J311" t="s">
        <v>77</v>
      </c>
      <c r="K311" t="s">
        <v>74</v>
      </c>
      <c r="L311" t="s">
        <v>74</v>
      </c>
      <c r="M311" t="s">
        <v>78</v>
      </c>
      <c r="N311" t="s">
        <v>79</v>
      </c>
      <c r="O311" t="s">
        <v>74</v>
      </c>
      <c r="P311" t="s">
        <v>74</v>
      </c>
      <c r="Q311" t="s">
        <v>74</v>
      </c>
      <c r="R311" t="s">
        <v>74</v>
      </c>
      <c r="S311" t="s">
        <v>74</v>
      </c>
      <c r="T311" t="s">
        <v>5093</v>
      </c>
      <c r="U311" t="s">
        <v>5094</v>
      </c>
      <c r="V311" t="s">
        <v>5095</v>
      </c>
      <c r="W311" t="s">
        <v>5096</v>
      </c>
      <c r="X311" t="s">
        <v>5097</v>
      </c>
      <c r="Y311" t="s">
        <v>5098</v>
      </c>
      <c r="Z311" t="s">
        <v>5099</v>
      </c>
      <c r="AA311" t="s">
        <v>5100</v>
      </c>
      <c r="AB311" t="s">
        <v>5101</v>
      </c>
      <c r="AC311" t="s">
        <v>5102</v>
      </c>
      <c r="AD311" t="s">
        <v>5103</v>
      </c>
      <c r="AE311" t="s">
        <v>5104</v>
      </c>
      <c r="AF311" t="s">
        <v>74</v>
      </c>
      <c r="AG311">
        <v>29</v>
      </c>
      <c r="AH311">
        <v>6</v>
      </c>
      <c r="AI311">
        <v>6</v>
      </c>
      <c r="AJ311">
        <v>1</v>
      </c>
      <c r="AK311">
        <v>28</v>
      </c>
      <c r="AL311" t="s">
        <v>157</v>
      </c>
      <c r="AM311" t="s">
        <v>93</v>
      </c>
      <c r="AN311" t="s">
        <v>94</v>
      </c>
      <c r="AO311" t="s">
        <v>95</v>
      </c>
      <c r="AP311" t="s">
        <v>96</v>
      </c>
      <c r="AQ311" t="s">
        <v>74</v>
      </c>
      <c r="AR311" t="s">
        <v>97</v>
      </c>
      <c r="AS311" t="s">
        <v>98</v>
      </c>
      <c r="AT311" t="s">
        <v>436</v>
      </c>
      <c r="AU311">
        <v>2019</v>
      </c>
      <c r="AV311">
        <v>64</v>
      </c>
      <c r="AW311">
        <v>5</v>
      </c>
      <c r="AX311" t="s">
        <v>74</v>
      </c>
      <c r="AY311" t="s">
        <v>74</v>
      </c>
      <c r="AZ311" t="s">
        <v>74</v>
      </c>
      <c r="BA311" t="s">
        <v>74</v>
      </c>
      <c r="BB311" t="s">
        <v>74</v>
      </c>
      <c r="BC311" t="s">
        <v>74</v>
      </c>
      <c r="BD311">
        <v>55007</v>
      </c>
      <c r="BE311" t="s">
        <v>5105</v>
      </c>
      <c r="BF311" t="str">
        <f>HYPERLINK("http://dx.doi.org/10.1088/1361-6560/ab0141","http://dx.doi.org/10.1088/1361-6560/ab0141")</f>
        <v>http://dx.doi.org/10.1088/1361-6560/ab0141</v>
      </c>
      <c r="BG311" t="s">
        <v>74</v>
      </c>
      <c r="BH311" t="s">
        <v>74</v>
      </c>
      <c r="BI311">
        <v>9</v>
      </c>
      <c r="BJ311" t="s">
        <v>101</v>
      </c>
      <c r="BK311" t="s">
        <v>102</v>
      </c>
      <c r="BL311" t="s">
        <v>103</v>
      </c>
      <c r="BM311" t="s">
        <v>2208</v>
      </c>
      <c r="BN311">
        <v>30673652</v>
      </c>
      <c r="BO311" t="s">
        <v>179</v>
      </c>
      <c r="BP311" t="s">
        <v>74</v>
      </c>
      <c r="BQ311" t="s">
        <v>74</v>
      </c>
      <c r="BR311" t="s">
        <v>106</v>
      </c>
      <c r="BS311" t="s">
        <v>5106</v>
      </c>
      <c r="BT311" t="str">
        <f>HYPERLINK("https%3A%2F%2Fwww.webofscience.com%2Fwos%2Fwoscc%2Ffull-record%2FWOS:000459740600001","View Full Record in Web of Science")</f>
        <v>View Full Record in Web of Science</v>
      </c>
    </row>
    <row r="312" spans="1:72" x14ac:dyDescent="0.25">
      <c r="A312" t="s">
        <v>72</v>
      </c>
      <c r="B312" t="s">
        <v>5107</v>
      </c>
      <c r="C312" t="s">
        <v>74</v>
      </c>
      <c r="D312" t="s">
        <v>74</v>
      </c>
      <c r="E312" t="s">
        <v>74</v>
      </c>
      <c r="F312" t="s">
        <v>5108</v>
      </c>
      <c r="G312" t="s">
        <v>74</v>
      </c>
      <c r="H312" t="s">
        <v>74</v>
      </c>
      <c r="I312" t="s">
        <v>5109</v>
      </c>
      <c r="J312" t="s">
        <v>77</v>
      </c>
      <c r="K312" t="s">
        <v>74</v>
      </c>
      <c r="L312" t="s">
        <v>74</v>
      </c>
      <c r="M312" t="s">
        <v>78</v>
      </c>
      <c r="N312" t="s">
        <v>79</v>
      </c>
      <c r="O312" t="s">
        <v>74</v>
      </c>
      <c r="P312" t="s">
        <v>74</v>
      </c>
      <c r="Q312" t="s">
        <v>74</v>
      </c>
      <c r="R312" t="s">
        <v>74</v>
      </c>
      <c r="S312" t="s">
        <v>74</v>
      </c>
      <c r="T312" t="s">
        <v>5110</v>
      </c>
      <c r="U312" t="s">
        <v>5111</v>
      </c>
      <c r="V312" t="s">
        <v>5112</v>
      </c>
      <c r="W312" t="s">
        <v>5113</v>
      </c>
      <c r="X312" t="s">
        <v>5114</v>
      </c>
      <c r="Y312" t="s">
        <v>5115</v>
      </c>
      <c r="Z312" t="s">
        <v>5116</v>
      </c>
      <c r="AA312" t="s">
        <v>5117</v>
      </c>
      <c r="AB312" t="s">
        <v>5118</v>
      </c>
      <c r="AC312" t="s">
        <v>5119</v>
      </c>
      <c r="AD312" t="s">
        <v>607</v>
      </c>
      <c r="AE312" t="s">
        <v>5120</v>
      </c>
      <c r="AF312" t="s">
        <v>74</v>
      </c>
      <c r="AG312">
        <v>40</v>
      </c>
      <c r="AH312">
        <v>14</v>
      </c>
      <c r="AI312">
        <v>14</v>
      </c>
      <c r="AJ312">
        <v>0</v>
      </c>
      <c r="AK312">
        <v>13</v>
      </c>
      <c r="AL312" t="s">
        <v>157</v>
      </c>
      <c r="AM312" t="s">
        <v>93</v>
      </c>
      <c r="AN312" t="s">
        <v>94</v>
      </c>
      <c r="AO312" t="s">
        <v>95</v>
      </c>
      <c r="AP312" t="s">
        <v>96</v>
      </c>
      <c r="AQ312" t="s">
        <v>74</v>
      </c>
      <c r="AR312" t="s">
        <v>97</v>
      </c>
      <c r="AS312" t="s">
        <v>98</v>
      </c>
      <c r="AT312" t="s">
        <v>646</v>
      </c>
      <c r="AU312">
        <v>2019</v>
      </c>
      <c r="AV312">
        <v>64</v>
      </c>
      <c r="AW312">
        <v>4</v>
      </c>
      <c r="AX312" t="s">
        <v>74</v>
      </c>
      <c r="AY312" t="s">
        <v>74</v>
      </c>
      <c r="AZ312" t="s">
        <v>74</v>
      </c>
      <c r="BA312" t="s">
        <v>74</v>
      </c>
      <c r="BB312" t="s">
        <v>74</v>
      </c>
      <c r="BC312" t="s">
        <v>74</v>
      </c>
      <c r="BD312">
        <v>45018</v>
      </c>
      <c r="BE312" t="s">
        <v>5121</v>
      </c>
      <c r="BF312" t="str">
        <f>HYPERLINK("http://dx.doi.org/10.1088/1361-6560/aafd50","http://dx.doi.org/10.1088/1361-6560/aafd50")</f>
        <v>http://dx.doi.org/10.1088/1361-6560/aafd50</v>
      </c>
      <c r="BG312" t="s">
        <v>74</v>
      </c>
      <c r="BH312" t="s">
        <v>74</v>
      </c>
      <c r="BI312">
        <v>15</v>
      </c>
      <c r="BJ312" t="s">
        <v>101</v>
      </c>
      <c r="BK312" t="s">
        <v>102</v>
      </c>
      <c r="BL312" t="s">
        <v>103</v>
      </c>
      <c r="BM312" t="s">
        <v>906</v>
      </c>
      <c r="BN312">
        <v>30630154</v>
      </c>
      <c r="BO312" t="s">
        <v>105</v>
      </c>
      <c r="BP312" t="s">
        <v>74</v>
      </c>
      <c r="BQ312" t="s">
        <v>74</v>
      </c>
      <c r="BR312" t="s">
        <v>106</v>
      </c>
      <c r="BS312" t="s">
        <v>5122</v>
      </c>
      <c r="BT312" t="str">
        <f>HYPERLINK("https%3A%2F%2Fwww.webofscience.com%2Fwos%2Fwoscc%2Ffull-record%2FWOS:000459135900006","View Full Record in Web of Science")</f>
        <v>View Full Record in Web of Science</v>
      </c>
    </row>
    <row r="313" spans="1:72" x14ac:dyDescent="0.25">
      <c r="A313" t="s">
        <v>72</v>
      </c>
      <c r="B313" t="s">
        <v>5123</v>
      </c>
      <c r="C313" t="s">
        <v>74</v>
      </c>
      <c r="D313" t="s">
        <v>74</v>
      </c>
      <c r="E313" t="s">
        <v>74</v>
      </c>
      <c r="F313" t="s">
        <v>5124</v>
      </c>
      <c r="G313" t="s">
        <v>74</v>
      </c>
      <c r="H313" t="s">
        <v>74</v>
      </c>
      <c r="I313" t="s">
        <v>5125</v>
      </c>
      <c r="J313" t="s">
        <v>77</v>
      </c>
      <c r="K313" t="s">
        <v>74</v>
      </c>
      <c r="L313" t="s">
        <v>74</v>
      </c>
      <c r="M313" t="s">
        <v>78</v>
      </c>
      <c r="N313" t="s">
        <v>79</v>
      </c>
      <c r="O313" t="s">
        <v>74</v>
      </c>
      <c r="P313" t="s">
        <v>74</v>
      </c>
      <c r="Q313" t="s">
        <v>74</v>
      </c>
      <c r="R313" t="s">
        <v>74</v>
      </c>
      <c r="S313" t="s">
        <v>74</v>
      </c>
      <c r="T313" t="s">
        <v>5126</v>
      </c>
      <c r="U313" t="s">
        <v>5127</v>
      </c>
      <c r="V313" t="s">
        <v>5128</v>
      </c>
      <c r="W313" t="s">
        <v>5129</v>
      </c>
      <c r="X313" t="s">
        <v>5130</v>
      </c>
      <c r="Y313" t="s">
        <v>5131</v>
      </c>
      <c r="Z313" t="s">
        <v>5132</v>
      </c>
      <c r="AA313" t="s">
        <v>74</v>
      </c>
      <c r="AB313" t="s">
        <v>74</v>
      </c>
      <c r="AC313" t="s">
        <v>5133</v>
      </c>
      <c r="AD313" t="s">
        <v>1405</v>
      </c>
      <c r="AE313" t="s">
        <v>5134</v>
      </c>
      <c r="AF313" t="s">
        <v>74</v>
      </c>
      <c r="AG313">
        <v>46</v>
      </c>
      <c r="AH313">
        <v>18</v>
      </c>
      <c r="AI313">
        <v>20</v>
      </c>
      <c r="AJ313">
        <v>1</v>
      </c>
      <c r="AK313">
        <v>18</v>
      </c>
      <c r="AL313" t="s">
        <v>157</v>
      </c>
      <c r="AM313" t="s">
        <v>93</v>
      </c>
      <c r="AN313" t="s">
        <v>94</v>
      </c>
      <c r="AO313" t="s">
        <v>95</v>
      </c>
      <c r="AP313" t="s">
        <v>96</v>
      </c>
      <c r="AQ313" t="s">
        <v>74</v>
      </c>
      <c r="AR313" t="s">
        <v>97</v>
      </c>
      <c r="AS313" t="s">
        <v>98</v>
      </c>
      <c r="AT313" t="s">
        <v>99</v>
      </c>
      <c r="AU313">
        <v>2019</v>
      </c>
      <c r="AV313">
        <v>64</v>
      </c>
      <c r="AW313">
        <v>23</v>
      </c>
      <c r="AX313" t="s">
        <v>74</v>
      </c>
      <c r="AY313" t="s">
        <v>74</v>
      </c>
      <c r="AZ313" t="s">
        <v>74</v>
      </c>
      <c r="BA313" t="s">
        <v>74</v>
      </c>
      <c r="BB313" t="s">
        <v>74</v>
      </c>
      <c r="BC313" t="s">
        <v>74</v>
      </c>
      <c r="BD313">
        <v>235015</v>
      </c>
      <c r="BE313" t="s">
        <v>5135</v>
      </c>
      <c r="BF313" t="str">
        <f>HYPERLINK("http://dx.doi.org/10.1088/1361-6560/ab5035","http://dx.doi.org/10.1088/1361-6560/ab5035")</f>
        <v>http://dx.doi.org/10.1088/1361-6560/ab5035</v>
      </c>
      <c r="BG313" t="s">
        <v>74</v>
      </c>
      <c r="BH313" t="s">
        <v>74</v>
      </c>
      <c r="BI313">
        <v>15</v>
      </c>
      <c r="BJ313" t="s">
        <v>101</v>
      </c>
      <c r="BK313" t="s">
        <v>102</v>
      </c>
      <c r="BL313" t="s">
        <v>103</v>
      </c>
      <c r="BM313" t="s">
        <v>693</v>
      </c>
      <c r="BN313">
        <v>31639777</v>
      </c>
      <c r="BO313" t="s">
        <v>74</v>
      </c>
      <c r="BP313" t="s">
        <v>74</v>
      </c>
      <c r="BQ313" t="s">
        <v>74</v>
      </c>
      <c r="BR313" t="s">
        <v>106</v>
      </c>
      <c r="BS313" t="s">
        <v>5136</v>
      </c>
      <c r="BT313" t="str">
        <f>HYPERLINK("https%3A%2F%2Fwww.webofscience.com%2Fwos%2Fwoscc%2Ffull-record%2FWOS:000518765200005","View Full Record in Web of Science")</f>
        <v>View Full Record in Web of Science</v>
      </c>
    </row>
    <row r="314" spans="1:72" x14ac:dyDescent="0.25">
      <c r="A314" t="s">
        <v>72</v>
      </c>
      <c r="B314" t="s">
        <v>5137</v>
      </c>
      <c r="C314" t="s">
        <v>74</v>
      </c>
      <c r="D314" t="s">
        <v>74</v>
      </c>
      <c r="E314" t="s">
        <v>74</v>
      </c>
      <c r="F314" t="s">
        <v>5138</v>
      </c>
      <c r="G314" t="s">
        <v>74</v>
      </c>
      <c r="H314" t="s">
        <v>74</v>
      </c>
      <c r="I314" t="s">
        <v>5139</v>
      </c>
      <c r="J314" t="s">
        <v>77</v>
      </c>
      <c r="K314" t="s">
        <v>74</v>
      </c>
      <c r="L314" t="s">
        <v>74</v>
      </c>
      <c r="M314" t="s">
        <v>78</v>
      </c>
      <c r="N314" t="s">
        <v>79</v>
      </c>
      <c r="O314" t="s">
        <v>74</v>
      </c>
      <c r="P314" t="s">
        <v>74</v>
      </c>
      <c r="Q314" t="s">
        <v>74</v>
      </c>
      <c r="R314" t="s">
        <v>74</v>
      </c>
      <c r="S314" t="s">
        <v>74</v>
      </c>
      <c r="T314" t="s">
        <v>5140</v>
      </c>
      <c r="U314" t="s">
        <v>5141</v>
      </c>
      <c r="V314" t="s">
        <v>5142</v>
      </c>
      <c r="W314" t="s">
        <v>5143</v>
      </c>
      <c r="X314" t="s">
        <v>5144</v>
      </c>
      <c r="Y314" t="s">
        <v>5145</v>
      </c>
      <c r="Z314" t="s">
        <v>5146</v>
      </c>
      <c r="AA314" t="s">
        <v>5147</v>
      </c>
      <c r="AB314" t="s">
        <v>5148</v>
      </c>
      <c r="AC314" t="s">
        <v>5149</v>
      </c>
      <c r="AD314" t="s">
        <v>416</v>
      </c>
      <c r="AE314" t="s">
        <v>5150</v>
      </c>
      <c r="AF314" t="s">
        <v>74</v>
      </c>
      <c r="AG314">
        <v>42</v>
      </c>
      <c r="AH314">
        <v>12</v>
      </c>
      <c r="AI314">
        <v>12</v>
      </c>
      <c r="AJ314">
        <v>1</v>
      </c>
      <c r="AK314">
        <v>21</v>
      </c>
      <c r="AL314" t="s">
        <v>157</v>
      </c>
      <c r="AM314" t="s">
        <v>93</v>
      </c>
      <c r="AN314" t="s">
        <v>94</v>
      </c>
      <c r="AO314" t="s">
        <v>95</v>
      </c>
      <c r="AP314" t="s">
        <v>96</v>
      </c>
      <c r="AQ314" t="s">
        <v>74</v>
      </c>
      <c r="AR314" t="s">
        <v>97</v>
      </c>
      <c r="AS314" t="s">
        <v>98</v>
      </c>
      <c r="AT314" t="s">
        <v>99</v>
      </c>
      <c r="AU314">
        <v>2019</v>
      </c>
      <c r="AV314">
        <v>64</v>
      </c>
      <c r="AW314">
        <v>24</v>
      </c>
      <c r="AX314" t="s">
        <v>74</v>
      </c>
      <c r="AY314" t="s">
        <v>74</v>
      </c>
      <c r="AZ314" t="s">
        <v>74</v>
      </c>
      <c r="BA314" t="s">
        <v>74</v>
      </c>
      <c r="BB314" t="s">
        <v>74</v>
      </c>
      <c r="BC314" t="s">
        <v>74</v>
      </c>
      <c r="BD314">
        <v>245005</v>
      </c>
      <c r="BE314" t="s">
        <v>5151</v>
      </c>
      <c r="BF314" t="str">
        <f>HYPERLINK("http://dx.doi.org/10.1088/1361-6560/ab555e","http://dx.doi.org/10.1088/1361-6560/ab555e")</f>
        <v>http://dx.doi.org/10.1088/1361-6560/ab555e</v>
      </c>
      <c r="BG314" t="s">
        <v>74</v>
      </c>
      <c r="BH314" t="s">
        <v>74</v>
      </c>
      <c r="BI314">
        <v>14</v>
      </c>
      <c r="BJ314" t="s">
        <v>101</v>
      </c>
      <c r="BK314" t="s">
        <v>102</v>
      </c>
      <c r="BL314" t="s">
        <v>103</v>
      </c>
      <c r="BM314" t="s">
        <v>104</v>
      </c>
      <c r="BN314">
        <v>31698346</v>
      </c>
      <c r="BO314" t="s">
        <v>74</v>
      </c>
      <c r="BP314" t="s">
        <v>74</v>
      </c>
      <c r="BQ314" t="s">
        <v>74</v>
      </c>
      <c r="BR314" t="s">
        <v>106</v>
      </c>
      <c r="BS314" t="s">
        <v>5152</v>
      </c>
      <c r="BT314" t="str">
        <f>HYPERLINK("https%3A%2F%2Fwww.webofscience.com%2Fwos%2Fwoscc%2Ffull-record%2FWOS:000513009900005","View Full Record in Web of Science")</f>
        <v>View Full Record in Web of Science</v>
      </c>
    </row>
    <row r="315" spans="1:72" x14ac:dyDescent="0.25">
      <c r="A315" t="s">
        <v>72</v>
      </c>
      <c r="B315" t="s">
        <v>5153</v>
      </c>
      <c r="C315" t="s">
        <v>74</v>
      </c>
      <c r="D315" t="s">
        <v>74</v>
      </c>
      <c r="E315" t="s">
        <v>74</v>
      </c>
      <c r="F315" t="s">
        <v>5154</v>
      </c>
      <c r="G315" t="s">
        <v>74</v>
      </c>
      <c r="H315" t="s">
        <v>74</v>
      </c>
      <c r="I315" t="s">
        <v>5155</v>
      </c>
      <c r="J315" t="s">
        <v>77</v>
      </c>
      <c r="K315" t="s">
        <v>74</v>
      </c>
      <c r="L315" t="s">
        <v>74</v>
      </c>
      <c r="M315" t="s">
        <v>78</v>
      </c>
      <c r="N315" t="s">
        <v>79</v>
      </c>
      <c r="O315" t="s">
        <v>74</v>
      </c>
      <c r="P315" t="s">
        <v>74</v>
      </c>
      <c r="Q315" t="s">
        <v>74</v>
      </c>
      <c r="R315" t="s">
        <v>74</v>
      </c>
      <c r="S315" t="s">
        <v>74</v>
      </c>
      <c r="T315" t="s">
        <v>5156</v>
      </c>
      <c r="U315" t="s">
        <v>5157</v>
      </c>
      <c r="V315" t="s">
        <v>5158</v>
      </c>
      <c r="W315" t="s">
        <v>5159</v>
      </c>
      <c r="X315" t="s">
        <v>5160</v>
      </c>
      <c r="Y315" t="s">
        <v>5161</v>
      </c>
      <c r="Z315" t="s">
        <v>5162</v>
      </c>
      <c r="AA315" t="s">
        <v>5163</v>
      </c>
      <c r="AB315" t="s">
        <v>5164</v>
      </c>
      <c r="AC315" t="s">
        <v>5165</v>
      </c>
      <c r="AD315" t="s">
        <v>5166</v>
      </c>
      <c r="AE315" t="s">
        <v>5167</v>
      </c>
      <c r="AF315" t="s">
        <v>74</v>
      </c>
      <c r="AG315">
        <v>45</v>
      </c>
      <c r="AH315">
        <v>12</v>
      </c>
      <c r="AI315">
        <v>13</v>
      </c>
      <c r="AJ315">
        <v>0</v>
      </c>
      <c r="AK315">
        <v>14</v>
      </c>
      <c r="AL315" t="s">
        <v>92</v>
      </c>
      <c r="AM315" t="s">
        <v>93</v>
      </c>
      <c r="AN315" t="s">
        <v>94</v>
      </c>
      <c r="AO315" t="s">
        <v>95</v>
      </c>
      <c r="AP315" t="s">
        <v>96</v>
      </c>
      <c r="AQ315" t="s">
        <v>74</v>
      </c>
      <c r="AR315" t="s">
        <v>97</v>
      </c>
      <c r="AS315" t="s">
        <v>98</v>
      </c>
      <c r="AT315" t="s">
        <v>137</v>
      </c>
      <c r="AU315">
        <v>2019</v>
      </c>
      <c r="AV315">
        <v>64</v>
      </c>
      <c r="AW315">
        <v>21</v>
      </c>
      <c r="AX315" t="s">
        <v>74</v>
      </c>
      <c r="AY315" t="s">
        <v>74</v>
      </c>
      <c r="AZ315" t="s">
        <v>74</v>
      </c>
      <c r="BA315" t="s">
        <v>74</v>
      </c>
      <c r="BB315" t="s">
        <v>74</v>
      </c>
      <c r="BC315" t="s">
        <v>74</v>
      </c>
      <c r="BD315">
        <v>215019</v>
      </c>
      <c r="BE315" t="s">
        <v>5168</v>
      </c>
      <c r="BF315" t="str">
        <f>HYPERLINK("http://dx.doi.org/10.1088/1361-6560/ab4693","http://dx.doi.org/10.1088/1361-6560/ab4693")</f>
        <v>http://dx.doi.org/10.1088/1361-6560/ab4693</v>
      </c>
      <c r="BG315" t="s">
        <v>74</v>
      </c>
      <c r="BH315" t="s">
        <v>74</v>
      </c>
      <c r="BI315">
        <v>10</v>
      </c>
      <c r="BJ315" t="s">
        <v>101</v>
      </c>
      <c r="BK315" t="s">
        <v>102</v>
      </c>
      <c r="BL315" t="s">
        <v>103</v>
      </c>
      <c r="BM315" t="s">
        <v>1625</v>
      </c>
      <c r="BN315">
        <v>31539896</v>
      </c>
      <c r="BO315" t="s">
        <v>74</v>
      </c>
      <c r="BP315" t="s">
        <v>74</v>
      </c>
      <c r="BQ315" t="s">
        <v>74</v>
      </c>
      <c r="BR315" t="s">
        <v>106</v>
      </c>
      <c r="BS315" t="s">
        <v>5169</v>
      </c>
      <c r="BT315" t="str">
        <f>HYPERLINK("https%3A%2F%2Fwww.webofscience.com%2Fwos%2Fwoscc%2Ffull-record%2FWOS:000494858500003","View Full Record in Web of Science")</f>
        <v>View Full Record in Web of Science</v>
      </c>
    </row>
    <row r="316" spans="1:72" x14ac:dyDescent="0.25">
      <c r="A316" t="s">
        <v>72</v>
      </c>
      <c r="B316" t="s">
        <v>5170</v>
      </c>
      <c r="C316" t="s">
        <v>74</v>
      </c>
      <c r="D316" t="s">
        <v>74</v>
      </c>
      <c r="E316" t="s">
        <v>74</v>
      </c>
      <c r="F316" t="s">
        <v>5171</v>
      </c>
      <c r="G316" t="s">
        <v>74</v>
      </c>
      <c r="H316" t="s">
        <v>74</v>
      </c>
      <c r="I316" t="s">
        <v>5172</v>
      </c>
      <c r="J316" t="s">
        <v>77</v>
      </c>
      <c r="K316" t="s">
        <v>74</v>
      </c>
      <c r="L316" t="s">
        <v>74</v>
      </c>
      <c r="M316" t="s">
        <v>78</v>
      </c>
      <c r="N316" t="s">
        <v>79</v>
      </c>
      <c r="O316" t="s">
        <v>74</v>
      </c>
      <c r="P316" t="s">
        <v>74</v>
      </c>
      <c r="Q316" t="s">
        <v>74</v>
      </c>
      <c r="R316" t="s">
        <v>74</v>
      </c>
      <c r="S316" t="s">
        <v>74</v>
      </c>
      <c r="T316" t="s">
        <v>5173</v>
      </c>
      <c r="U316" t="s">
        <v>5174</v>
      </c>
      <c r="V316" t="s">
        <v>5175</v>
      </c>
      <c r="W316" t="s">
        <v>5176</v>
      </c>
      <c r="X316" t="s">
        <v>5177</v>
      </c>
      <c r="Y316" t="s">
        <v>5178</v>
      </c>
      <c r="Z316" t="s">
        <v>5179</v>
      </c>
      <c r="AA316" t="s">
        <v>5180</v>
      </c>
      <c r="AB316" t="s">
        <v>5181</v>
      </c>
      <c r="AC316" t="s">
        <v>5182</v>
      </c>
      <c r="AD316" t="s">
        <v>5183</v>
      </c>
      <c r="AE316" t="s">
        <v>5184</v>
      </c>
      <c r="AF316" t="s">
        <v>74</v>
      </c>
      <c r="AG316">
        <v>70</v>
      </c>
      <c r="AH316">
        <v>16</v>
      </c>
      <c r="AI316">
        <v>18</v>
      </c>
      <c r="AJ316">
        <v>1</v>
      </c>
      <c r="AK316">
        <v>10</v>
      </c>
      <c r="AL316" t="s">
        <v>92</v>
      </c>
      <c r="AM316" t="s">
        <v>93</v>
      </c>
      <c r="AN316" t="s">
        <v>94</v>
      </c>
      <c r="AO316" t="s">
        <v>95</v>
      </c>
      <c r="AP316" t="s">
        <v>96</v>
      </c>
      <c r="AQ316" t="s">
        <v>74</v>
      </c>
      <c r="AR316" t="s">
        <v>97</v>
      </c>
      <c r="AS316" t="s">
        <v>98</v>
      </c>
      <c r="AT316" t="s">
        <v>137</v>
      </c>
      <c r="AU316">
        <v>2019</v>
      </c>
      <c r="AV316">
        <v>64</v>
      </c>
      <c r="AW316">
        <v>21</v>
      </c>
      <c r="AX316" t="s">
        <v>74</v>
      </c>
      <c r="AY316" t="s">
        <v>74</v>
      </c>
      <c r="AZ316" t="s">
        <v>74</v>
      </c>
      <c r="BA316" t="s">
        <v>74</v>
      </c>
      <c r="BB316" t="s">
        <v>74</v>
      </c>
      <c r="BC316" t="s">
        <v>74</v>
      </c>
      <c r="BD316">
        <v>215014</v>
      </c>
      <c r="BE316" t="s">
        <v>5185</v>
      </c>
      <c r="BF316" t="str">
        <f>HYPERLINK("http://dx.doi.org/10.1088/1361-6560/ab43a6","http://dx.doi.org/10.1088/1361-6560/ab43a6")</f>
        <v>http://dx.doi.org/10.1088/1361-6560/ab43a6</v>
      </c>
      <c r="BG316" t="s">
        <v>74</v>
      </c>
      <c r="BH316" t="s">
        <v>74</v>
      </c>
      <c r="BI316">
        <v>17</v>
      </c>
      <c r="BJ316" t="s">
        <v>101</v>
      </c>
      <c r="BK316" t="s">
        <v>102</v>
      </c>
      <c r="BL316" t="s">
        <v>103</v>
      </c>
      <c r="BM316" t="s">
        <v>5186</v>
      </c>
      <c r="BN316">
        <v>31509812</v>
      </c>
      <c r="BO316" t="s">
        <v>105</v>
      </c>
      <c r="BP316" t="s">
        <v>74</v>
      </c>
      <c r="BQ316" t="s">
        <v>74</v>
      </c>
      <c r="BR316" t="s">
        <v>106</v>
      </c>
      <c r="BS316" t="s">
        <v>5187</v>
      </c>
      <c r="BT316" t="str">
        <f>HYPERLINK("https%3A%2F%2Fwww.webofscience.com%2Fwos%2Fwoscc%2Ffull-record%2FWOS:000494489600001","View Full Record in Web of Science")</f>
        <v>View Full Record in Web of Science</v>
      </c>
    </row>
    <row r="317" spans="1:72" x14ac:dyDescent="0.25">
      <c r="A317" t="s">
        <v>72</v>
      </c>
      <c r="B317" t="s">
        <v>5188</v>
      </c>
      <c r="C317" t="s">
        <v>74</v>
      </c>
      <c r="D317" t="s">
        <v>74</v>
      </c>
      <c r="E317" t="s">
        <v>74</v>
      </c>
      <c r="F317" t="s">
        <v>5189</v>
      </c>
      <c r="G317" t="s">
        <v>74</v>
      </c>
      <c r="H317" t="s">
        <v>74</v>
      </c>
      <c r="I317" t="s">
        <v>5190</v>
      </c>
      <c r="J317" t="s">
        <v>77</v>
      </c>
      <c r="K317" t="s">
        <v>74</v>
      </c>
      <c r="L317" t="s">
        <v>74</v>
      </c>
      <c r="M317" t="s">
        <v>78</v>
      </c>
      <c r="N317" t="s">
        <v>79</v>
      </c>
      <c r="O317" t="s">
        <v>74</v>
      </c>
      <c r="P317" t="s">
        <v>74</v>
      </c>
      <c r="Q317" t="s">
        <v>74</v>
      </c>
      <c r="R317" t="s">
        <v>74</v>
      </c>
      <c r="S317" t="s">
        <v>74</v>
      </c>
      <c r="T317" t="s">
        <v>5191</v>
      </c>
      <c r="U317" t="s">
        <v>5192</v>
      </c>
      <c r="V317" t="s">
        <v>5193</v>
      </c>
      <c r="W317" t="s">
        <v>5194</v>
      </c>
      <c r="X317" t="s">
        <v>3473</v>
      </c>
      <c r="Y317" t="s">
        <v>5195</v>
      </c>
      <c r="Z317" t="s">
        <v>5196</v>
      </c>
      <c r="AA317" t="s">
        <v>5197</v>
      </c>
      <c r="AB317" t="s">
        <v>5198</v>
      </c>
      <c r="AC317" t="s">
        <v>5199</v>
      </c>
      <c r="AD317" t="s">
        <v>5200</v>
      </c>
      <c r="AE317" t="s">
        <v>74</v>
      </c>
      <c r="AF317" t="s">
        <v>74</v>
      </c>
      <c r="AG317">
        <v>41</v>
      </c>
      <c r="AH317">
        <v>9</v>
      </c>
      <c r="AI317">
        <v>9</v>
      </c>
      <c r="AJ317">
        <v>1</v>
      </c>
      <c r="AK317">
        <v>9</v>
      </c>
      <c r="AL317" t="s">
        <v>92</v>
      </c>
      <c r="AM317" t="s">
        <v>93</v>
      </c>
      <c r="AN317" t="s">
        <v>94</v>
      </c>
      <c r="AO317" t="s">
        <v>95</v>
      </c>
      <c r="AP317" t="s">
        <v>96</v>
      </c>
      <c r="AQ317" t="s">
        <v>74</v>
      </c>
      <c r="AR317" t="s">
        <v>97</v>
      </c>
      <c r="AS317" t="s">
        <v>98</v>
      </c>
      <c r="AT317" t="s">
        <v>137</v>
      </c>
      <c r="AU317">
        <v>2019</v>
      </c>
      <c r="AV317">
        <v>64</v>
      </c>
      <c r="AW317">
        <v>22</v>
      </c>
      <c r="AX317" t="s">
        <v>74</v>
      </c>
      <c r="AY317" t="s">
        <v>74</v>
      </c>
      <c r="AZ317" t="s">
        <v>74</v>
      </c>
      <c r="BA317" t="s">
        <v>74</v>
      </c>
      <c r="BB317" t="s">
        <v>74</v>
      </c>
      <c r="BC317" t="s">
        <v>74</v>
      </c>
      <c r="BD317">
        <v>225010</v>
      </c>
      <c r="BE317" t="s">
        <v>5201</v>
      </c>
      <c r="BF317" t="str">
        <f>HYPERLINK("http://dx.doi.org/10.1088/1361-6560/ab52a5","http://dx.doi.org/10.1088/1361-6560/ab52a5")</f>
        <v>http://dx.doi.org/10.1088/1361-6560/ab52a5</v>
      </c>
      <c r="BG317" t="s">
        <v>74</v>
      </c>
      <c r="BH317" t="s">
        <v>74</v>
      </c>
      <c r="BI317">
        <v>13</v>
      </c>
      <c r="BJ317" t="s">
        <v>101</v>
      </c>
      <c r="BK317" t="s">
        <v>102</v>
      </c>
      <c r="BL317" t="s">
        <v>103</v>
      </c>
      <c r="BM317" t="s">
        <v>5202</v>
      </c>
      <c r="BN317">
        <v>31665711</v>
      </c>
      <c r="BO317" t="s">
        <v>179</v>
      </c>
      <c r="BP317" t="s">
        <v>74</v>
      </c>
      <c r="BQ317" t="s">
        <v>74</v>
      </c>
      <c r="BR317" t="s">
        <v>106</v>
      </c>
      <c r="BS317" t="s">
        <v>5203</v>
      </c>
      <c r="BT317" t="str">
        <f>HYPERLINK("https%3A%2F%2Fwww.webofscience.com%2Fwos%2Fwoscc%2Ffull-record%2FWOS:000500813200001","View Full Record in Web of Science")</f>
        <v>View Full Record in Web of Science</v>
      </c>
    </row>
    <row r="318" spans="1:72" x14ac:dyDescent="0.25">
      <c r="A318" t="s">
        <v>72</v>
      </c>
      <c r="B318" t="s">
        <v>5204</v>
      </c>
      <c r="C318" t="s">
        <v>74</v>
      </c>
      <c r="D318" t="s">
        <v>74</v>
      </c>
      <c r="E318" t="s">
        <v>74</v>
      </c>
      <c r="F318" t="s">
        <v>5205</v>
      </c>
      <c r="G318" t="s">
        <v>74</v>
      </c>
      <c r="H318" t="s">
        <v>74</v>
      </c>
      <c r="I318" t="s">
        <v>5206</v>
      </c>
      <c r="J318" t="s">
        <v>77</v>
      </c>
      <c r="K318" t="s">
        <v>74</v>
      </c>
      <c r="L318" t="s">
        <v>74</v>
      </c>
      <c r="M318" t="s">
        <v>78</v>
      </c>
      <c r="N318" t="s">
        <v>79</v>
      </c>
      <c r="O318" t="s">
        <v>74</v>
      </c>
      <c r="P318" t="s">
        <v>74</v>
      </c>
      <c r="Q318" t="s">
        <v>74</v>
      </c>
      <c r="R318" t="s">
        <v>74</v>
      </c>
      <c r="S318" t="s">
        <v>74</v>
      </c>
      <c r="T318" t="s">
        <v>5207</v>
      </c>
      <c r="U318" t="s">
        <v>5208</v>
      </c>
      <c r="V318" t="s">
        <v>5209</v>
      </c>
      <c r="W318" t="s">
        <v>5210</v>
      </c>
      <c r="X318" t="s">
        <v>5211</v>
      </c>
      <c r="Y318" t="s">
        <v>5212</v>
      </c>
      <c r="Z318" t="s">
        <v>5213</v>
      </c>
      <c r="AA318" t="s">
        <v>74</v>
      </c>
      <c r="AB318" t="s">
        <v>5214</v>
      </c>
      <c r="AC318" t="s">
        <v>5215</v>
      </c>
      <c r="AD318" t="s">
        <v>416</v>
      </c>
      <c r="AE318" t="s">
        <v>5216</v>
      </c>
      <c r="AF318" t="s">
        <v>74</v>
      </c>
      <c r="AG318">
        <v>48</v>
      </c>
      <c r="AH318">
        <v>4</v>
      </c>
      <c r="AI318">
        <v>4</v>
      </c>
      <c r="AJ318">
        <v>1</v>
      </c>
      <c r="AK318">
        <v>6</v>
      </c>
      <c r="AL318" t="s">
        <v>92</v>
      </c>
      <c r="AM318" t="s">
        <v>93</v>
      </c>
      <c r="AN318" t="s">
        <v>94</v>
      </c>
      <c r="AO318" t="s">
        <v>95</v>
      </c>
      <c r="AP318" t="s">
        <v>96</v>
      </c>
      <c r="AQ318" t="s">
        <v>74</v>
      </c>
      <c r="AR318" t="s">
        <v>97</v>
      </c>
      <c r="AS318" t="s">
        <v>98</v>
      </c>
      <c r="AT318" t="s">
        <v>137</v>
      </c>
      <c r="AU318">
        <v>2019</v>
      </c>
      <c r="AV318">
        <v>64</v>
      </c>
      <c r="AW318">
        <v>22</v>
      </c>
      <c r="AX318" t="s">
        <v>74</v>
      </c>
      <c r="AY318" t="s">
        <v>74</v>
      </c>
      <c r="AZ318" t="s">
        <v>74</v>
      </c>
      <c r="BA318" t="s">
        <v>74</v>
      </c>
      <c r="BB318" t="s">
        <v>74</v>
      </c>
      <c r="BC318" t="s">
        <v>74</v>
      </c>
      <c r="BD318">
        <v>225011</v>
      </c>
      <c r="BE318" t="s">
        <v>5217</v>
      </c>
      <c r="BF318" t="str">
        <f>HYPERLINK("http://dx.doi.org/10.1088/1361-6560/ab52a1","http://dx.doi.org/10.1088/1361-6560/ab52a1")</f>
        <v>http://dx.doi.org/10.1088/1361-6560/ab52a1</v>
      </c>
      <c r="BG318" t="s">
        <v>74</v>
      </c>
      <c r="BH318" t="s">
        <v>74</v>
      </c>
      <c r="BI318">
        <v>13</v>
      </c>
      <c r="BJ318" t="s">
        <v>101</v>
      </c>
      <c r="BK318" t="s">
        <v>102</v>
      </c>
      <c r="BL318" t="s">
        <v>103</v>
      </c>
      <c r="BM318" t="s">
        <v>5218</v>
      </c>
      <c r="BN318">
        <v>31665703</v>
      </c>
      <c r="BO318" t="s">
        <v>105</v>
      </c>
      <c r="BP318" t="s">
        <v>74</v>
      </c>
      <c r="BQ318" t="s">
        <v>74</v>
      </c>
      <c r="BR318" t="s">
        <v>106</v>
      </c>
      <c r="BS318" t="s">
        <v>5219</v>
      </c>
      <c r="BT318" t="str">
        <f>HYPERLINK("https%3A%2F%2Fwww.webofscience.com%2Fwos%2Fwoscc%2Ffull-record%2FWOS:000499916200001","View Full Record in Web of Science")</f>
        <v>View Full Record in Web of Science</v>
      </c>
    </row>
    <row r="319" spans="1:72" x14ac:dyDescent="0.25">
      <c r="A319" t="s">
        <v>72</v>
      </c>
      <c r="B319" t="s">
        <v>5220</v>
      </c>
      <c r="C319" t="s">
        <v>74</v>
      </c>
      <c r="D319" t="s">
        <v>74</v>
      </c>
      <c r="E319" t="s">
        <v>74</v>
      </c>
      <c r="F319" t="s">
        <v>5221</v>
      </c>
      <c r="G319" t="s">
        <v>74</v>
      </c>
      <c r="H319" t="s">
        <v>74</v>
      </c>
      <c r="I319" t="s">
        <v>5222</v>
      </c>
      <c r="J319" t="s">
        <v>77</v>
      </c>
      <c r="K319" t="s">
        <v>74</v>
      </c>
      <c r="L319" t="s">
        <v>74</v>
      </c>
      <c r="M319" t="s">
        <v>78</v>
      </c>
      <c r="N319" t="s">
        <v>79</v>
      </c>
      <c r="O319" t="s">
        <v>74</v>
      </c>
      <c r="P319" t="s">
        <v>74</v>
      </c>
      <c r="Q319" t="s">
        <v>74</v>
      </c>
      <c r="R319" t="s">
        <v>74</v>
      </c>
      <c r="S319" t="s">
        <v>74</v>
      </c>
      <c r="T319" t="s">
        <v>5223</v>
      </c>
      <c r="U319" t="s">
        <v>5224</v>
      </c>
      <c r="V319" t="s">
        <v>5225</v>
      </c>
      <c r="W319" t="s">
        <v>5226</v>
      </c>
      <c r="X319" t="s">
        <v>3284</v>
      </c>
      <c r="Y319" t="s">
        <v>5227</v>
      </c>
      <c r="Z319" t="s">
        <v>5228</v>
      </c>
      <c r="AA319" t="s">
        <v>5229</v>
      </c>
      <c r="AB319" t="s">
        <v>5230</v>
      </c>
      <c r="AC319" t="s">
        <v>5231</v>
      </c>
      <c r="AD319" t="s">
        <v>3241</v>
      </c>
      <c r="AE319" t="s">
        <v>5232</v>
      </c>
      <c r="AF319" t="s">
        <v>74</v>
      </c>
      <c r="AG319">
        <v>52</v>
      </c>
      <c r="AH319">
        <v>36</v>
      </c>
      <c r="AI319">
        <v>37</v>
      </c>
      <c r="AJ319">
        <v>0</v>
      </c>
      <c r="AK319">
        <v>5</v>
      </c>
      <c r="AL319" t="s">
        <v>92</v>
      </c>
      <c r="AM319" t="s">
        <v>93</v>
      </c>
      <c r="AN319" t="s">
        <v>94</v>
      </c>
      <c r="AO319" t="s">
        <v>95</v>
      </c>
      <c r="AP319" t="s">
        <v>96</v>
      </c>
      <c r="AQ319" t="s">
        <v>74</v>
      </c>
      <c r="AR319" t="s">
        <v>97</v>
      </c>
      <c r="AS319" t="s">
        <v>98</v>
      </c>
      <c r="AT319" t="s">
        <v>509</v>
      </c>
      <c r="AU319">
        <v>2019</v>
      </c>
      <c r="AV319">
        <v>64</v>
      </c>
      <c r="AW319">
        <v>20</v>
      </c>
      <c r="AX319" t="s">
        <v>74</v>
      </c>
      <c r="AY319" t="s">
        <v>74</v>
      </c>
      <c r="AZ319" t="s">
        <v>74</v>
      </c>
      <c r="BA319" t="s">
        <v>74</v>
      </c>
      <c r="BB319" t="s">
        <v>74</v>
      </c>
      <c r="BC319" t="s">
        <v>74</v>
      </c>
      <c r="BD319">
        <v>205011</v>
      </c>
      <c r="BE319" t="s">
        <v>5233</v>
      </c>
      <c r="BF319" t="str">
        <f>HYPERLINK("http://dx.doi.org/10.1088/1361-6560/ab4540","http://dx.doi.org/10.1088/1361-6560/ab4540")</f>
        <v>http://dx.doi.org/10.1088/1361-6560/ab4540</v>
      </c>
      <c r="BG319" t="s">
        <v>74</v>
      </c>
      <c r="BH319" t="s">
        <v>74</v>
      </c>
      <c r="BI319">
        <v>12</v>
      </c>
      <c r="BJ319" t="s">
        <v>101</v>
      </c>
      <c r="BK319" t="s">
        <v>102</v>
      </c>
      <c r="BL319" t="s">
        <v>103</v>
      </c>
      <c r="BM319" t="s">
        <v>741</v>
      </c>
      <c r="BN319">
        <v>31530763</v>
      </c>
      <c r="BO319" t="s">
        <v>140</v>
      </c>
      <c r="BP319" t="s">
        <v>74</v>
      </c>
      <c r="BQ319" t="s">
        <v>74</v>
      </c>
      <c r="BR319" t="s">
        <v>106</v>
      </c>
      <c r="BS319" t="s">
        <v>5234</v>
      </c>
      <c r="BT319" t="str">
        <f>HYPERLINK("https%3A%2F%2Fwww.webofscience.com%2Fwos%2Fwoscc%2Ffull-record%2FWOS:000500247900011","View Full Record in Web of Science")</f>
        <v>View Full Record in Web of Science</v>
      </c>
    </row>
    <row r="320" spans="1:72" x14ac:dyDescent="0.25">
      <c r="A320" t="s">
        <v>72</v>
      </c>
      <c r="B320" t="s">
        <v>5235</v>
      </c>
      <c r="C320" t="s">
        <v>74</v>
      </c>
      <c r="D320" t="s">
        <v>74</v>
      </c>
      <c r="E320" t="s">
        <v>74</v>
      </c>
      <c r="F320" t="s">
        <v>5236</v>
      </c>
      <c r="G320" t="s">
        <v>74</v>
      </c>
      <c r="H320" t="s">
        <v>74</v>
      </c>
      <c r="I320" t="s">
        <v>5237</v>
      </c>
      <c r="J320" t="s">
        <v>77</v>
      </c>
      <c r="K320" t="s">
        <v>74</v>
      </c>
      <c r="L320" t="s">
        <v>74</v>
      </c>
      <c r="M320" t="s">
        <v>78</v>
      </c>
      <c r="N320" t="s">
        <v>79</v>
      </c>
      <c r="O320" t="s">
        <v>74</v>
      </c>
      <c r="P320" t="s">
        <v>74</v>
      </c>
      <c r="Q320" t="s">
        <v>74</v>
      </c>
      <c r="R320" t="s">
        <v>74</v>
      </c>
      <c r="S320" t="s">
        <v>74</v>
      </c>
      <c r="T320" t="s">
        <v>5238</v>
      </c>
      <c r="U320" t="s">
        <v>5239</v>
      </c>
      <c r="V320" t="s">
        <v>5240</v>
      </c>
      <c r="W320" t="s">
        <v>5241</v>
      </c>
      <c r="X320" t="s">
        <v>5242</v>
      </c>
      <c r="Y320" t="s">
        <v>3445</v>
      </c>
      <c r="Z320" t="s">
        <v>5243</v>
      </c>
      <c r="AA320" t="s">
        <v>5244</v>
      </c>
      <c r="AB320" t="s">
        <v>5245</v>
      </c>
      <c r="AC320" t="s">
        <v>74</v>
      </c>
      <c r="AD320" t="s">
        <v>74</v>
      </c>
      <c r="AE320" t="s">
        <v>74</v>
      </c>
      <c r="AF320" t="s">
        <v>74</v>
      </c>
      <c r="AG320">
        <v>54</v>
      </c>
      <c r="AH320">
        <v>23</v>
      </c>
      <c r="AI320">
        <v>23</v>
      </c>
      <c r="AJ320">
        <v>1</v>
      </c>
      <c r="AK320">
        <v>15</v>
      </c>
      <c r="AL320" t="s">
        <v>92</v>
      </c>
      <c r="AM320" t="s">
        <v>93</v>
      </c>
      <c r="AN320" t="s">
        <v>94</v>
      </c>
      <c r="AO320" t="s">
        <v>95</v>
      </c>
      <c r="AP320" t="s">
        <v>96</v>
      </c>
      <c r="AQ320" t="s">
        <v>74</v>
      </c>
      <c r="AR320" t="s">
        <v>97</v>
      </c>
      <c r="AS320" t="s">
        <v>98</v>
      </c>
      <c r="AT320" t="s">
        <v>176</v>
      </c>
      <c r="AU320">
        <v>2019</v>
      </c>
      <c r="AV320">
        <v>64</v>
      </c>
      <c r="AW320">
        <v>17</v>
      </c>
      <c r="AX320" t="s">
        <v>74</v>
      </c>
      <c r="AY320" t="s">
        <v>74</v>
      </c>
      <c r="AZ320" t="s">
        <v>74</v>
      </c>
      <c r="BA320" t="s">
        <v>74</v>
      </c>
      <c r="BB320" t="s">
        <v>74</v>
      </c>
      <c r="BC320" t="s">
        <v>74</v>
      </c>
      <c r="BD320">
        <v>175017</v>
      </c>
      <c r="BE320" t="s">
        <v>5246</v>
      </c>
      <c r="BF320" t="str">
        <f>HYPERLINK("http://dx.doi.org/10.1088/1361-6560/ab2f5d","http://dx.doi.org/10.1088/1361-6560/ab2f5d")</f>
        <v>http://dx.doi.org/10.1088/1361-6560/ab2f5d</v>
      </c>
      <c r="BG320" t="s">
        <v>74</v>
      </c>
      <c r="BH320" t="s">
        <v>74</v>
      </c>
      <c r="BI320">
        <v>14</v>
      </c>
      <c r="BJ320" t="s">
        <v>101</v>
      </c>
      <c r="BK320" t="s">
        <v>102</v>
      </c>
      <c r="BL320" t="s">
        <v>103</v>
      </c>
      <c r="BM320" t="s">
        <v>178</v>
      </c>
      <c r="BN320">
        <v>31272088</v>
      </c>
      <c r="BO320" t="s">
        <v>74</v>
      </c>
      <c r="BP320" t="s">
        <v>74</v>
      </c>
      <c r="BQ320" t="s">
        <v>74</v>
      </c>
      <c r="BR320" t="s">
        <v>106</v>
      </c>
      <c r="BS320" t="s">
        <v>5247</v>
      </c>
      <c r="BT320" t="str">
        <f>HYPERLINK("https%3A%2F%2Fwww.webofscience.com%2Fwos%2Fwoscc%2Ffull-record%2FWOS:000484728400002","View Full Record in Web of Science")</f>
        <v>View Full Record in Web of Science</v>
      </c>
    </row>
    <row r="321" spans="1:72" x14ac:dyDescent="0.25">
      <c r="A321" t="s">
        <v>72</v>
      </c>
      <c r="B321" t="s">
        <v>5248</v>
      </c>
      <c r="C321" t="s">
        <v>74</v>
      </c>
      <c r="D321" t="s">
        <v>74</v>
      </c>
      <c r="E321" t="s">
        <v>74</v>
      </c>
      <c r="F321" t="s">
        <v>5249</v>
      </c>
      <c r="G321" t="s">
        <v>74</v>
      </c>
      <c r="H321" t="s">
        <v>74</v>
      </c>
      <c r="I321" t="s">
        <v>5250</v>
      </c>
      <c r="J321" t="s">
        <v>77</v>
      </c>
      <c r="K321" t="s">
        <v>74</v>
      </c>
      <c r="L321" t="s">
        <v>74</v>
      </c>
      <c r="M321" t="s">
        <v>78</v>
      </c>
      <c r="N321" t="s">
        <v>79</v>
      </c>
      <c r="O321" t="s">
        <v>74</v>
      </c>
      <c r="P321" t="s">
        <v>74</v>
      </c>
      <c r="Q321" t="s">
        <v>74</v>
      </c>
      <c r="R321" t="s">
        <v>74</v>
      </c>
      <c r="S321" t="s">
        <v>74</v>
      </c>
      <c r="T321" t="s">
        <v>5251</v>
      </c>
      <c r="U321" t="s">
        <v>5252</v>
      </c>
      <c r="V321" t="s">
        <v>5253</v>
      </c>
      <c r="W321" t="s">
        <v>5254</v>
      </c>
      <c r="X321" t="s">
        <v>5255</v>
      </c>
      <c r="Y321" t="s">
        <v>5256</v>
      </c>
      <c r="Z321" t="s">
        <v>5257</v>
      </c>
      <c r="AA321" t="s">
        <v>5258</v>
      </c>
      <c r="AB321" t="s">
        <v>5259</v>
      </c>
      <c r="AC321" t="s">
        <v>5260</v>
      </c>
      <c r="AD321" t="s">
        <v>5261</v>
      </c>
      <c r="AE321" t="s">
        <v>5262</v>
      </c>
      <c r="AF321" t="s">
        <v>74</v>
      </c>
      <c r="AG321">
        <v>46</v>
      </c>
      <c r="AH321">
        <v>105</v>
      </c>
      <c r="AI321">
        <v>112</v>
      </c>
      <c r="AJ321">
        <v>2</v>
      </c>
      <c r="AK321">
        <v>44</v>
      </c>
      <c r="AL321" t="s">
        <v>157</v>
      </c>
      <c r="AM321" t="s">
        <v>93</v>
      </c>
      <c r="AN321" t="s">
        <v>94</v>
      </c>
      <c r="AO321" t="s">
        <v>95</v>
      </c>
      <c r="AP321" t="s">
        <v>96</v>
      </c>
      <c r="AQ321" t="s">
        <v>74</v>
      </c>
      <c r="AR321" t="s">
        <v>97</v>
      </c>
      <c r="AS321" t="s">
        <v>98</v>
      </c>
      <c r="AT321" t="s">
        <v>196</v>
      </c>
      <c r="AU321">
        <v>2019</v>
      </c>
      <c r="AV321">
        <v>64</v>
      </c>
      <c r="AW321">
        <v>16</v>
      </c>
      <c r="AX321" t="s">
        <v>74</v>
      </c>
      <c r="AY321" t="s">
        <v>74</v>
      </c>
      <c r="AZ321" t="s">
        <v>74</v>
      </c>
      <c r="BA321" t="s">
        <v>74</v>
      </c>
      <c r="BB321" t="s">
        <v>74</v>
      </c>
      <c r="BC321" t="s">
        <v>74</v>
      </c>
      <c r="BD321">
        <v>165019</v>
      </c>
      <c r="BE321" t="s">
        <v>5263</v>
      </c>
      <c r="BF321" t="str">
        <f>HYPERLINK("http://dx.doi.org/10.1088/1361-6560/ab3242","http://dx.doi.org/10.1088/1361-6560/ab3242")</f>
        <v>http://dx.doi.org/10.1088/1361-6560/ab3242</v>
      </c>
      <c r="BG321" t="s">
        <v>74</v>
      </c>
      <c r="BH321" t="s">
        <v>74</v>
      </c>
      <c r="BI321">
        <v>18</v>
      </c>
      <c r="BJ321" t="s">
        <v>101</v>
      </c>
      <c r="BK321" t="s">
        <v>102</v>
      </c>
      <c r="BL321" t="s">
        <v>103</v>
      </c>
      <c r="BM321" t="s">
        <v>2045</v>
      </c>
      <c r="BN321">
        <v>31307019</v>
      </c>
      <c r="BO321" t="s">
        <v>74</v>
      </c>
      <c r="BP321" t="s">
        <v>74</v>
      </c>
      <c r="BQ321" t="s">
        <v>74</v>
      </c>
      <c r="BR321" t="s">
        <v>106</v>
      </c>
      <c r="BS321" t="s">
        <v>5264</v>
      </c>
      <c r="BT321" t="str">
        <f>HYPERLINK("https%3A%2F%2Fwww.webofscience.com%2Fwos%2Fwoscc%2Ffull-record%2FWOS:000482525700010","View Full Record in Web of Science")</f>
        <v>View Full Record in Web of Science</v>
      </c>
    </row>
    <row r="322" spans="1:72" x14ac:dyDescent="0.25">
      <c r="A322" t="s">
        <v>72</v>
      </c>
      <c r="B322" t="s">
        <v>5265</v>
      </c>
      <c r="C322" t="s">
        <v>74</v>
      </c>
      <c r="D322" t="s">
        <v>74</v>
      </c>
      <c r="E322" t="s">
        <v>74</v>
      </c>
      <c r="F322" t="s">
        <v>5266</v>
      </c>
      <c r="G322" t="s">
        <v>74</v>
      </c>
      <c r="H322" t="s">
        <v>74</v>
      </c>
      <c r="I322" t="s">
        <v>5267</v>
      </c>
      <c r="J322" t="s">
        <v>77</v>
      </c>
      <c r="K322" t="s">
        <v>74</v>
      </c>
      <c r="L322" t="s">
        <v>74</v>
      </c>
      <c r="M322" t="s">
        <v>78</v>
      </c>
      <c r="N322" t="s">
        <v>79</v>
      </c>
      <c r="O322" t="s">
        <v>74</v>
      </c>
      <c r="P322" t="s">
        <v>74</v>
      </c>
      <c r="Q322" t="s">
        <v>74</v>
      </c>
      <c r="R322" t="s">
        <v>74</v>
      </c>
      <c r="S322" t="s">
        <v>74</v>
      </c>
      <c r="T322" t="s">
        <v>5268</v>
      </c>
      <c r="U322" t="s">
        <v>5269</v>
      </c>
      <c r="V322" t="s">
        <v>5270</v>
      </c>
      <c r="W322" t="s">
        <v>5271</v>
      </c>
      <c r="X322" t="s">
        <v>5272</v>
      </c>
      <c r="Y322" t="s">
        <v>5273</v>
      </c>
      <c r="Z322" t="s">
        <v>603</v>
      </c>
      <c r="AA322" t="s">
        <v>5274</v>
      </c>
      <c r="AB322" t="s">
        <v>5275</v>
      </c>
      <c r="AC322" t="s">
        <v>5276</v>
      </c>
      <c r="AD322" t="s">
        <v>5277</v>
      </c>
      <c r="AE322" t="s">
        <v>5278</v>
      </c>
      <c r="AF322" t="s">
        <v>74</v>
      </c>
      <c r="AG322">
        <v>52</v>
      </c>
      <c r="AH322">
        <v>17</v>
      </c>
      <c r="AI322">
        <v>17</v>
      </c>
      <c r="AJ322">
        <v>0</v>
      </c>
      <c r="AK322">
        <v>24</v>
      </c>
      <c r="AL322" t="s">
        <v>92</v>
      </c>
      <c r="AM322" t="s">
        <v>93</v>
      </c>
      <c r="AN322" t="s">
        <v>94</v>
      </c>
      <c r="AO322" t="s">
        <v>95</v>
      </c>
      <c r="AP322" t="s">
        <v>96</v>
      </c>
      <c r="AQ322" t="s">
        <v>74</v>
      </c>
      <c r="AR322" t="s">
        <v>97</v>
      </c>
      <c r="AS322" t="s">
        <v>98</v>
      </c>
      <c r="AT322" t="s">
        <v>196</v>
      </c>
      <c r="AU322">
        <v>2019</v>
      </c>
      <c r="AV322">
        <v>64</v>
      </c>
      <c r="AW322">
        <v>16</v>
      </c>
      <c r="AX322" t="s">
        <v>74</v>
      </c>
      <c r="AY322" t="s">
        <v>74</v>
      </c>
      <c r="AZ322" t="s">
        <v>74</v>
      </c>
      <c r="BA322" t="s">
        <v>74</v>
      </c>
      <c r="BB322" t="s">
        <v>74</v>
      </c>
      <c r="BC322" t="s">
        <v>74</v>
      </c>
      <c r="BD322">
        <v>165021</v>
      </c>
      <c r="BE322" t="s">
        <v>5279</v>
      </c>
      <c r="BF322" t="str">
        <f>HYPERLINK("http://dx.doi.org/10.1088/1361-6560/ab3036","http://dx.doi.org/10.1088/1361-6560/ab3036")</f>
        <v>http://dx.doi.org/10.1088/1361-6560/ab3036</v>
      </c>
      <c r="BG322" t="s">
        <v>74</v>
      </c>
      <c r="BH322" t="s">
        <v>74</v>
      </c>
      <c r="BI322">
        <v>13</v>
      </c>
      <c r="BJ322" t="s">
        <v>101</v>
      </c>
      <c r="BK322" t="s">
        <v>102</v>
      </c>
      <c r="BL322" t="s">
        <v>103</v>
      </c>
      <c r="BM322" t="s">
        <v>2045</v>
      </c>
      <c r="BN322">
        <v>31287092</v>
      </c>
      <c r="BO322" t="s">
        <v>105</v>
      </c>
      <c r="BP322" t="s">
        <v>74</v>
      </c>
      <c r="BQ322" t="s">
        <v>74</v>
      </c>
      <c r="BR322" t="s">
        <v>106</v>
      </c>
      <c r="BS322" t="s">
        <v>5280</v>
      </c>
      <c r="BT322" t="str">
        <f>HYPERLINK("https%3A%2F%2Fwww.webofscience.com%2Fwos%2Fwoscc%2Ffull-record%2FWOS:000482525700012","View Full Record in Web of Science")</f>
        <v>View Full Record in Web of Science</v>
      </c>
    </row>
    <row r="323" spans="1:72" x14ac:dyDescent="0.25">
      <c r="A323" t="s">
        <v>72</v>
      </c>
      <c r="B323" t="s">
        <v>5281</v>
      </c>
      <c r="C323" t="s">
        <v>74</v>
      </c>
      <c r="D323" t="s">
        <v>74</v>
      </c>
      <c r="E323" t="s">
        <v>74</v>
      </c>
      <c r="F323" t="s">
        <v>5282</v>
      </c>
      <c r="G323" t="s">
        <v>74</v>
      </c>
      <c r="H323" t="s">
        <v>74</v>
      </c>
      <c r="I323" t="s">
        <v>5283</v>
      </c>
      <c r="J323" t="s">
        <v>77</v>
      </c>
      <c r="K323" t="s">
        <v>74</v>
      </c>
      <c r="L323" t="s">
        <v>74</v>
      </c>
      <c r="M323" t="s">
        <v>78</v>
      </c>
      <c r="N323" t="s">
        <v>79</v>
      </c>
      <c r="O323" t="s">
        <v>74</v>
      </c>
      <c r="P323" t="s">
        <v>74</v>
      </c>
      <c r="Q323" t="s">
        <v>74</v>
      </c>
      <c r="R323" t="s">
        <v>74</v>
      </c>
      <c r="S323" t="s">
        <v>74</v>
      </c>
      <c r="T323" t="s">
        <v>5284</v>
      </c>
      <c r="U323" t="s">
        <v>5285</v>
      </c>
      <c r="V323" t="s">
        <v>5286</v>
      </c>
      <c r="W323" t="s">
        <v>5287</v>
      </c>
      <c r="X323" t="s">
        <v>5288</v>
      </c>
      <c r="Y323" t="s">
        <v>5289</v>
      </c>
      <c r="Z323" t="s">
        <v>5290</v>
      </c>
      <c r="AA323" t="s">
        <v>5291</v>
      </c>
      <c r="AB323" t="s">
        <v>5292</v>
      </c>
      <c r="AC323" t="s">
        <v>5293</v>
      </c>
      <c r="AD323" t="s">
        <v>5294</v>
      </c>
      <c r="AE323" t="s">
        <v>5295</v>
      </c>
      <c r="AF323" t="s">
        <v>74</v>
      </c>
      <c r="AG323">
        <v>58</v>
      </c>
      <c r="AH323">
        <v>2</v>
      </c>
      <c r="AI323">
        <v>2</v>
      </c>
      <c r="AJ323">
        <v>1</v>
      </c>
      <c r="AK323">
        <v>6</v>
      </c>
      <c r="AL323" t="s">
        <v>92</v>
      </c>
      <c r="AM323" t="s">
        <v>93</v>
      </c>
      <c r="AN323" t="s">
        <v>94</v>
      </c>
      <c r="AO323" t="s">
        <v>95</v>
      </c>
      <c r="AP323" t="s">
        <v>96</v>
      </c>
      <c r="AQ323" t="s">
        <v>74</v>
      </c>
      <c r="AR323" t="s">
        <v>97</v>
      </c>
      <c r="AS323" t="s">
        <v>98</v>
      </c>
      <c r="AT323" t="s">
        <v>214</v>
      </c>
      <c r="AU323">
        <v>2019</v>
      </c>
      <c r="AV323">
        <v>64</v>
      </c>
      <c r="AW323">
        <v>14</v>
      </c>
      <c r="AX323" t="s">
        <v>74</v>
      </c>
      <c r="AY323" t="s">
        <v>74</v>
      </c>
      <c r="AZ323" t="s">
        <v>74</v>
      </c>
      <c r="BA323" t="s">
        <v>74</v>
      </c>
      <c r="BB323" t="s">
        <v>74</v>
      </c>
      <c r="BC323" t="s">
        <v>74</v>
      </c>
      <c r="BD323">
        <v>145005</v>
      </c>
      <c r="BE323" t="s">
        <v>5296</v>
      </c>
      <c r="BF323" t="str">
        <f>HYPERLINK("http://dx.doi.org/10.1088/1361-6560/ab239e","http://dx.doi.org/10.1088/1361-6560/ab239e")</f>
        <v>http://dx.doi.org/10.1088/1361-6560/ab239e</v>
      </c>
      <c r="BG323" t="s">
        <v>74</v>
      </c>
      <c r="BH323" t="s">
        <v>74</v>
      </c>
      <c r="BI323">
        <v>16</v>
      </c>
      <c r="BJ323" t="s">
        <v>101</v>
      </c>
      <c r="BK323" t="s">
        <v>102</v>
      </c>
      <c r="BL323" t="s">
        <v>103</v>
      </c>
      <c r="BM323" t="s">
        <v>529</v>
      </c>
      <c r="BN323">
        <v>31117058</v>
      </c>
      <c r="BO323" t="s">
        <v>179</v>
      </c>
      <c r="BP323" t="s">
        <v>74</v>
      </c>
      <c r="BQ323" t="s">
        <v>74</v>
      </c>
      <c r="BR323" t="s">
        <v>106</v>
      </c>
      <c r="BS323" t="s">
        <v>5297</v>
      </c>
      <c r="BT323" t="str">
        <f>HYPERLINK("https%3A%2F%2Fwww.webofscience.com%2Fwos%2Fwoscc%2Ffull-record%2FWOS:000475378800005","View Full Record in Web of Science")</f>
        <v>View Full Record in Web of Science</v>
      </c>
    </row>
    <row r="324" spans="1:72" x14ac:dyDescent="0.25">
      <c r="A324" t="s">
        <v>72</v>
      </c>
      <c r="B324" t="s">
        <v>5298</v>
      </c>
      <c r="C324" t="s">
        <v>74</v>
      </c>
      <c r="D324" t="s">
        <v>74</v>
      </c>
      <c r="E324" t="s">
        <v>74</v>
      </c>
      <c r="F324" t="s">
        <v>5299</v>
      </c>
      <c r="G324" t="s">
        <v>74</v>
      </c>
      <c r="H324" t="s">
        <v>74</v>
      </c>
      <c r="I324" t="s">
        <v>5300</v>
      </c>
      <c r="J324" t="s">
        <v>77</v>
      </c>
      <c r="K324" t="s">
        <v>74</v>
      </c>
      <c r="L324" t="s">
        <v>74</v>
      </c>
      <c r="M324" t="s">
        <v>78</v>
      </c>
      <c r="N324" t="s">
        <v>79</v>
      </c>
      <c r="O324" t="s">
        <v>74</v>
      </c>
      <c r="P324" t="s">
        <v>74</v>
      </c>
      <c r="Q324" t="s">
        <v>74</v>
      </c>
      <c r="R324" t="s">
        <v>74</v>
      </c>
      <c r="S324" t="s">
        <v>74</v>
      </c>
      <c r="T324" t="s">
        <v>5301</v>
      </c>
      <c r="U324" t="s">
        <v>5302</v>
      </c>
      <c r="V324" t="s">
        <v>5303</v>
      </c>
      <c r="W324" t="s">
        <v>5304</v>
      </c>
      <c r="X324" t="s">
        <v>5305</v>
      </c>
      <c r="Y324" t="s">
        <v>5306</v>
      </c>
      <c r="Z324" t="s">
        <v>5307</v>
      </c>
      <c r="AA324" t="s">
        <v>5308</v>
      </c>
      <c r="AB324" t="s">
        <v>5309</v>
      </c>
      <c r="AC324" t="s">
        <v>5310</v>
      </c>
      <c r="AD324" t="s">
        <v>5311</v>
      </c>
      <c r="AE324" t="s">
        <v>5312</v>
      </c>
      <c r="AF324" t="s">
        <v>74</v>
      </c>
      <c r="AG324">
        <v>30</v>
      </c>
      <c r="AH324">
        <v>1</v>
      </c>
      <c r="AI324">
        <v>1</v>
      </c>
      <c r="AJ324">
        <v>0</v>
      </c>
      <c r="AK324">
        <v>2</v>
      </c>
      <c r="AL324" t="s">
        <v>92</v>
      </c>
      <c r="AM324" t="s">
        <v>93</v>
      </c>
      <c r="AN324" t="s">
        <v>94</v>
      </c>
      <c r="AO324" t="s">
        <v>95</v>
      </c>
      <c r="AP324" t="s">
        <v>96</v>
      </c>
      <c r="AQ324" t="s">
        <v>74</v>
      </c>
      <c r="AR324" t="s">
        <v>97</v>
      </c>
      <c r="AS324" t="s">
        <v>98</v>
      </c>
      <c r="AT324" t="s">
        <v>250</v>
      </c>
      <c r="AU324">
        <v>2019</v>
      </c>
      <c r="AV324">
        <v>64</v>
      </c>
      <c r="AW324">
        <v>11</v>
      </c>
      <c r="AX324" t="s">
        <v>74</v>
      </c>
      <c r="AY324" t="s">
        <v>74</v>
      </c>
      <c r="AZ324" t="s">
        <v>74</v>
      </c>
      <c r="BA324" t="s">
        <v>74</v>
      </c>
      <c r="BB324" t="s">
        <v>74</v>
      </c>
      <c r="BC324" t="s">
        <v>74</v>
      </c>
      <c r="BD324">
        <v>115026</v>
      </c>
      <c r="BE324" t="s">
        <v>5313</v>
      </c>
      <c r="BF324" t="str">
        <f>HYPERLINK("http://dx.doi.org/10.1088/1361-6560/ab21f8","http://dx.doi.org/10.1088/1361-6560/ab21f8")</f>
        <v>http://dx.doi.org/10.1088/1361-6560/ab21f8</v>
      </c>
      <c r="BG324" t="s">
        <v>74</v>
      </c>
      <c r="BH324" t="s">
        <v>74</v>
      </c>
      <c r="BI324">
        <v>10</v>
      </c>
      <c r="BJ324" t="s">
        <v>101</v>
      </c>
      <c r="BK324" t="s">
        <v>102</v>
      </c>
      <c r="BL324" t="s">
        <v>103</v>
      </c>
      <c r="BM324" t="s">
        <v>2107</v>
      </c>
      <c r="BN324">
        <v>31096199</v>
      </c>
      <c r="BO324" t="s">
        <v>270</v>
      </c>
      <c r="BP324" t="s">
        <v>74</v>
      </c>
      <c r="BQ324" t="s">
        <v>74</v>
      </c>
      <c r="BR324" t="s">
        <v>106</v>
      </c>
      <c r="BS324" t="s">
        <v>5314</v>
      </c>
      <c r="BT324" t="str">
        <f>HYPERLINK("https%3A%2F%2Fwww.webofscience.com%2Fwos%2Fwoscc%2Ffull-record%2FWOS:000470808600001","View Full Record in Web of Science")</f>
        <v>View Full Record in Web of Science</v>
      </c>
    </row>
    <row r="325" spans="1:72" x14ac:dyDescent="0.25">
      <c r="A325" t="s">
        <v>72</v>
      </c>
      <c r="B325" t="s">
        <v>5315</v>
      </c>
      <c r="C325" t="s">
        <v>74</v>
      </c>
      <c r="D325" t="s">
        <v>74</v>
      </c>
      <c r="E325" t="s">
        <v>74</v>
      </c>
      <c r="F325" t="s">
        <v>5316</v>
      </c>
      <c r="G325" t="s">
        <v>74</v>
      </c>
      <c r="H325" t="s">
        <v>74</v>
      </c>
      <c r="I325" t="s">
        <v>5317</v>
      </c>
      <c r="J325" t="s">
        <v>77</v>
      </c>
      <c r="K325" t="s">
        <v>74</v>
      </c>
      <c r="L325" t="s">
        <v>74</v>
      </c>
      <c r="M325" t="s">
        <v>78</v>
      </c>
      <c r="N325" t="s">
        <v>79</v>
      </c>
      <c r="O325" t="s">
        <v>74</v>
      </c>
      <c r="P325" t="s">
        <v>74</v>
      </c>
      <c r="Q325" t="s">
        <v>74</v>
      </c>
      <c r="R325" t="s">
        <v>74</v>
      </c>
      <c r="S325" t="s">
        <v>74</v>
      </c>
      <c r="T325" t="s">
        <v>5318</v>
      </c>
      <c r="U325" t="s">
        <v>5319</v>
      </c>
      <c r="V325" t="s">
        <v>5320</v>
      </c>
      <c r="W325" t="s">
        <v>5321</v>
      </c>
      <c r="X325" t="s">
        <v>5322</v>
      </c>
      <c r="Y325" t="s">
        <v>5323</v>
      </c>
      <c r="Z325" t="s">
        <v>5324</v>
      </c>
      <c r="AA325" t="s">
        <v>5325</v>
      </c>
      <c r="AB325" t="s">
        <v>5326</v>
      </c>
      <c r="AC325" t="s">
        <v>74</v>
      </c>
      <c r="AD325" t="s">
        <v>74</v>
      </c>
      <c r="AE325" t="s">
        <v>74</v>
      </c>
      <c r="AF325" t="s">
        <v>74</v>
      </c>
      <c r="AG325">
        <v>34</v>
      </c>
      <c r="AH325">
        <v>39</v>
      </c>
      <c r="AI325">
        <v>40</v>
      </c>
      <c r="AJ325">
        <v>1</v>
      </c>
      <c r="AK325">
        <v>15</v>
      </c>
      <c r="AL325" t="s">
        <v>92</v>
      </c>
      <c r="AM325" t="s">
        <v>93</v>
      </c>
      <c r="AN325" t="s">
        <v>94</v>
      </c>
      <c r="AO325" t="s">
        <v>95</v>
      </c>
      <c r="AP325" t="s">
        <v>96</v>
      </c>
      <c r="AQ325" t="s">
        <v>74</v>
      </c>
      <c r="AR325" t="s">
        <v>97</v>
      </c>
      <c r="AS325" t="s">
        <v>98</v>
      </c>
      <c r="AT325" t="s">
        <v>370</v>
      </c>
      <c r="AU325">
        <v>2019</v>
      </c>
      <c r="AV325">
        <v>64</v>
      </c>
      <c r="AW325">
        <v>9</v>
      </c>
      <c r="AX325" t="s">
        <v>74</v>
      </c>
      <c r="AY325" t="s">
        <v>74</v>
      </c>
      <c r="AZ325" t="s">
        <v>74</v>
      </c>
      <c r="BA325" t="s">
        <v>74</v>
      </c>
      <c r="BB325" t="s">
        <v>74</v>
      </c>
      <c r="BC325" t="s">
        <v>74</v>
      </c>
      <c r="BD325">
        <v>95014</v>
      </c>
      <c r="BE325" t="s">
        <v>5327</v>
      </c>
      <c r="BF325" t="str">
        <f>HYPERLINK("http://dx.doi.org/10.1088/1361-6560/ab18b2","http://dx.doi.org/10.1088/1361-6560/ab18b2")</f>
        <v>http://dx.doi.org/10.1088/1361-6560/ab18b2</v>
      </c>
      <c r="BG325" t="s">
        <v>74</v>
      </c>
      <c r="BH325" t="s">
        <v>74</v>
      </c>
      <c r="BI325">
        <v>11</v>
      </c>
      <c r="BJ325" t="s">
        <v>101</v>
      </c>
      <c r="BK325" t="s">
        <v>102</v>
      </c>
      <c r="BL325" t="s">
        <v>103</v>
      </c>
      <c r="BM325" t="s">
        <v>372</v>
      </c>
      <c r="BN325">
        <v>30978704</v>
      </c>
      <c r="BO325" t="s">
        <v>74</v>
      </c>
      <c r="BP325" t="s">
        <v>74</v>
      </c>
      <c r="BQ325" t="s">
        <v>74</v>
      </c>
      <c r="BR325" t="s">
        <v>106</v>
      </c>
      <c r="BS325" t="s">
        <v>5328</v>
      </c>
      <c r="BT325" t="str">
        <f>HYPERLINK("https%3A%2F%2Fwww.webofscience.com%2Fwos%2Fwoscc%2Ffull-record%2FWOS:000466572600001","View Full Record in Web of Science")</f>
        <v>View Full Record in Web of Science</v>
      </c>
    </row>
    <row r="326" spans="1:72" x14ac:dyDescent="0.25">
      <c r="A326" t="s">
        <v>72</v>
      </c>
      <c r="B326" t="s">
        <v>5329</v>
      </c>
      <c r="C326" t="s">
        <v>74</v>
      </c>
      <c r="D326" t="s">
        <v>74</v>
      </c>
      <c r="E326" t="s">
        <v>74</v>
      </c>
      <c r="F326" t="s">
        <v>5330</v>
      </c>
      <c r="G326" t="s">
        <v>74</v>
      </c>
      <c r="H326" t="s">
        <v>74</v>
      </c>
      <c r="I326" t="s">
        <v>5331</v>
      </c>
      <c r="J326" t="s">
        <v>77</v>
      </c>
      <c r="K326" t="s">
        <v>74</v>
      </c>
      <c r="L326" t="s">
        <v>74</v>
      </c>
      <c r="M326" t="s">
        <v>78</v>
      </c>
      <c r="N326" t="s">
        <v>79</v>
      </c>
      <c r="O326" t="s">
        <v>74</v>
      </c>
      <c r="P326" t="s">
        <v>74</v>
      </c>
      <c r="Q326" t="s">
        <v>74</v>
      </c>
      <c r="R326" t="s">
        <v>74</v>
      </c>
      <c r="S326" t="s">
        <v>74</v>
      </c>
      <c r="T326" t="s">
        <v>5332</v>
      </c>
      <c r="U326" t="s">
        <v>5333</v>
      </c>
      <c r="V326" t="s">
        <v>5334</v>
      </c>
      <c r="W326" t="s">
        <v>5335</v>
      </c>
      <c r="X326" t="s">
        <v>5336</v>
      </c>
      <c r="Y326" t="s">
        <v>5337</v>
      </c>
      <c r="Z326" t="s">
        <v>5338</v>
      </c>
      <c r="AA326" t="s">
        <v>5339</v>
      </c>
      <c r="AB326" t="s">
        <v>5340</v>
      </c>
      <c r="AC326" t="s">
        <v>5341</v>
      </c>
      <c r="AD326" t="s">
        <v>5341</v>
      </c>
      <c r="AE326" t="s">
        <v>5342</v>
      </c>
      <c r="AF326" t="s">
        <v>74</v>
      </c>
      <c r="AG326">
        <v>49</v>
      </c>
      <c r="AH326">
        <v>23</v>
      </c>
      <c r="AI326">
        <v>25</v>
      </c>
      <c r="AJ326">
        <v>1</v>
      </c>
      <c r="AK326">
        <v>13</v>
      </c>
      <c r="AL326" t="s">
        <v>92</v>
      </c>
      <c r="AM326" t="s">
        <v>93</v>
      </c>
      <c r="AN326" t="s">
        <v>94</v>
      </c>
      <c r="AO326" t="s">
        <v>95</v>
      </c>
      <c r="AP326" t="s">
        <v>96</v>
      </c>
      <c r="AQ326" t="s">
        <v>74</v>
      </c>
      <c r="AR326" t="s">
        <v>97</v>
      </c>
      <c r="AS326" t="s">
        <v>98</v>
      </c>
      <c r="AT326" t="s">
        <v>370</v>
      </c>
      <c r="AU326">
        <v>2019</v>
      </c>
      <c r="AV326">
        <v>64</v>
      </c>
      <c r="AW326">
        <v>10</v>
      </c>
      <c r="AX326" t="s">
        <v>74</v>
      </c>
      <c r="AY326" t="s">
        <v>74</v>
      </c>
      <c r="AZ326" t="s">
        <v>74</v>
      </c>
      <c r="BA326" t="s">
        <v>74</v>
      </c>
      <c r="BB326" t="s">
        <v>74</v>
      </c>
      <c r="BC326" t="s">
        <v>74</v>
      </c>
      <c r="BD326">
        <v>105009</v>
      </c>
      <c r="BE326" t="s">
        <v>5343</v>
      </c>
      <c r="BF326" t="str">
        <f>HYPERLINK("http://dx.doi.org/10.1088/1361-6560/ab1758","http://dx.doi.org/10.1088/1361-6560/ab1758")</f>
        <v>http://dx.doi.org/10.1088/1361-6560/ab1758</v>
      </c>
      <c r="BG326" t="s">
        <v>74</v>
      </c>
      <c r="BH326" t="s">
        <v>74</v>
      </c>
      <c r="BI326">
        <v>11</v>
      </c>
      <c r="BJ326" t="s">
        <v>101</v>
      </c>
      <c r="BK326" t="s">
        <v>102</v>
      </c>
      <c r="BL326" t="s">
        <v>103</v>
      </c>
      <c r="BM326" t="s">
        <v>1160</v>
      </c>
      <c r="BN326">
        <v>30965289</v>
      </c>
      <c r="BO326" t="s">
        <v>74</v>
      </c>
      <c r="BP326" t="s">
        <v>74</v>
      </c>
      <c r="BQ326" t="s">
        <v>74</v>
      </c>
      <c r="BR326" t="s">
        <v>106</v>
      </c>
      <c r="BS326" t="s">
        <v>5344</v>
      </c>
      <c r="BT326" t="str">
        <f>HYPERLINK("https%3A%2F%2Fwww.webofscience.com%2Fwos%2Fwoscc%2Ffull-record%2FWOS:000467702500004","View Full Record in Web of Science")</f>
        <v>View Full Record in Web of Science</v>
      </c>
    </row>
    <row r="327" spans="1:72" x14ac:dyDescent="0.25">
      <c r="A327" t="s">
        <v>72</v>
      </c>
      <c r="B327" t="s">
        <v>5345</v>
      </c>
      <c r="C327" t="s">
        <v>74</v>
      </c>
      <c r="D327" t="s">
        <v>74</v>
      </c>
      <c r="E327" t="s">
        <v>74</v>
      </c>
      <c r="F327" t="s">
        <v>5346</v>
      </c>
      <c r="G327" t="s">
        <v>74</v>
      </c>
      <c r="H327" t="s">
        <v>74</v>
      </c>
      <c r="I327" t="s">
        <v>5347</v>
      </c>
      <c r="J327" t="s">
        <v>77</v>
      </c>
      <c r="K327" t="s">
        <v>74</v>
      </c>
      <c r="L327" t="s">
        <v>74</v>
      </c>
      <c r="M327" t="s">
        <v>78</v>
      </c>
      <c r="N327" t="s">
        <v>79</v>
      </c>
      <c r="O327" t="s">
        <v>74</v>
      </c>
      <c r="P327" t="s">
        <v>74</v>
      </c>
      <c r="Q327" t="s">
        <v>74</v>
      </c>
      <c r="R327" t="s">
        <v>74</v>
      </c>
      <c r="S327" t="s">
        <v>74</v>
      </c>
      <c r="T327" t="s">
        <v>5348</v>
      </c>
      <c r="U327" t="s">
        <v>5349</v>
      </c>
      <c r="V327" t="s">
        <v>5350</v>
      </c>
      <c r="W327" t="s">
        <v>5351</v>
      </c>
      <c r="X327" t="s">
        <v>5352</v>
      </c>
      <c r="Y327" t="s">
        <v>5353</v>
      </c>
      <c r="Z327" t="s">
        <v>5354</v>
      </c>
      <c r="AA327" t="s">
        <v>5355</v>
      </c>
      <c r="AB327" t="s">
        <v>5356</v>
      </c>
      <c r="AC327" t="s">
        <v>5357</v>
      </c>
      <c r="AD327" t="s">
        <v>5358</v>
      </c>
      <c r="AE327" t="s">
        <v>5359</v>
      </c>
      <c r="AF327" t="s">
        <v>74</v>
      </c>
      <c r="AG327">
        <v>35</v>
      </c>
      <c r="AH327">
        <v>17</v>
      </c>
      <c r="AI327">
        <v>17</v>
      </c>
      <c r="AJ327">
        <v>0</v>
      </c>
      <c r="AK327">
        <v>8</v>
      </c>
      <c r="AL327" t="s">
        <v>92</v>
      </c>
      <c r="AM327" t="s">
        <v>93</v>
      </c>
      <c r="AN327" t="s">
        <v>94</v>
      </c>
      <c r="AO327" t="s">
        <v>95</v>
      </c>
      <c r="AP327" t="s">
        <v>96</v>
      </c>
      <c r="AQ327" t="s">
        <v>74</v>
      </c>
      <c r="AR327" t="s">
        <v>97</v>
      </c>
      <c r="AS327" t="s">
        <v>98</v>
      </c>
      <c r="AT327" t="s">
        <v>386</v>
      </c>
      <c r="AU327">
        <v>2019</v>
      </c>
      <c r="AV327">
        <v>64</v>
      </c>
      <c r="AW327">
        <v>8</v>
      </c>
      <c r="AX327" t="s">
        <v>74</v>
      </c>
      <c r="AY327" t="s">
        <v>74</v>
      </c>
      <c r="AZ327" t="s">
        <v>74</v>
      </c>
      <c r="BA327" t="s">
        <v>74</v>
      </c>
      <c r="BB327" t="s">
        <v>74</v>
      </c>
      <c r="BC327" t="s">
        <v>74</v>
      </c>
      <c r="BD327" t="s">
        <v>5360</v>
      </c>
      <c r="BE327" t="s">
        <v>5361</v>
      </c>
      <c r="BF327" t="str">
        <f>HYPERLINK("http://dx.doi.org/10.1088/1361-6560/ab0d4e","http://dx.doi.org/10.1088/1361-6560/ab0d4e")</f>
        <v>http://dx.doi.org/10.1088/1361-6560/ab0d4e</v>
      </c>
      <c r="BG327" t="s">
        <v>74</v>
      </c>
      <c r="BH327" t="s">
        <v>74</v>
      </c>
      <c r="BI327">
        <v>12</v>
      </c>
      <c r="BJ327" t="s">
        <v>101</v>
      </c>
      <c r="BK327" t="s">
        <v>102</v>
      </c>
      <c r="BL327" t="s">
        <v>103</v>
      </c>
      <c r="BM327" t="s">
        <v>5362</v>
      </c>
      <c r="BN327">
        <v>30840946</v>
      </c>
      <c r="BO327" t="s">
        <v>74</v>
      </c>
      <c r="BP327" t="s">
        <v>74</v>
      </c>
      <c r="BQ327" t="s">
        <v>74</v>
      </c>
      <c r="BR327" t="s">
        <v>106</v>
      </c>
      <c r="BS327" t="s">
        <v>5363</v>
      </c>
      <c r="BT327" t="str">
        <f>HYPERLINK("https%3A%2F%2Fwww.webofscience.com%2Fwos%2Fwoscc%2Ffull-record%2FWOS:000464454600002","View Full Record in Web of Science")</f>
        <v>View Full Record in Web of Science</v>
      </c>
    </row>
    <row r="328" spans="1:72" x14ac:dyDescent="0.25">
      <c r="A328" t="s">
        <v>72</v>
      </c>
      <c r="B328" t="s">
        <v>5364</v>
      </c>
      <c r="C328" t="s">
        <v>74</v>
      </c>
      <c r="D328" t="s">
        <v>74</v>
      </c>
      <c r="E328" t="s">
        <v>74</v>
      </c>
      <c r="F328" t="s">
        <v>5365</v>
      </c>
      <c r="G328" t="s">
        <v>74</v>
      </c>
      <c r="H328" t="s">
        <v>74</v>
      </c>
      <c r="I328" t="s">
        <v>5366</v>
      </c>
      <c r="J328" t="s">
        <v>77</v>
      </c>
      <c r="K328" t="s">
        <v>74</v>
      </c>
      <c r="L328" t="s">
        <v>74</v>
      </c>
      <c r="M328" t="s">
        <v>78</v>
      </c>
      <c r="N328" t="s">
        <v>79</v>
      </c>
      <c r="O328" t="s">
        <v>74</v>
      </c>
      <c r="P328" t="s">
        <v>74</v>
      </c>
      <c r="Q328" t="s">
        <v>74</v>
      </c>
      <c r="R328" t="s">
        <v>74</v>
      </c>
      <c r="S328" t="s">
        <v>74</v>
      </c>
      <c r="T328" t="s">
        <v>5367</v>
      </c>
      <c r="U328" t="s">
        <v>5368</v>
      </c>
      <c r="V328" t="s">
        <v>5369</v>
      </c>
      <c r="W328" t="s">
        <v>5370</v>
      </c>
      <c r="X328" t="s">
        <v>5371</v>
      </c>
      <c r="Y328" t="s">
        <v>5372</v>
      </c>
      <c r="Z328" t="s">
        <v>5373</v>
      </c>
      <c r="AA328" t="s">
        <v>74</v>
      </c>
      <c r="AB328" t="s">
        <v>5374</v>
      </c>
      <c r="AC328" t="s">
        <v>74</v>
      </c>
      <c r="AD328" t="s">
        <v>74</v>
      </c>
      <c r="AE328" t="s">
        <v>74</v>
      </c>
      <c r="AF328" t="s">
        <v>74</v>
      </c>
      <c r="AG328">
        <v>22</v>
      </c>
      <c r="AH328">
        <v>2</v>
      </c>
      <c r="AI328">
        <v>2</v>
      </c>
      <c r="AJ328">
        <v>0</v>
      </c>
      <c r="AK328">
        <v>1</v>
      </c>
      <c r="AL328" t="s">
        <v>92</v>
      </c>
      <c r="AM328" t="s">
        <v>93</v>
      </c>
      <c r="AN328" t="s">
        <v>94</v>
      </c>
      <c r="AO328" t="s">
        <v>95</v>
      </c>
      <c r="AP328" t="s">
        <v>96</v>
      </c>
      <c r="AQ328" t="s">
        <v>74</v>
      </c>
      <c r="AR328" t="s">
        <v>97</v>
      </c>
      <c r="AS328" t="s">
        <v>98</v>
      </c>
      <c r="AT328" t="s">
        <v>436</v>
      </c>
      <c r="AU328">
        <v>2019</v>
      </c>
      <c r="AV328">
        <v>64</v>
      </c>
      <c r="AW328">
        <v>6</v>
      </c>
      <c r="AX328" t="s">
        <v>74</v>
      </c>
      <c r="AY328" t="s">
        <v>74</v>
      </c>
      <c r="AZ328" t="s">
        <v>74</v>
      </c>
      <c r="BA328" t="s">
        <v>74</v>
      </c>
      <c r="BB328" t="s">
        <v>74</v>
      </c>
      <c r="BC328" t="s">
        <v>74</v>
      </c>
      <c r="BD328">
        <v>65017</v>
      </c>
      <c r="BE328" t="s">
        <v>5375</v>
      </c>
      <c r="BF328" t="str">
        <f>HYPERLINK("http://dx.doi.org/10.1088/1361-6560/ab050f","http://dx.doi.org/10.1088/1361-6560/ab050f")</f>
        <v>http://dx.doi.org/10.1088/1361-6560/ab050f</v>
      </c>
      <c r="BG328" t="s">
        <v>74</v>
      </c>
      <c r="BH328" t="s">
        <v>74</v>
      </c>
      <c r="BI328">
        <v>10</v>
      </c>
      <c r="BJ328" t="s">
        <v>101</v>
      </c>
      <c r="BK328" t="s">
        <v>102</v>
      </c>
      <c r="BL328" t="s">
        <v>103</v>
      </c>
      <c r="BM328" t="s">
        <v>1860</v>
      </c>
      <c r="BN328">
        <v>30731450</v>
      </c>
      <c r="BO328" t="s">
        <v>74</v>
      </c>
      <c r="BP328" t="s">
        <v>74</v>
      </c>
      <c r="BQ328" t="s">
        <v>74</v>
      </c>
      <c r="BR328" t="s">
        <v>106</v>
      </c>
      <c r="BS328" t="s">
        <v>5376</v>
      </c>
      <c r="BT328" t="str">
        <f>HYPERLINK("https%3A%2F%2Fwww.webofscience.com%2Fwos%2Fwoscc%2Ffull-record%2FWOS:000461426500002","View Full Record in Web of Science")</f>
        <v>View Full Record in Web of Science</v>
      </c>
    </row>
    <row r="329" spans="1:72" x14ac:dyDescent="0.25">
      <c r="A329" t="s">
        <v>72</v>
      </c>
      <c r="B329" t="s">
        <v>5377</v>
      </c>
      <c r="C329" t="s">
        <v>74</v>
      </c>
      <c r="D329" t="s">
        <v>74</v>
      </c>
      <c r="E329" t="s">
        <v>74</v>
      </c>
      <c r="F329" t="s">
        <v>5378</v>
      </c>
      <c r="G329" t="s">
        <v>74</v>
      </c>
      <c r="H329" t="s">
        <v>74</v>
      </c>
      <c r="I329" t="s">
        <v>5379</v>
      </c>
      <c r="J329" t="s">
        <v>77</v>
      </c>
      <c r="K329" t="s">
        <v>74</v>
      </c>
      <c r="L329" t="s">
        <v>74</v>
      </c>
      <c r="M329" t="s">
        <v>78</v>
      </c>
      <c r="N329" t="s">
        <v>79</v>
      </c>
      <c r="O329" t="s">
        <v>74</v>
      </c>
      <c r="P329" t="s">
        <v>74</v>
      </c>
      <c r="Q329" t="s">
        <v>74</v>
      </c>
      <c r="R329" t="s">
        <v>74</v>
      </c>
      <c r="S329" t="s">
        <v>74</v>
      </c>
      <c r="T329" t="s">
        <v>5380</v>
      </c>
      <c r="U329" t="s">
        <v>5381</v>
      </c>
      <c r="V329" t="s">
        <v>5382</v>
      </c>
      <c r="W329" t="s">
        <v>5383</v>
      </c>
      <c r="X329" t="s">
        <v>5384</v>
      </c>
      <c r="Y329" t="s">
        <v>5385</v>
      </c>
      <c r="Z329" t="s">
        <v>5386</v>
      </c>
      <c r="AA329" t="s">
        <v>74</v>
      </c>
      <c r="AB329" t="s">
        <v>74</v>
      </c>
      <c r="AC329" t="s">
        <v>5387</v>
      </c>
      <c r="AD329" t="s">
        <v>5388</v>
      </c>
      <c r="AE329" t="s">
        <v>5389</v>
      </c>
      <c r="AF329" t="s">
        <v>74</v>
      </c>
      <c r="AG329">
        <v>20</v>
      </c>
      <c r="AH329">
        <v>5</v>
      </c>
      <c r="AI329">
        <v>5</v>
      </c>
      <c r="AJ329">
        <v>0</v>
      </c>
      <c r="AK329">
        <v>5</v>
      </c>
      <c r="AL329" t="s">
        <v>92</v>
      </c>
      <c r="AM329" t="s">
        <v>93</v>
      </c>
      <c r="AN329" t="s">
        <v>94</v>
      </c>
      <c r="AO329" t="s">
        <v>95</v>
      </c>
      <c r="AP329" t="s">
        <v>96</v>
      </c>
      <c r="AQ329" t="s">
        <v>74</v>
      </c>
      <c r="AR329" t="s">
        <v>97</v>
      </c>
      <c r="AS329" t="s">
        <v>98</v>
      </c>
      <c r="AT329" t="s">
        <v>436</v>
      </c>
      <c r="AU329">
        <v>2019</v>
      </c>
      <c r="AV329">
        <v>64</v>
      </c>
      <c r="AW329">
        <v>6</v>
      </c>
      <c r="AX329" t="s">
        <v>74</v>
      </c>
      <c r="AY329" t="s">
        <v>74</v>
      </c>
      <c r="AZ329" t="s">
        <v>74</v>
      </c>
      <c r="BA329" t="s">
        <v>74</v>
      </c>
      <c r="BB329" t="s">
        <v>74</v>
      </c>
      <c r="BC329" t="s">
        <v>74</v>
      </c>
      <c r="BD329">
        <v>65018</v>
      </c>
      <c r="BE329" t="s">
        <v>5390</v>
      </c>
      <c r="BF329" t="str">
        <f>HYPERLINK("http://dx.doi.org/10.1088/1361-6560/ab0472","http://dx.doi.org/10.1088/1361-6560/ab0472")</f>
        <v>http://dx.doi.org/10.1088/1361-6560/ab0472</v>
      </c>
      <c r="BG329" t="s">
        <v>74</v>
      </c>
      <c r="BH329" t="s">
        <v>74</v>
      </c>
      <c r="BI329">
        <v>15</v>
      </c>
      <c r="BJ329" t="s">
        <v>101</v>
      </c>
      <c r="BK329" t="s">
        <v>102</v>
      </c>
      <c r="BL329" t="s">
        <v>103</v>
      </c>
      <c r="BM329" t="s">
        <v>1860</v>
      </c>
      <c r="BN329">
        <v>30721887</v>
      </c>
      <c r="BO329" t="s">
        <v>105</v>
      </c>
      <c r="BP329" t="s">
        <v>74</v>
      </c>
      <c r="BQ329" t="s">
        <v>74</v>
      </c>
      <c r="BR329" t="s">
        <v>106</v>
      </c>
      <c r="BS329" t="s">
        <v>5391</v>
      </c>
      <c r="BT329" t="str">
        <f>HYPERLINK("https%3A%2F%2Fwww.webofscience.com%2Fwos%2Fwoscc%2Ffull-record%2FWOS:000461426500003","View Full Record in Web of Science")</f>
        <v>View Full Record in Web of Science</v>
      </c>
    </row>
    <row r="330" spans="1:72" x14ac:dyDescent="0.25">
      <c r="A330" t="s">
        <v>72</v>
      </c>
      <c r="B330" t="s">
        <v>5392</v>
      </c>
      <c r="C330" t="s">
        <v>74</v>
      </c>
      <c r="D330" t="s">
        <v>74</v>
      </c>
      <c r="E330" t="s">
        <v>74</v>
      </c>
      <c r="F330" t="s">
        <v>5393</v>
      </c>
      <c r="G330" t="s">
        <v>74</v>
      </c>
      <c r="H330" t="s">
        <v>74</v>
      </c>
      <c r="I330" t="s">
        <v>5394</v>
      </c>
      <c r="J330" t="s">
        <v>77</v>
      </c>
      <c r="K330" t="s">
        <v>74</v>
      </c>
      <c r="L330" t="s">
        <v>74</v>
      </c>
      <c r="M330" t="s">
        <v>78</v>
      </c>
      <c r="N330" t="s">
        <v>79</v>
      </c>
      <c r="O330" t="s">
        <v>74</v>
      </c>
      <c r="P330" t="s">
        <v>74</v>
      </c>
      <c r="Q330" t="s">
        <v>74</v>
      </c>
      <c r="R330" t="s">
        <v>74</v>
      </c>
      <c r="S330" t="s">
        <v>74</v>
      </c>
      <c r="T330" t="s">
        <v>5395</v>
      </c>
      <c r="U330" t="s">
        <v>5396</v>
      </c>
      <c r="V330" t="s">
        <v>5397</v>
      </c>
      <c r="W330" t="s">
        <v>5398</v>
      </c>
      <c r="X330" t="s">
        <v>5399</v>
      </c>
      <c r="Y330" t="s">
        <v>5400</v>
      </c>
      <c r="Z330" t="s">
        <v>5401</v>
      </c>
      <c r="AA330" t="s">
        <v>5402</v>
      </c>
      <c r="AB330" t="s">
        <v>5403</v>
      </c>
      <c r="AC330" t="s">
        <v>5404</v>
      </c>
      <c r="AD330" t="s">
        <v>5405</v>
      </c>
      <c r="AE330" t="s">
        <v>5406</v>
      </c>
      <c r="AF330" t="s">
        <v>74</v>
      </c>
      <c r="AG330">
        <v>38</v>
      </c>
      <c r="AH330">
        <v>10</v>
      </c>
      <c r="AI330">
        <v>11</v>
      </c>
      <c r="AJ330">
        <v>0</v>
      </c>
      <c r="AK330">
        <v>1</v>
      </c>
      <c r="AL330" t="s">
        <v>92</v>
      </c>
      <c r="AM330" t="s">
        <v>93</v>
      </c>
      <c r="AN330" t="s">
        <v>94</v>
      </c>
      <c r="AO330" t="s">
        <v>95</v>
      </c>
      <c r="AP330" t="s">
        <v>96</v>
      </c>
      <c r="AQ330" t="s">
        <v>74</v>
      </c>
      <c r="AR330" t="s">
        <v>97</v>
      </c>
      <c r="AS330" t="s">
        <v>98</v>
      </c>
      <c r="AT330" t="s">
        <v>436</v>
      </c>
      <c r="AU330">
        <v>2019</v>
      </c>
      <c r="AV330">
        <v>64</v>
      </c>
      <c r="AW330">
        <v>5</v>
      </c>
      <c r="AX330" t="s">
        <v>74</v>
      </c>
      <c r="AY330" t="s">
        <v>74</v>
      </c>
      <c r="AZ330" t="s">
        <v>74</v>
      </c>
      <c r="BA330" t="s">
        <v>74</v>
      </c>
      <c r="BB330" t="s">
        <v>74</v>
      </c>
      <c r="BC330" t="s">
        <v>74</v>
      </c>
      <c r="BD330">
        <v>55005</v>
      </c>
      <c r="BE330" t="s">
        <v>5407</v>
      </c>
      <c r="BF330" t="str">
        <f>HYPERLINK("http://dx.doi.org/10.1088/1361-6560/aafefe","http://dx.doi.org/10.1088/1361-6560/aafefe")</f>
        <v>http://dx.doi.org/10.1088/1361-6560/aafefe</v>
      </c>
      <c r="BG330" t="s">
        <v>74</v>
      </c>
      <c r="BH330" t="s">
        <v>74</v>
      </c>
      <c r="BI330">
        <v>10</v>
      </c>
      <c r="BJ330" t="s">
        <v>101</v>
      </c>
      <c r="BK330" t="s">
        <v>102</v>
      </c>
      <c r="BL330" t="s">
        <v>103</v>
      </c>
      <c r="BM330" t="s">
        <v>5088</v>
      </c>
      <c r="BN330">
        <v>30650394</v>
      </c>
      <c r="BO330" t="s">
        <v>105</v>
      </c>
      <c r="BP330" t="s">
        <v>74</v>
      </c>
      <c r="BQ330" t="s">
        <v>74</v>
      </c>
      <c r="BR330" t="s">
        <v>106</v>
      </c>
      <c r="BS330" t="s">
        <v>5408</v>
      </c>
      <c r="BT330" t="str">
        <f>HYPERLINK("https%3A%2F%2Fwww.webofscience.com%2Fwos%2Fwoscc%2Ffull-record%2FWOS:000459325000005","View Full Record in Web of Science")</f>
        <v>View Full Record in Web of Science</v>
      </c>
    </row>
    <row r="331" spans="1:72" x14ac:dyDescent="0.25">
      <c r="A331" t="s">
        <v>72</v>
      </c>
      <c r="B331" t="s">
        <v>5409</v>
      </c>
      <c r="C331" t="s">
        <v>74</v>
      </c>
      <c r="D331" t="s">
        <v>74</v>
      </c>
      <c r="E331" t="s">
        <v>74</v>
      </c>
      <c r="F331" t="s">
        <v>5410</v>
      </c>
      <c r="G331" t="s">
        <v>74</v>
      </c>
      <c r="H331" t="s">
        <v>74</v>
      </c>
      <c r="I331" t="s">
        <v>5411</v>
      </c>
      <c r="J331" t="s">
        <v>77</v>
      </c>
      <c r="K331" t="s">
        <v>74</v>
      </c>
      <c r="L331" t="s">
        <v>74</v>
      </c>
      <c r="M331" t="s">
        <v>78</v>
      </c>
      <c r="N331" t="s">
        <v>79</v>
      </c>
      <c r="O331" t="s">
        <v>74</v>
      </c>
      <c r="P331" t="s">
        <v>74</v>
      </c>
      <c r="Q331" t="s">
        <v>74</v>
      </c>
      <c r="R331" t="s">
        <v>74</v>
      </c>
      <c r="S331" t="s">
        <v>74</v>
      </c>
      <c r="T331" t="s">
        <v>5412</v>
      </c>
      <c r="U331" t="s">
        <v>5413</v>
      </c>
      <c r="V331" t="s">
        <v>5414</v>
      </c>
      <c r="W331" t="s">
        <v>5415</v>
      </c>
      <c r="X331" t="s">
        <v>5416</v>
      </c>
      <c r="Y331" t="s">
        <v>5417</v>
      </c>
      <c r="Z331" t="s">
        <v>5418</v>
      </c>
      <c r="AA331" t="s">
        <v>5419</v>
      </c>
      <c r="AB331" t="s">
        <v>5420</v>
      </c>
      <c r="AC331" t="s">
        <v>5421</v>
      </c>
      <c r="AD331" t="s">
        <v>5422</v>
      </c>
      <c r="AE331" t="s">
        <v>5423</v>
      </c>
      <c r="AF331" t="s">
        <v>74</v>
      </c>
      <c r="AG331">
        <v>30</v>
      </c>
      <c r="AH331">
        <v>7</v>
      </c>
      <c r="AI331">
        <v>7</v>
      </c>
      <c r="AJ331">
        <v>0</v>
      </c>
      <c r="AK331">
        <v>8</v>
      </c>
      <c r="AL331" t="s">
        <v>92</v>
      </c>
      <c r="AM331" t="s">
        <v>93</v>
      </c>
      <c r="AN331" t="s">
        <v>94</v>
      </c>
      <c r="AO331" t="s">
        <v>95</v>
      </c>
      <c r="AP331" t="s">
        <v>96</v>
      </c>
      <c r="AQ331" t="s">
        <v>74</v>
      </c>
      <c r="AR331" t="s">
        <v>97</v>
      </c>
      <c r="AS331" t="s">
        <v>98</v>
      </c>
      <c r="AT331" t="s">
        <v>646</v>
      </c>
      <c r="AU331">
        <v>2019</v>
      </c>
      <c r="AV331">
        <v>64</v>
      </c>
      <c r="AW331">
        <v>4</v>
      </c>
      <c r="AX331" t="s">
        <v>74</v>
      </c>
      <c r="AY331" t="s">
        <v>74</v>
      </c>
      <c r="AZ331" t="s">
        <v>74</v>
      </c>
      <c r="BA331" t="s">
        <v>74</v>
      </c>
      <c r="BB331" t="s">
        <v>74</v>
      </c>
      <c r="BC331" t="s">
        <v>74</v>
      </c>
      <c r="BD331">
        <v>45017</v>
      </c>
      <c r="BE331" t="s">
        <v>5424</v>
      </c>
      <c r="BF331" t="str">
        <f>HYPERLINK("http://dx.doi.org/10.1088/1361-6560/aafd63","http://dx.doi.org/10.1088/1361-6560/aafd63")</f>
        <v>http://dx.doi.org/10.1088/1361-6560/aafd63</v>
      </c>
      <c r="BG331" t="s">
        <v>74</v>
      </c>
      <c r="BH331" t="s">
        <v>74</v>
      </c>
      <c r="BI331">
        <v>15</v>
      </c>
      <c r="BJ331" t="s">
        <v>101</v>
      </c>
      <c r="BK331" t="s">
        <v>102</v>
      </c>
      <c r="BL331" t="s">
        <v>103</v>
      </c>
      <c r="BM331" t="s">
        <v>906</v>
      </c>
      <c r="BN331">
        <v>30630144</v>
      </c>
      <c r="BO331" t="s">
        <v>759</v>
      </c>
      <c r="BP331" t="s">
        <v>74</v>
      </c>
      <c r="BQ331" t="s">
        <v>74</v>
      </c>
      <c r="BR331" t="s">
        <v>106</v>
      </c>
      <c r="BS331" t="s">
        <v>5425</v>
      </c>
      <c r="BT331" t="str">
        <f>HYPERLINK("https%3A%2F%2Fwww.webofscience.com%2Fwos%2Fwoscc%2Ffull-record%2FWOS:000459135900005","View Full Record in Web of Science")</f>
        <v>View Full Record in Web of Science</v>
      </c>
    </row>
    <row r="332" spans="1:72" x14ac:dyDescent="0.25">
      <c r="A332" t="s">
        <v>72</v>
      </c>
      <c r="B332" t="s">
        <v>5426</v>
      </c>
      <c r="C332" t="s">
        <v>74</v>
      </c>
      <c r="D332" t="s">
        <v>74</v>
      </c>
      <c r="E332" t="s">
        <v>74</v>
      </c>
      <c r="F332" t="s">
        <v>5427</v>
      </c>
      <c r="G332" t="s">
        <v>74</v>
      </c>
      <c r="H332" t="s">
        <v>74</v>
      </c>
      <c r="I332" t="s">
        <v>5428</v>
      </c>
      <c r="J332" t="s">
        <v>77</v>
      </c>
      <c r="K332" t="s">
        <v>74</v>
      </c>
      <c r="L332" t="s">
        <v>74</v>
      </c>
      <c r="M332" t="s">
        <v>78</v>
      </c>
      <c r="N332" t="s">
        <v>79</v>
      </c>
      <c r="O332" t="s">
        <v>74</v>
      </c>
      <c r="P332" t="s">
        <v>74</v>
      </c>
      <c r="Q332" t="s">
        <v>74</v>
      </c>
      <c r="R332" t="s">
        <v>74</v>
      </c>
      <c r="S332" t="s">
        <v>74</v>
      </c>
      <c r="T332" t="s">
        <v>5429</v>
      </c>
      <c r="U332" t="s">
        <v>5430</v>
      </c>
      <c r="V332" t="s">
        <v>5431</v>
      </c>
      <c r="W332" t="s">
        <v>5432</v>
      </c>
      <c r="X332" t="s">
        <v>5433</v>
      </c>
      <c r="Y332" t="s">
        <v>5434</v>
      </c>
      <c r="Z332" t="s">
        <v>5435</v>
      </c>
      <c r="AA332" t="s">
        <v>74</v>
      </c>
      <c r="AB332" t="s">
        <v>74</v>
      </c>
      <c r="AC332" t="s">
        <v>5436</v>
      </c>
      <c r="AD332" t="s">
        <v>416</v>
      </c>
      <c r="AE332" t="s">
        <v>5437</v>
      </c>
      <c r="AF332" t="s">
        <v>74</v>
      </c>
      <c r="AG332">
        <v>32</v>
      </c>
      <c r="AH332">
        <v>2</v>
      </c>
      <c r="AI332">
        <v>2</v>
      </c>
      <c r="AJ332">
        <v>2</v>
      </c>
      <c r="AK332">
        <v>10</v>
      </c>
      <c r="AL332" t="s">
        <v>92</v>
      </c>
      <c r="AM332" t="s">
        <v>93</v>
      </c>
      <c r="AN332" t="s">
        <v>94</v>
      </c>
      <c r="AO332" t="s">
        <v>95</v>
      </c>
      <c r="AP332" t="s">
        <v>96</v>
      </c>
      <c r="AQ332" t="s">
        <v>74</v>
      </c>
      <c r="AR332" t="s">
        <v>97</v>
      </c>
      <c r="AS332" t="s">
        <v>98</v>
      </c>
      <c r="AT332" t="s">
        <v>646</v>
      </c>
      <c r="AU332">
        <v>2019</v>
      </c>
      <c r="AV332">
        <v>64</v>
      </c>
      <c r="AW332">
        <v>4</v>
      </c>
      <c r="AX332" t="s">
        <v>74</v>
      </c>
      <c r="AY332" t="s">
        <v>74</v>
      </c>
      <c r="AZ332" t="s">
        <v>74</v>
      </c>
      <c r="BA332" t="s">
        <v>74</v>
      </c>
      <c r="BB332" t="s">
        <v>74</v>
      </c>
      <c r="BC332" t="s">
        <v>74</v>
      </c>
      <c r="BD332" t="s">
        <v>5438</v>
      </c>
      <c r="BE332" t="s">
        <v>5439</v>
      </c>
      <c r="BF332" t="str">
        <f>HYPERLINK("http://dx.doi.org/10.1088/1361-6560/aafcc5","http://dx.doi.org/10.1088/1361-6560/aafcc5")</f>
        <v>http://dx.doi.org/10.1088/1361-6560/aafcc5</v>
      </c>
      <c r="BG332" t="s">
        <v>74</v>
      </c>
      <c r="BH332" t="s">
        <v>74</v>
      </c>
      <c r="BI332">
        <v>13</v>
      </c>
      <c r="BJ332" t="s">
        <v>101</v>
      </c>
      <c r="BK332" t="s">
        <v>102</v>
      </c>
      <c r="BL332" t="s">
        <v>103</v>
      </c>
      <c r="BM332" t="s">
        <v>5440</v>
      </c>
      <c r="BN332">
        <v>30625455</v>
      </c>
      <c r="BO332" t="s">
        <v>105</v>
      </c>
      <c r="BP332" t="s">
        <v>74</v>
      </c>
      <c r="BQ332" t="s">
        <v>74</v>
      </c>
      <c r="BR332" t="s">
        <v>106</v>
      </c>
      <c r="BS332" t="s">
        <v>5441</v>
      </c>
      <c r="BT332" t="str">
        <f>HYPERLINK("https%3A%2F%2Fwww.webofscience.com%2Fwos%2Fwoscc%2Ffull-record%2FWOS:000458044500001","View Full Record in Web of Science")</f>
        <v>View Full Record in Web of Science</v>
      </c>
    </row>
    <row r="333" spans="1:72" x14ac:dyDescent="0.25">
      <c r="A333" t="s">
        <v>72</v>
      </c>
      <c r="B333" t="s">
        <v>1880</v>
      </c>
      <c r="C333" t="s">
        <v>74</v>
      </c>
      <c r="D333" t="s">
        <v>74</v>
      </c>
      <c r="E333" t="s">
        <v>74</v>
      </c>
      <c r="F333" t="s">
        <v>1881</v>
      </c>
      <c r="G333" t="s">
        <v>74</v>
      </c>
      <c r="H333" t="s">
        <v>74</v>
      </c>
      <c r="I333" t="s">
        <v>5442</v>
      </c>
      <c r="J333" t="s">
        <v>77</v>
      </c>
      <c r="K333" t="s">
        <v>74</v>
      </c>
      <c r="L333" t="s">
        <v>74</v>
      </c>
      <c r="M333" t="s">
        <v>78</v>
      </c>
      <c r="N333" t="s">
        <v>79</v>
      </c>
      <c r="O333" t="s">
        <v>74</v>
      </c>
      <c r="P333" t="s">
        <v>74</v>
      </c>
      <c r="Q333" t="s">
        <v>74</v>
      </c>
      <c r="R333" t="s">
        <v>74</v>
      </c>
      <c r="S333" t="s">
        <v>74</v>
      </c>
      <c r="T333" t="s">
        <v>5443</v>
      </c>
      <c r="U333" t="s">
        <v>5444</v>
      </c>
      <c r="V333" t="s">
        <v>5445</v>
      </c>
      <c r="W333" t="s">
        <v>5446</v>
      </c>
      <c r="X333" t="s">
        <v>1887</v>
      </c>
      <c r="Y333" t="s">
        <v>3431</v>
      </c>
      <c r="Z333" t="s">
        <v>1889</v>
      </c>
      <c r="AA333" t="s">
        <v>74</v>
      </c>
      <c r="AB333" t="s">
        <v>5447</v>
      </c>
      <c r="AC333" t="s">
        <v>1891</v>
      </c>
      <c r="AD333" t="s">
        <v>1891</v>
      </c>
      <c r="AE333" t="s">
        <v>1892</v>
      </c>
      <c r="AF333" t="s">
        <v>74</v>
      </c>
      <c r="AG333">
        <v>29</v>
      </c>
      <c r="AH333">
        <v>29</v>
      </c>
      <c r="AI333">
        <v>29</v>
      </c>
      <c r="AJ333">
        <v>1</v>
      </c>
      <c r="AK333">
        <v>11</v>
      </c>
      <c r="AL333" t="s">
        <v>92</v>
      </c>
      <c r="AM333" t="s">
        <v>93</v>
      </c>
      <c r="AN333" t="s">
        <v>94</v>
      </c>
      <c r="AO333" t="s">
        <v>95</v>
      </c>
      <c r="AP333" t="s">
        <v>96</v>
      </c>
      <c r="AQ333" t="s">
        <v>74</v>
      </c>
      <c r="AR333" t="s">
        <v>97</v>
      </c>
      <c r="AS333" t="s">
        <v>98</v>
      </c>
      <c r="AT333" t="s">
        <v>646</v>
      </c>
      <c r="AU333">
        <v>2019</v>
      </c>
      <c r="AV333">
        <v>64</v>
      </c>
      <c r="AW333">
        <v>3</v>
      </c>
      <c r="AX333" t="s">
        <v>74</v>
      </c>
      <c r="AY333" t="s">
        <v>74</v>
      </c>
      <c r="AZ333" t="s">
        <v>74</v>
      </c>
      <c r="BA333" t="s">
        <v>74</v>
      </c>
      <c r="BB333" t="s">
        <v>74</v>
      </c>
      <c r="BC333" t="s">
        <v>74</v>
      </c>
      <c r="BD333">
        <v>35014</v>
      </c>
      <c r="BE333" t="s">
        <v>5448</v>
      </c>
      <c r="BF333" t="str">
        <f>HYPERLINK("http://dx.doi.org/10.1088/1361-6560/aaf82d","http://dx.doi.org/10.1088/1361-6560/aaf82d")</f>
        <v>http://dx.doi.org/10.1088/1361-6560/aaf82d</v>
      </c>
      <c r="BG333" t="s">
        <v>74</v>
      </c>
      <c r="BH333" t="s">
        <v>74</v>
      </c>
      <c r="BI333">
        <v>9</v>
      </c>
      <c r="BJ333" t="s">
        <v>101</v>
      </c>
      <c r="BK333" t="s">
        <v>102</v>
      </c>
      <c r="BL333" t="s">
        <v>103</v>
      </c>
      <c r="BM333" t="s">
        <v>1261</v>
      </c>
      <c r="BN333">
        <v>30540984</v>
      </c>
      <c r="BO333" t="s">
        <v>74</v>
      </c>
      <c r="BP333" t="s">
        <v>74</v>
      </c>
      <c r="BQ333" t="s">
        <v>74</v>
      </c>
      <c r="BR333" t="s">
        <v>106</v>
      </c>
      <c r="BS333" t="s">
        <v>5449</v>
      </c>
      <c r="BT333" t="str">
        <f>HYPERLINK("https%3A%2F%2Fwww.webofscience.com%2Fwos%2Fwoscc%2Ffull-record%2FWOS:000457182500003","View Full Record in Web of Science")</f>
        <v>View Full Record in Web of Science</v>
      </c>
    </row>
    <row r="334" spans="1:72" x14ac:dyDescent="0.25">
      <c r="A334" t="s">
        <v>72</v>
      </c>
      <c r="B334" t="s">
        <v>5450</v>
      </c>
      <c r="C334" t="s">
        <v>74</v>
      </c>
      <c r="D334" t="s">
        <v>74</v>
      </c>
      <c r="E334" t="s">
        <v>74</v>
      </c>
      <c r="F334" t="s">
        <v>5451</v>
      </c>
      <c r="G334" t="s">
        <v>74</v>
      </c>
      <c r="H334" t="s">
        <v>74</v>
      </c>
      <c r="I334" t="s">
        <v>5452</v>
      </c>
      <c r="J334" t="s">
        <v>77</v>
      </c>
      <c r="K334" t="s">
        <v>74</v>
      </c>
      <c r="L334" t="s">
        <v>74</v>
      </c>
      <c r="M334" t="s">
        <v>78</v>
      </c>
      <c r="N334" t="s">
        <v>79</v>
      </c>
      <c r="O334" t="s">
        <v>74</v>
      </c>
      <c r="P334" t="s">
        <v>74</v>
      </c>
      <c r="Q334" t="s">
        <v>74</v>
      </c>
      <c r="R334" t="s">
        <v>74</v>
      </c>
      <c r="S334" t="s">
        <v>74</v>
      </c>
      <c r="T334" t="s">
        <v>5453</v>
      </c>
      <c r="U334" t="s">
        <v>5454</v>
      </c>
      <c r="V334" t="s">
        <v>5455</v>
      </c>
      <c r="W334" t="s">
        <v>5456</v>
      </c>
      <c r="X334" t="s">
        <v>5457</v>
      </c>
      <c r="Y334" t="s">
        <v>5458</v>
      </c>
      <c r="Z334" t="s">
        <v>5459</v>
      </c>
      <c r="AA334" t="s">
        <v>5460</v>
      </c>
      <c r="AB334" t="s">
        <v>74</v>
      </c>
      <c r="AC334" t="s">
        <v>5461</v>
      </c>
      <c r="AD334" t="s">
        <v>5462</v>
      </c>
      <c r="AE334" t="s">
        <v>5463</v>
      </c>
      <c r="AF334" t="s">
        <v>74</v>
      </c>
      <c r="AG334">
        <v>17</v>
      </c>
      <c r="AH334">
        <v>3</v>
      </c>
      <c r="AI334">
        <v>3</v>
      </c>
      <c r="AJ334">
        <v>0</v>
      </c>
      <c r="AK334">
        <v>5</v>
      </c>
      <c r="AL334" t="s">
        <v>92</v>
      </c>
      <c r="AM334" t="s">
        <v>93</v>
      </c>
      <c r="AN334" t="s">
        <v>94</v>
      </c>
      <c r="AO334" t="s">
        <v>95</v>
      </c>
      <c r="AP334" t="s">
        <v>96</v>
      </c>
      <c r="AQ334" t="s">
        <v>74</v>
      </c>
      <c r="AR334" t="s">
        <v>97</v>
      </c>
      <c r="AS334" t="s">
        <v>98</v>
      </c>
      <c r="AT334" t="s">
        <v>471</v>
      </c>
      <c r="AU334">
        <v>2019</v>
      </c>
      <c r="AV334">
        <v>64</v>
      </c>
      <c r="AW334">
        <v>2</v>
      </c>
      <c r="AX334" t="s">
        <v>74</v>
      </c>
      <c r="AY334" t="s">
        <v>74</v>
      </c>
      <c r="AZ334" t="s">
        <v>74</v>
      </c>
      <c r="BA334" t="s">
        <v>74</v>
      </c>
      <c r="BB334" t="s">
        <v>74</v>
      </c>
      <c r="BC334" t="s">
        <v>74</v>
      </c>
      <c r="BD334" t="s">
        <v>5464</v>
      </c>
      <c r="BE334" t="s">
        <v>5465</v>
      </c>
      <c r="BF334" t="str">
        <f>HYPERLINK("http://dx.doi.org/10.1088/1361-6560/aaf83b","http://dx.doi.org/10.1088/1361-6560/aaf83b")</f>
        <v>http://dx.doi.org/10.1088/1361-6560/aaf83b</v>
      </c>
      <c r="BG334" t="s">
        <v>74</v>
      </c>
      <c r="BH334" t="s">
        <v>74</v>
      </c>
      <c r="BI334">
        <v>6</v>
      </c>
      <c r="BJ334" t="s">
        <v>101</v>
      </c>
      <c r="BK334" t="s">
        <v>102</v>
      </c>
      <c r="BL334" t="s">
        <v>103</v>
      </c>
      <c r="BM334" t="s">
        <v>5466</v>
      </c>
      <c r="BN334">
        <v>30540982</v>
      </c>
      <c r="BO334" t="s">
        <v>74</v>
      </c>
      <c r="BP334" t="s">
        <v>74</v>
      </c>
      <c r="BQ334" t="s">
        <v>74</v>
      </c>
      <c r="BR334" t="s">
        <v>106</v>
      </c>
      <c r="BS334" t="s">
        <v>5467</v>
      </c>
      <c r="BT334" t="str">
        <f>HYPERLINK("https%3A%2F%2Fwww.webofscience.com%2Fwos%2Fwoscc%2Ffull-record%2FWOS:000455823500001","View Full Record in Web of Science")</f>
        <v>View Full Record in Web of Science</v>
      </c>
    </row>
    <row r="335" spans="1:72" x14ac:dyDescent="0.25">
      <c r="A335" t="s">
        <v>72</v>
      </c>
      <c r="B335" t="s">
        <v>5468</v>
      </c>
      <c r="C335" t="s">
        <v>74</v>
      </c>
      <c r="D335" t="s">
        <v>74</v>
      </c>
      <c r="E335" t="s">
        <v>74</v>
      </c>
      <c r="F335" t="s">
        <v>5469</v>
      </c>
      <c r="G335" t="s">
        <v>74</v>
      </c>
      <c r="H335" t="s">
        <v>74</v>
      </c>
      <c r="I335" t="s">
        <v>5470</v>
      </c>
      <c r="J335" t="s">
        <v>77</v>
      </c>
      <c r="K335" t="s">
        <v>74</v>
      </c>
      <c r="L335" t="s">
        <v>74</v>
      </c>
      <c r="M335" t="s">
        <v>78</v>
      </c>
      <c r="N335" t="s">
        <v>79</v>
      </c>
      <c r="O335" t="s">
        <v>74</v>
      </c>
      <c r="P335" t="s">
        <v>74</v>
      </c>
      <c r="Q335" t="s">
        <v>74</v>
      </c>
      <c r="R335" t="s">
        <v>74</v>
      </c>
      <c r="S335" t="s">
        <v>74</v>
      </c>
      <c r="T335" t="s">
        <v>5471</v>
      </c>
      <c r="U335" t="s">
        <v>5472</v>
      </c>
      <c r="V335" t="s">
        <v>5473</v>
      </c>
      <c r="W335" t="s">
        <v>5474</v>
      </c>
      <c r="X335" t="s">
        <v>5475</v>
      </c>
      <c r="Y335" t="s">
        <v>5476</v>
      </c>
      <c r="Z335" t="s">
        <v>5477</v>
      </c>
      <c r="AA335" t="s">
        <v>5478</v>
      </c>
      <c r="AB335" t="s">
        <v>5479</v>
      </c>
      <c r="AC335" t="s">
        <v>5480</v>
      </c>
      <c r="AD335" t="s">
        <v>5481</v>
      </c>
      <c r="AE335" t="s">
        <v>5482</v>
      </c>
      <c r="AF335" t="s">
        <v>74</v>
      </c>
      <c r="AG335">
        <v>39</v>
      </c>
      <c r="AH335">
        <v>4</v>
      </c>
      <c r="AI335">
        <v>5</v>
      </c>
      <c r="AJ335">
        <v>0</v>
      </c>
      <c r="AK335">
        <v>9</v>
      </c>
      <c r="AL335" t="s">
        <v>92</v>
      </c>
      <c r="AM335" t="s">
        <v>93</v>
      </c>
      <c r="AN335" t="s">
        <v>94</v>
      </c>
      <c r="AO335" t="s">
        <v>95</v>
      </c>
      <c r="AP335" t="s">
        <v>96</v>
      </c>
      <c r="AQ335" t="s">
        <v>74</v>
      </c>
      <c r="AR335" t="s">
        <v>97</v>
      </c>
      <c r="AS335" t="s">
        <v>98</v>
      </c>
      <c r="AT335" t="s">
        <v>471</v>
      </c>
      <c r="AU335">
        <v>2019</v>
      </c>
      <c r="AV335">
        <v>64</v>
      </c>
      <c r="AW335">
        <v>2</v>
      </c>
      <c r="AX335" t="s">
        <v>74</v>
      </c>
      <c r="AY335" t="s">
        <v>74</v>
      </c>
      <c r="AZ335" t="s">
        <v>74</v>
      </c>
      <c r="BA335" t="s">
        <v>74</v>
      </c>
      <c r="BB335" t="s">
        <v>74</v>
      </c>
      <c r="BC335" t="s">
        <v>74</v>
      </c>
      <c r="BD335">
        <v>25009</v>
      </c>
      <c r="BE335" t="s">
        <v>5483</v>
      </c>
      <c r="BF335" t="str">
        <f>HYPERLINK("http://dx.doi.org/10.1088/1361-6560/aaf819","http://dx.doi.org/10.1088/1361-6560/aaf819")</f>
        <v>http://dx.doi.org/10.1088/1361-6560/aaf819</v>
      </c>
      <c r="BG335" t="s">
        <v>74</v>
      </c>
      <c r="BH335" t="s">
        <v>74</v>
      </c>
      <c r="BI335">
        <v>9</v>
      </c>
      <c r="BJ335" t="s">
        <v>101</v>
      </c>
      <c r="BK335" t="s">
        <v>102</v>
      </c>
      <c r="BL335" t="s">
        <v>103</v>
      </c>
      <c r="BM335" t="s">
        <v>3082</v>
      </c>
      <c r="BN335">
        <v>30540983</v>
      </c>
      <c r="BO335" t="s">
        <v>270</v>
      </c>
      <c r="BP335" t="s">
        <v>74</v>
      </c>
      <c r="BQ335" t="s">
        <v>74</v>
      </c>
      <c r="BR335" t="s">
        <v>106</v>
      </c>
      <c r="BS335" t="s">
        <v>5484</v>
      </c>
      <c r="BT335" t="str">
        <f>HYPERLINK("https%3A%2F%2Fwww.webofscience.com%2Fwos%2Fwoscc%2Ffull-record%2FWOS:000455823300006","View Full Record in Web of Science")</f>
        <v>View Full Record in Web of Science</v>
      </c>
    </row>
    <row r="336" spans="1:72" x14ac:dyDescent="0.25">
      <c r="A336" t="s">
        <v>72</v>
      </c>
      <c r="B336" t="s">
        <v>5485</v>
      </c>
      <c r="C336" t="s">
        <v>74</v>
      </c>
      <c r="D336" t="s">
        <v>74</v>
      </c>
      <c r="E336" t="s">
        <v>74</v>
      </c>
      <c r="F336" t="s">
        <v>5486</v>
      </c>
      <c r="G336" t="s">
        <v>74</v>
      </c>
      <c r="H336" t="s">
        <v>74</v>
      </c>
      <c r="I336" t="s">
        <v>5487</v>
      </c>
      <c r="J336" t="s">
        <v>77</v>
      </c>
      <c r="K336" t="s">
        <v>74</v>
      </c>
      <c r="L336" t="s">
        <v>74</v>
      </c>
      <c r="M336" t="s">
        <v>78</v>
      </c>
      <c r="N336" t="s">
        <v>79</v>
      </c>
      <c r="O336" t="s">
        <v>74</v>
      </c>
      <c r="P336" t="s">
        <v>74</v>
      </c>
      <c r="Q336" t="s">
        <v>74</v>
      </c>
      <c r="R336" t="s">
        <v>74</v>
      </c>
      <c r="S336" t="s">
        <v>74</v>
      </c>
      <c r="T336" t="s">
        <v>5488</v>
      </c>
      <c r="U336" t="s">
        <v>5489</v>
      </c>
      <c r="V336" t="s">
        <v>5490</v>
      </c>
      <c r="W336" t="s">
        <v>5491</v>
      </c>
      <c r="X336" t="s">
        <v>5492</v>
      </c>
      <c r="Y336" t="s">
        <v>5145</v>
      </c>
      <c r="Z336" t="s">
        <v>5493</v>
      </c>
      <c r="AA336" t="s">
        <v>5494</v>
      </c>
      <c r="AB336" t="s">
        <v>5495</v>
      </c>
      <c r="AC336" t="s">
        <v>5496</v>
      </c>
      <c r="AD336" t="s">
        <v>5497</v>
      </c>
      <c r="AE336" t="s">
        <v>5498</v>
      </c>
      <c r="AF336" t="s">
        <v>74</v>
      </c>
      <c r="AG336">
        <v>33</v>
      </c>
      <c r="AH336">
        <v>3</v>
      </c>
      <c r="AI336">
        <v>3</v>
      </c>
      <c r="AJ336">
        <v>0</v>
      </c>
      <c r="AK336">
        <v>16</v>
      </c>
      <c r="AL336" t="s">
        <v>92</v>
      </c>
      <c r="AM336" t="s">
        <v>93</v>
      </c>
      <c r="AN336" t="s">
        <v>94</v>
      </c>
      <c r="AO336" t="s">
        <v>95</v>
      </c>
      <c r="AP336" t="s">
        <v>96</v>
      </c>
      <c r="AQ336" t="s">
        <v>74</v>
      </c>
      <c r="AR336" t="s">
        <v>97</v>
      </c>
      <c r="AS336" t="s">
        <v>98</v>
      </c>
      <c r="AT336" t="s">
        <v>99</v>
      </c>
      <c r="AU336">
        <v>2019</v>
      </c>
      <c r="AV336">
        <v>64</v>
      </c>
      <c r="AW336">
        <v>23</v>
      </c>
      <c r="AX336" t="s">
        <v>74</v>
      </c>
      <c r="AY336" t="s">
        <v>74</v>
      </c>
      <c r="AZ336" t="s">
        <v>74</v>
      </c>
      <c r="BA336" t="s">
        <v>74</v>
      </c>
      <c r="BB336" t="s">
        <v>74</v>
      </c>
      <c r="BC336" t="s">
        <v>74</v>
      </c>
      <c r="BD336">
        <v>235007</v>
      </c>
      <c r="BE336" t="s">
        <v>5499</v>
      </c>
      <c r="BF336" t="str">
        <f>HYPERLINK("http://dx.doi.org/10.1088/1361-6560/ab553d","http://dx.doi.org/10.1088/1361-6560/ab553d")</f>
        <v>http://dx.doi.org/10.1088/1361-6560/ab553d</v>
      </c>
      <c r="BG336" t="s">
        <v>74</v>
      </c>
      <c r="BH336" t="s">
        <v>74</v>
      </c>
      <c r="BI336">
        <v>10</v>
      </c>
      <c r="BJ336" t="s">
        <v>101</v>
      </c>
      <c r="BK336" t="s">
        <v>102</v>
      </c>
      <c r="BL336" t="s">
        <v>103</v>
      </c>
      <c r="BM336" t="s">
        <v>1343</v>
      </c>
      <c r="BN336">
        <v>31698349</v>
      </c>
      <c r="BO336" t="s">
        <v>105</v>
      </c>
      <c r="BP336" t="s">
        <v>74</v>
      </c>
      <c r="BQ336" t="s">
        <v>74</v>
      </c>
      <c r="BR336" t="s">
        <v>106</v>
      </c>
      <c r="BS336" t="s">
        <v>5500</v>
      </c>
      <c r="BT336" t="str">
        <f>HYPERLINK("https%3A%2F%2Fwww.webofscience.com%2Fwos%2Fwoscc%2Ffull-record%2FWOS:000518764900001","View Full Record in Web of Science")</f>
        <v>View Full Record in Web of Science</v>
      </c>
    </row>
    <row r="337" spans="1:72" x14ac:dyDescent="0.25">
      <c r="A337" t="s">
        <v>72</v>
      </c>
      <c r="B337" t="s">
        <v>5501</v>
      </c>
      <c r="C337" t="s">
        <v>74</v>
      </c>
      <c r="D337" t="s">
        <v>74</v>
      </c>
      <c r="E337" t="s">
        <v>74</v>
      </c>
      <c r="F337" t="s">
        <v>5502</v>
      </c>
      <c r="G337" t="s">
        <v>74</v>
      </c>
      <c r="H337" t="s">
        <v>74</v>
      </c>
      <c r="I337" t="s">
        <v>5503</v>
      </c>
      <c r="J337" t="s">
        <v>77</v>
      </c>
      <c r="K337" t="s">
        <v>74</v>
      </c>
      <c r="L337" t="s">
        <v>74</v>
      </c>
      <c r="M337" t="s">
        <v>78</v>
      </c>
      <c r="N337" t="s">
        <v>79</v>
      </c>
      <c r="O337" t="s">
        <v>74</v>
      </c>
      <c r="P337" t="s">
        <v>74</v>
      </c>
      <c r="Q337" t="s">
        <v>74</v>
      </c>
      <c r="R337" t="s">
        <v>74</v>
      </c>
      <c r="S337" t="s">
        <v>74</v>
      </c>
      <c r="T337" t="s">
        <v>5504</v>
      </c>
      <c r="U337" t="s">
        <v>5505</v>
      </c>
      <c r="V337" t="s">
        <v>5506</v>
      </c>
      <c r="W337" t="s">
        <v>5507</v>
      </c>
      <c r="X337" t="s">
        <v>5508</v>
      </c>
      <c r="Y337" t="s">
        <v>5509</v>
      </c>
      <c r="Z337" t="s">
        <v>5510</v>
      </c>
      <c r="AA337" t="s">
        <v>5511</v>
      </c>
      <c r="AB337" t="s">
        <v>5512</v>
      </c>
      <c r="AC337" t="s">
        <v>74</v>
      </c>
      <c r="AD337" t="s">
        <v>74</v>
      </c>
      <c r="AE337" t="s">
        <v>74</v>
      </c>
      <c r="AF337" t="s">
        <v>74</v>
      </c>
      <c r="AG337">
        <v>39</v>
      </c>
      <c r="AH337">
        <v>25</v>
      </c>
      <c r="AI337">
        <v>25</v>
      </c>
      <c r="AJ337">
        <v>0</v>
      </c>
      <c r="AK337">
        <v>6</v>
      </c>
      <c r="AL337" t="s">
        <v>157</v>
      </c>
      <c r="AM337" t="s">
        <v>93</v>
      </c>
      <c r="AN337" t="s">
        <v>94</v>
      </c>
      <c r="AO337" t="s">
        <v>95</v>
      </c>
      <c r="AP337" t="s">
        <v>96</v>
      </c>
      <c r="AQ337" t="s">
        <v>74</v>
      </c>
      <c r="AR337" t="s">
        <v>97</v>
      </c>
      <c r="AS337" t="s">
        <v>98</v>
      </c>
      <c r="AT337" t="s">
        <v>137</v>
      </c>
      <c r="AU337">
        <v>2019</v>
      </c>
      <c r="AV337">
        <v>64</v>
      </c>
      <c r="AW337">
        <v>22</v>
      </c>
      <c r="AX337" t="s">
        <v>74</v>
      </c>
      <c r="AY337" t="s">
        <v>74</v>
      </c>
      <c r="AZ337" t="s">
        <v>74</v>
      </c>
      <c r="BA337" t="s">
        <v>74</v>
      </c>
      <c r="BB337" t="s">
        <v>74</v>
      </c>
      <c r="BC337" t="s">
        <v>74</v>
      </c>
      <c r="BD337">
        <v>225020</v>
      </c>
      <c r="BE337" t="s">
        <v>5513</v>
      </c>
      <c r="BF337" t="str">
        <f>HYPERLINK("http://dx.doi.org/10.1088/1361-6560/ab3841","http://dx.doi.org/10.1088/1361-6560/ab3841")</f>
        <v>http://dx.doi.org/10.1088/1361-6560/ab3841</v>
      </c>
      <c r="BG337" t="s">
        <v>74</v>
      </c>
      <c r="BH337" t="s">
        <v>74</v>
      </c>
      <c r="BI337">
        <v>13</v>
      </c>
      <c r="BJ337" t="s">
        <v>101</v>
      </c>
      <c r="BK337" t="s">
        <v>102</v>
      </c>
      <c r="BL337" t="s">
        <v>103</v>
      </c>
      <c r="BM337" t="s">
        <v>5514</v>
      </c>
      <c r="BN337">
        <v>31374558</v>
      </c>
      <c r="BO337" t="s">
        <v>140</v>
      </c>
      <c r="BP337" t="s">
        <v>74</v>
      </c>
      <c r="BQ337" t="s">
        <v>74</v>
      </c>
      <c r="BR337" t="s">
        <v>106</v>
      </c>
      <c r="BS337" t="s">
        <v>5515</v>
      </c>
      <c r="BT337" t="str">
        <f>HYPERLINK("https%3A%2F%2Fwww.webofscience.com%2Fwos%2Fwoscc%2Ffull-record%2FWOS:000501302100001","View Full Record in Web of Science")</f>
        <v>View Full Record in Web of Science</v>
      </c>
    </row>
    <row r="338" spans="1:72" x14ac:dyDescent="0.25">
      <c r="A338" t="s">
        <v>72</v>
      </c>
      <c r="B338" t="s">
        <v>5516</v>
      </c>
      <c r="C338" t="s">
        <v>74</v>
      </c>
      <c r="D338" t="s">
        <v>74</v>
      </c>
      <c r="E338" t="s">
        <v>74</v>
      </c>
      <c r="F338" t="s">
        <v>5517</v>
      </c>
      <c r="G338" t="s">
        <v>74</v>
      </c>
      <c r="H338" t="s">
        <v>74</v>
      </c>
      <c r="I338" t="s">
        <v>5518</v>
      </c>
      <c r="J338" t="s">
        <v>77</v>
      </c>
      <c r="K338" t="s">
        <v>74</v>
      </c>
      <c r="L338" t="s">
        <v>74</v>
      </c>
      <c r="M338" t="s">
        <v>78</v>
      </c>
      <c r="N338" t="s">
        <v>79</v>
      </c>
      <c r="O338" t="s">
        <v>74</v>
      </c>
      <c r="P338" t="s">
        <v>74</v>
      </c>
      <c r="Q338" t="s">
        <v>74</v>
      </c>
      <c r="R338" t="s">
        <v>74</v>
      </c>
      <c r="S338" t="s">
        <v>74</v>
      </c>
      <c r="T338" t="s">
        <v>5519</v>
      </c>
      <c r="U338" t="s">
        <v>1334</v>
      </c>
      <c r="V338" t="s">
        <v>5520</v>
      </c>
      <c r="W338" t="s">
        <v>5521</v>
      </c>
      <c r="X338" t="s">
        <v>5522</v>
      </c>
      <c r="Y338" t="s">
        <v>5523</v>
      </c>
      <c r="Z338" t="s">
        <v>5524</v>
      </c>
      <c r="AA338" t="s">
        <v>5525</v>
      </c>
      <c r="AB338" t="s">
        <v>5526</v>
      </c>
      <c r="AC338" t="s">
        <v>5527</v>
      </c>
      <c r="AD338" t="s">
        <v>5528</v>
      </c>
      <c r="AE338" t="s">
        <v>5529</v>
      </c>
      <c r="AF338" t="s">
        <v>74</v>
      </c>
      <c r="AG338">
        <v>9</v>
      </c>
      <c r="AH338">
        <v>3</v>
      </c>
      <c r="AI338">
        <v>5</v>
      </c>
      <c r="AJ338">
        <v>0</v>
      </c>
      <c r="AK338">
        <v>5</v>
      </c>
      <c r="AL338" t="s">
        <v>92</v>
      </c>
      <c r="AM338" t="s">
        <v>93</v>
      </c>
      <c r="AN338" t="s">
        <v>94</v>
      </c>
      <c r="AO338" t="s">
        <v>95</v>
      </c>
      <c r="AP338" t="s">
        <v>96</v>
      </c>
      <c r="AQ338" t="s">
        <v>74</v>
      </c>
      <c r="AR338" t="s">
        <v>97</v>
      </c>
      <c r="AS338" t="s">
        <v>98</v>
      </c>
      <c r="AT338" t="s">
        <v>196</v>
      </c>
      <c r="AU338">
        <v>2019</v>
      </c>
      <c r="AV338">
        <v>64</v>
      </c>
      <c r="AW338">
        <v>15</v>
      </c>
      <c r="AX338" t="s">
        <v>74</v>
      </c>
      <c r="AY338" t="s">
        <v>74</v>
      </c>
      <c r="AZ338" t="s">
        <v>74</v>
      </c>
      <c r="BA338" t="s">
        <v>74</v>
      </c>
      <c r="BB338" t="s">
        <v>74</v>
      </c>
      <c r="BC338" t="s">
        <v>74</v>
      </c>
      <c r="BD338">
        <v>155018</v>
      </c>
      <c r="BE338" t="s">
        <v>5530</v>
      </c>
      <c r="BF338" t="str">
        <f>HYPERLINK("http://dx.doi.org/10.1088/1361-6560/ab0da6","http://dx.doi.org/10.1088/1361-6560/ab0da6")</f>
        <v>http://dx.doi.org/10.1088/1361-6560/ab0da6</v>
      </c>
      <c r="BG338" t="s">
        <v>74</v>
      </c>
      <c r="BH338" t="s">
        <v>74</v>
      </c>
      <c r="BI338">
        <v>13</v>
      </c>
      <c r="BJ338" t="s">
        <v>101</v>
      </c>
      <c r="BK338" t="s">
        <v>102</v>
      </c>
      <c r="BL338" t="s">
        <v>103</v>
      </c>
      <c r="BM338" t="s">
        <v>198</v>
      </c>
      <c r="BN338">
        <v>30844778</v>
      </c>
      <c r="BO338" t="s">
        <v>105</v>
      </c>
      <c r="BP338" t="s">
        <v>74</v>
      </c>
      <c r="BQ338" t="s">
        <v>74</v>
      </c>
      <c r="BR338" t="s">
        <v>106</v>
      </c>
      <c r="BS338" t="s">
        <v>5531</v>
      </c>
      <c r="BT338" t="str">
        <f>HYPERLINK("https%3A%2F%2Fwww.webofscience.com%2Fwos%2Fwoscc%2Ffull-record%2FWOS:000480292700013","View Full Record in Web of Science")</f>
        <v>View Full Record in Web of Science</v>
      </c>
    </row>
    <row r="339" spans="1:72" x14ac:dyDescent="0.25">
      <c r="A339" t="s">
        <v>72</v>
      </c>
      <c r="B339" t="s">
        <v>5532</v>
      </c>
      <c r="C339" t="s">
        <v>74</v>
      </c>
      <c r="D339" t="s">
        <v>74</v>
      </c>
      <c r="E339" t="s">
        <v>74</v>
      </c>
      <c r="F339" t="s">
        <v>5533</v>
      </c>
      <c r="G339" t="s">
        <v>74</v>
      </c>
      <c r="H339" t="s">
        <v>74</v>
      </c>
      <c r="I339" t="s">
        <v>5534</v>
      </c>
      <c r="J339" t="s">
        <v>77</v>
      </c>
      <c r="K339" t="s">
        <v>74</v>
      </c>
      <c r="L339" t="s">
        <v>74</v>
      </c>
      <c r="M339" t="s">
        <v>78</v>
      </c>
      <c r="N339" t="s">
        <v>79</v>
      </c>
      <c r="O339" t="s">
        <v>74</v>
      </c>
      <c r="P339" t="s">
        <v>74</v>
      </c>
      <c r="Q339" t="s">
        <v>74</v>
      </c>
      <c r="R339" t="s">
        <v>74</v>
      </c>
      <c r="S339" t="s">
        <v>74</v>
      </c>
      <c r="T339" t="s">
        <v>5535</v>
      </c>
      <c r="U339" t="s">
        <v>5536</v>
      </c>
      <c r="V339" t="s">
        <v>5537</v>
      </c>
      <c r="W339" t="s">
        <v>5538</v>
      </c>
      <c r="X339" t="s">
        <v>5539</v>
      </c>
      <c r="Y339" t="s">
        <v>5540</v>
      </c>
      <c r="Z339" t="s">
        <v>5541</v>
      </c>
      <c r="AA339" t="s">
        <v>5542</v>
      </c>
      <c r="AB339" t="s">
        <v>5543</v>
      </c>
      <c r="AC339" t="s">
        <v>5544</v>
      </c>
      <c r="AD339" t="s">
        <v>5545</v>
      </c>
      <c r="AE339" t="s">
        <v>5546</v>
      </c>
      <c r="AF339" t="s">
        <v>74</v>
      </c>
      <c r="AG339">
        <v>39</v>
      </c>
      <c r="AH339">
        <v>21</v>
      </c>
      <c r="AI339">
        <v>22</v>
      </c>
      <c r="AJ339">
        <v>0</v>
      </c>
      <c r="AK339">
        <v>2</v>
      </c>
      <c r="AL339" t="s">
        <v>157</v>
      </c>
      <c r="AM339" t="s">
        <v>93</v>
      </c>
      <c r="AN339" t="s">
        <v>94</v>
      </c>
      <c r="AO339" t="s">
        <v>95</v>
      </c>
      <c r="AP339" t="s">
        <v>96</v>
      </c>
      <c r="AQ339" t="s">
        <v>74</v>
      </c>
      <c r="AR339" t="s">
        <v>97</v>
      </c>
      <c r="AS339" t="s">
        <v>98</v>
      </c>
      <c r="AT339" t="s">
        <v>214</v>
      </c>
      <c r="AU339">
        <v>2019</v>
      </c>
      <c r="AV339">
        <v>64</v>
      </c>
      <c r="AW339">
        <v>14</v>
      </c>
      <c r="AX339" t="s">
        <v>74</v>
      </c>
      <c r="AY339" t="s">
        <v>74</v>
      </c>
      <c r="AZ339" t="s">
        <v>74</v>
      </c>
      <c r="BA339" t="s">
        <v>74</v>
      </c>
      <c r="BB339" t="s">
        <v>74</v>
      </c>
      <c r="BC339" t="s">
        <v>74</v>
      </c>
      <c r="BD339">
        <v>145014</v>
      </c>
      <c r="BE339" t="s">
        <v>5547</v>
      </c>
      <c r="BF339" t="str">
        <f>HYPERLINK("http://dx.doi.org/10.1088/1361-6560/ab25ce","http://dx.doi.org/10.1088/1361-6560/ab25ce")</f>
        <v>http://dx.doi.org/10.1088/1361-6560/ab25ce</v>
      </c>
      <c r="BG339" t="s">
        <v>74</v>
      </c>
      <c r="BH339" t="s">
        <v>74</v>
      </c>
      <c r="BI339">
        <v>9</v>
      </c>
      <c r="BJ339" t="s">
        <v>101</v>
      </c>
      <c r="BK339" t="s">
        <v>102</v>
      </c>
      <c r="BL339" t="s">
        <v>103</v>
      </c>
      <c r="BM339" t="s">
        <v>233</v>
      </c>
      <c r="BN339">
        <v>31146265</v>
      </c>
      <c r="BO339" t="s">
        <v>74</v>
      </c>
      <c r="BP339" t="s">
        <v>74</v>
      </c>
      <c r="BQ339" t="s">
        <v>74</v>
      </c>
      <c r="BR339" t="s">
        <v>106</v>
      </c>
      <c r="BS339" t="s">
        <v>5548</v>
      </c>
      <c r="BT339" t="str">
        <f>HYPERLINK("https%3A%2F%2Fwww.webofscience.com%2Fwos%2Fwoscc%2Ffull-record%2FWOS:000475775200007","View Full Record in Web of Science")</f>
        <v>View Full Record in Web of Science</v>
      </c>
    </row>
    <row r="340" spans="1:72" x14ac:dyDescent="0.25">
      <c r="A340" t="s">
        <v>72</v>
      </c>
      <c r="B340" t="s">
        <v>5549</v>
      </c>
      <c r="C340" t="s">
        <v>74</v>
      </c>
      <c r="D340" t="s">
        <v>74</v>
      </c>
      <c r="E340" t="s">
        <v>74</v>
      </c>
      <c r="F340" t="s">
        <v>5550</v>
      </c>
      <c r="G340" t="s">
        <v>74</v>
      </c>
      <c r="H340" t="s">
        <v>74</v>
      </c>
      <c r="I340" t="s">
        <v>5551</v>
      </c>
      <c r="J340" t="s">
        <v>77</v>
      </c>
      <c r="K340" t="s">
        <v>74</v>
      </c>
      <c r="L340" t="s">
        <v>74</v>
      </c>
      <c r="M340" t="s">
        <v>78</v>
      </c>
      <c r="N340" t="s">
        <v>79</v>
      </c>
      <c r="O340" t="s">
        <v>74</v>
      </c>
      <c r="P340" t="s">
        <v>74</v>
      </c>
      <c r="Q340" t="s">
        <v>74</v>
      </c>
      <c r="R340" t="s">
        <v>74</v>
      </c>
      <c r="S340" t="s">
        <v>74</v>
      </c>
      <c r="T340" t="s">
        <v>5552</v>
      </c>
      <c r="U340" t="s">
        <v>5553</v>
      </c>
      <c r="V340" t="s">
        <v>5554</v>
      </c>
      <c r="W340" t="s">
        <v>5555</v>
      </c>
      <c r="X340" t="s">
        <v>5556</v>
      </c>
      <c r="Y340" t="s">
        <v>5557</v>
      </c>
      <c r="Z340" t="s">
        <v>5558</v>
      </c>
      <c r="AA340" t="s">
        <v>5559</v>
      </c>
      <c r="AB340" t="s">
        <v>74</v>
      </c>
      <c r="AC340" t="s">
        <v>5560</v>
      </c>
      <c r="AD340" t="s">
        <v>5561</v>
      </c>
      <c r="AE340" t="s">
        <v>5562</v>
      </c>
      <c r="AF340" t="s">
        <v>74</v>
      </c>
      <c r="AG340">
        <v>39</v>
      </c>
      <c r="AH340">
        <v>16</v>
      </c>
      <c r="AI340">
        <v>16</v>
      </c>
      <c r="AJ340">
        <v>1</v>
      </c>
      <c r="AK340">
        <v>24</v>
      </c>
      <c r="AL340" t="s">
        <v>92</v>
      </c>
      <c r="AM340" t="s">
        <v>93</v>
      </c>
      <c r="AN340" t="s">
        <v>94</v>
      </c>
      <c r="AO340" t="s">
        <v>95</v>
      </c>
      <c r="AP340" t="s">
        <v>96</v>
      </c>
      <c r="AQ340" t="s">
        <v>74</v>
      </c>
      <c r="AR340" t="s">
        <v>97</v>
      </c>
      <c r="AS340" t="s">
        <v>98</v>
      </c>
      <c r="AT340" t="s">
        <v>214</v>
      </c>
      <c r="AU340">
        <v>2019</v>
      </c>
      <c r="AV340">
        <v>64</v>
      </c>
      <c r="AW340">
        <v>14</v>
      </c>
      <c r="AX340" t="s">
        <v>74</v>
      </c>
      <c r="AY340" t="s">
        <v>74</v>
      </c>
      <c r="AZ340" t="s">
        <v>74</v>
      </c>
      <c r="BA340" t="s">
        <v>74</v>
      </c>
      <c r="BB340" t="s">
        <v>74</v>
      </c>
      <c r="BC340" t="s">
        <v>74</v>
      </c>
      <c r="BD340">
        <v>145006</v>
      </c>
      <c r="BE340" t="s">
        <v>5563</v>
      </c>
      <c r="BF340" t="str">
        <f>HYPERLINK("http://dx.doi.org/10.1088/1361-6560/ab22ed","http://dx.doi.org/10.1088/1361-6560/ab22ed")</f>
        <v>http://dx.doi.org/10.1088/1361-6560/ab22ed</v>
      </c>
      <c r="BG340" t="s">
        <v>74</v>
      </c>
      <c r="BH340" t="s">
        <v>74</v>
      </c>
      <c r="BI340">
        <v>17</v>
      </c>
      <c r="BJ340" t="s">
        <v>101</v>
      </c>
      <c r="BK340" t="s">
        <v>102</v>
      </c>
      <c r="BL340" t="s">
        <v>103</v>
      </c>
      <c r="BM340" t="s">
        <v>529</v>
      </c>
      <c r="BN340">
        <v>31108484</v>
      </c>
      <c r="BO340" t="s">
        <v>74</v>
      </c>
      <c r="BP340" t="s">
        <v>74</v>
      </c>
      <c r="BQ340" t="s">
        <v>74</v>
      </c>
      <c r="BR340" t="s">
        <v>106</v>
      </c>
      <c r="BS340" t="s">
        <v>5564</v>
      </c>
      <c r="BT340" t="str">
        <f>HYPERLINK("https%3A%2F%2Fwww.webofscience.com%2Fwos%2Fwoscc%2Ffull-record%2FWOS:000475378800006","View Full Record in Web of Science")</f>
        <v>View Full Record in Web of Science</v>
      </c>
    </row>
    <row r="341" spans="1:72" x14ac:dyDescent="0.25">
      <c r="A341" t="s">
        <v>72</v>
      </c>
      <c r="B341" t="s">
        <v>5565</v>
      </c>
      <c r="C341" t="s">
        <v>74</v>
      </c>
      <c r="D341" t="s">
        <v>74</v>
      </c>
      <c r="E341" t="s">
        <v>74</v>
      </c>
      <c r="F341" t="s">
        <v>5566</v>
      </c>
      <c r="G341" t="s">
        <v>74</v>
      </c>
      <c r="H341" t="s">
        <v>74</v>
      </c>
      <c r="I341" t="s">
        <v>5567</v>
      </c>
      <c r="J341" t="s">
        <v>77</v>
      </c>
      <c r="K341" t="s">
        <v>74</v>
      </c>
      <c r="L341" t="s">
        <v>74</v>
      </c>
      <c r="M341" t="s">
        <v>78</v>
      </c>
      <c r="N341" t="s">
        <v>79</v>
      </c>
      <c r="O341" t="s">
        <v>74</v>
      </c>
      <c r="P341" t="s">
        <v>74</v>
      </c>
      <c r="Q341" t="s">
        <v>74</v>
      </c>
      <c r="R341" t="s">
        <v>74</v>
      </c>
      <c r="S341" t="s">
        <v>74</v>
      </c>
      <c r="T341" t="s">
        <v>5568</v>
      </c>
      <c r="U341" t="s">
        <v>5569</v>
      </c>
      <c r="V341" t="s">
        <v>5570</v>
      </c>
      <c r="W341" t="s">
        <v>5571</v>
      </c>
      <c r="X341" t="s">
        <v>5572</v>
      </c>
      <c r="Y341" t="s">
        <v>5573</v>
      </c>
      <c r="Z341" t="s">
        <v>5574</v>
      </c>
      <c r="AA341" t="s">
        <v>5575</v>
      </c>
      <c r="AB341" t="s">
        <v>5576</v>
      </c>
      <c r="AC341" t="s">
        <v>5577</v>
      </c>
      <c r="AD341" t="s">
        <v>5578</v>
      </c>
      <c r="AE341" t="s">
        <v>5579</v>
      </c>
      <c r="AF341" t="s">
        <v>74</v>
      </c>
      <c r="AG341">
        <v>34</v>
      </c>
      <c r="AH341">
        <v>8</v>
      </c>
      <c r="AI341">
        <v>10</v>
      </c>
      <c r="AJ341">
        <v>1</v>
      </c>
      <c r="AK341">
        <v>18</v>
      </c>
      <c r="AL341" t="s">
        <v>92</v>
      </c>
      <c r="AM341" t="s">
        <v>93</v>
      </c>
      <c r="AN341" t="s">
        <v>94</v>
      </c>
      <c r="AO341" t="s">
        <v>95</v>
      </c>
      <c r="AP341" t="s">
        <v>96</v>
      </c>
      <c r="AQ341" t="s">
        <v>74</v>
      </c>
      <c r="AR341" t="s">
        <v>97</v>
      </c>
      <c r="AS341" t="s">
        <v>98</v>
      </c>
      <c r="AT341" t="s">
        <v>214</v>
      </c>
      <c r="AU341">
        <v>2019</v>
      </c>
      <c r="AV341">
        <v>64</v>
      </c>
      <c r="AW341">
        <v>13</v>
      </c>
      <c r="AX341" t="s">
        <v>74</v>
      </c>
      <c r="AY341" t="s">
        <v>74</v>
      </c>
      <c r="AZ341" t="s">
        <v>74</v>
      </c>
      <c r="BA341" t="s">
        <v>74</v>
      </c>
      <c r="BB341" t="s">
        <v>74</v>
      </c>
      <c r="BC341" t="s">
        <v>74</v>
      </c>
      <c r="BD341">
        <v>135017</v>
      </c>
      <c r="BE341" t="s">
        <v>5580</v>
      </c>
      <c r="BF341" t="str">
        <f>HYPERLINK("http://dx.doi.org/10.1088/1361-6560/ab23cb","http://dx.doi.org/10.1088/1361-6560/ab23cb")</f>
        <v>http://dx.doi.org/10.1088/1361-6560/ab23cb</v>
      </c>
      <c r="BG341" t="s">
        <v>74</v>
      </c>
      <c r="BH341" t="s">
        <v>74</v>
      </c>
      <c r="BI341">
        <v>14</v>
      </c>
      <c r="BJ341" t="s">
        <v>101</v>
      </c>
      <c r="BK341" t="s">
        <v>102</v>
      </c>
      <c r="BL341" t="s">
        <v>103</v>
      </c>
      <c r="BM341" t="s">
        <v>1111</v>
      </c>
      <c r="BN341">
        <v>31117057</v>
      </c>
      <c r="BO341" t="s">
        <v>105</v>
      </c>
      <c r="BP341" t="s">
        <v>74</v>
      </c>
      <c r="BQ341" t="s">
        <v>74</v>
      </c>
      <c r="BR341" t="s">
        <v>106</v>
      </c>
      <c r="BS341" t="s">
        <v>5581</v>
      </c>
      <c r="BT341" t="str">
        <f>HYPERLINK("https%3A%2F%2Fwww.webofscience.com%2Fwos%2Fwoscc%2Ffull-record%2FWOS:000474396800003","View Full Record in Web of Science")</f>
        <v>View Full Record in Web of Science</v>
      </c>
    </row>
    <row r="342" spans="1:72" x14ac:dyDescent="0.25">
      <c r="A342" t="s">
        <v>72</v>
      </c>
      <c r="B342" t="s">
        <v>5582</v>
      </c>
      <c r="C342" t="s">
        <v>74</v>
      </c>
      <c r="D342" t="s">
        <v>74</v>
      </c>
      <c r="E342" t="s">
        <v>74</v>
      </c>
      <c r="F342" t="s">
        <v>5583</v>
      </c>
      <c r="G342" t="s">
        <v>74</v>
      </c>
      <c r="H342" t="s">
        <v>74</v>
      </c>
      <c r="I342" t="s">
        <v>5584</v>
      </c>
      <c r="J342" t="s">
        <v>77</v>
      </c>
      <c r="K342" t="s">
        <v>74</v>
      </c>
      <c r="L342" t="s">
        <v>74</v>
      </c>
      <c r="M342" t="s">
        <v>78</v>
      </c>
      <c r="N342" t="s">
        <v>79</v>
      </c>
      <c r="O342" t="s">
        <v>74</v>
      </c>
      <c r="P342" t="s">
        <v>74</v>
      </c>
      <c r="Q342" t="s">
        <v>74</v>
      </c>
      <c r="R342" t="s">
        <v>74</v>
      </c>
      <c r="S342" t="s">
        <v>74</v>
      </c>
      <c r="T342" t="s">
        <v>5585</v>
      </c>
      <c r="U342" t="s">
        <v>5586</v>
      </c>
      <c r="V342" t="s">
        <v>5587</v>
      </c>
      <c r="W342" t="s">
        <v>5588</v>
      </c>
      <c r="X342" t="s">
        <v>3509</v>
      </c>
      <c r="Y342" t="s">
        <v>5589</v>
      </c>
      <c r="Z342" t="s">
        <v>5590</v>
      </c>
      <c r="AA342" t="s">
        <v>5591</v>
      </c>
      <c r="AB342" t="s">
        <v>74</v>
      </c>
      <c r="AC342" t="s">
        <v>5592</v>
      </c>
      <c r="AD342" t="s">
        <v>5593</v>
      </c>
      <c r="AE342" t="s">
        <v>5594</v>
      </c>
      <c r="AF342" t="s">
        <v>74</v>
      </c>
      <c r="AG342">
        <v>48</v>
      </c>
      <c r="AH342">
        <v>14</v>
      </c>
      <c r="AI342">
        <v>15</v>
      </c>
      <c r="AJ342">
        <v>2</v>
      </c>
      <c r="AK342">
        <v>52</v>
      </c>
      <c r="AL342" t="s">
        <v>92</v>
      </c>
      <c r="AM342" t="s">
        <v>93</v>
      </c>
      <c r="AN342" t="s">
        <v>94</v>
      </c>
      <c r="AO342" t="s">
        <v>95</v>
      </c>
      <c r="AP342" t="s">
        <v>96</v>
      </c>
      <c r="AQ342" t="s">
        <v>74</v>
      </c>
      <c r="AR342" t="s">
        <v>97</v>
      </c>
      <c r="AS342" t="s">
        <v>98</v>
      </c>
      <c r="AT342" t="s">
        <v>214</v>
      </c>
      <c r="AU342">
        <v>2019</v>
      </c>
      <c r="AV342">
        <v>64</v>
      </c>
      <c r="AW342">
        <v>13</v>
      </c>
      <c r="AX342" t="s">
        <v>74</v>
      </c>
      <c r="AY342" t="s">
        <v>74</v>
      </c>
      <c r="AZ342" t="s">
        <v>74</v>
      </c>
      <c r="BA342" t="s">
        <v>74</v>
      </c>
      <c r="BB342" t="s">
        <v>74</v>
      </c>
      <c r="BC342" t="s">
        <v>74</v>
      </c>
      <c r="BD342">
        <v>135006</v>
      </c>
      <c r="BE342" t="s">
        <v>5595</v>
      </c>
      <c r="BF342" t="str">
        <f>HYPERLINK("http://dx.doi.org/10.1088/1361-6560/ab196d","http://dx.doi.org/10.1088/1361-6560/ab196d")</f>
        <v>http://dx.doi.org/10.1088/1361-6560/ab196d</v>
      </c>
      <c r="BG342" t="s">
        <v>74</v>
      </c>
      <c r="BH342" t="s">
        <v>74</v>
      </c>
      <c r="BI342">
        <v>22</v>
      </c>
      <c r="BJ342" t="s">
        <v>101</v>
      </c>
      <c r="BK342" t="s">
        <v>102</v>
      </c>
      <c r="BL342" t="s">
        <v>103</v>
      </c>
      <c r="BM342" t="s">
        <v>216</v>
      </c>
      <c r="BN342">
        <v>30986774</v>
      </c>
      <c r="BO342" t="s">
        <v>74</v>
      </c>
      <c r="BP342" t="s">
        <v>74</v>
      </c>
      <c r="BQ342" t="s">
        <v>74</v>
      </c>
      <c r="BR342" t="s">
        <v>106</v>
      </c>
      <c r="BS342" t="s">
        <v>5596</v>
      </c>
      <c r="BT342" t="str">
        <f>HYPERLINK("https%3A%2F%2Fwww.webofscience.com%2Fwos%2Fwoscc%2Ffull-record%2FWOS:000473698800006","View Full Record in Web of Science")</f>
        <v>View Full Record in Web of Science</v>
      </c>
    </row>
    <row r="343" spans="1:72" x14ac:dyDescent="0.25">
      <c r="A343" t="s">
        <v>72</v>
      </c>
      <c r="B343" t="s">
        <v>5597</v>
      </c>
      <c r="C343" t="s">
        <v>74</v>
      </c>
      <c r="D343" t="s">
        <v>74</v>
      </c>
      <c r="E343" t="s">
        <v>74</v>
      </c>
      <c r="F343" t="s">
        <v>5598</v>
      </c>
      <c r="G343" t="s">
        <v>74</v>
      </c>
      <c r="H343" t="s">
        <v>74</v>
      </c>
      <c r="I343" t="s">
        <v>5599</v>
      </c>
      <c r="J343" t="s">
        <v>77</v>
      </c>
      <c r="K343" t="s">
        <v>74</v>
      </c>
      <c r="L343" t="s">
        <v>74</v>
      </c>
      <c r="M343" t="s">
        <v>78</v>
      </c>
      <c r="N343" t="s">
        <v>79</v>
      </c>
      <c r="O343" t="s">
        <v>74</v>
      </c>
      <c r="P343" t="s">
        <v>74</v>
      </c>
      <c r="Q343" t="s">
        <v>74</v>
      </c>
      <c r="R343" t="s">
        <v>74</v>
      </c>
      <c r="S343" t="s">
        <v>74</v>
      </c>
      <c r="T343" t="s">
        <v>5600</v>
      </c>
      <c r="U343" t="s">
        <v>74</v>
      </c>
      <c r="V343" t="s">
        <v>5601</v>
      </c>
      <c r="W343" t="s">
        <v>5602</v>
      </c>
      <c r="X343" t="s">
        <v>74</v>
      </c>
      <c r="Y343" t="s">
        <v>5603</v>
      </c>
      <c r="Z343" t="s">
        <v>5604</v>
      </c>
      <c r="AA343" t="s">
        <v>74</v>
      </c>
      <c r="AB343" t="s">
        <v>74</v>
      </c>
      <c r="AC343" t="s">
        <v>74</v>
      </c>
      <c r="AD343" t="s">
        <v>74</v>
      </c>
      <c r="AE343" t="s">
        <v>74</v>
      </c>
      <c r="AF343" t="s">
        <v>74</v>
      </c>
      <c r="AG343">
        <v>16</v>
      </c>
      <c r="AH343">
        <v>3</v>
      </c>
      <c r="AI343">
        <v>3</v>
      </c>
      <c r="AJ343">
        <v>0</v>
      </c>
      <c r="AK343">
        <v>2</v>
      </c>
      <c r="AL343" t="s">
        <v>92</v>
      </c>
      <c r="AM343" t="s">
        <v>93</v>
      </c>
      <c r="AN343" t="s">
        <v>94</v>
      </c>
      <c r="AO343" t="s">
        <v>95</v>
      </c>
      <c r="AP343" t="s">
        <v>96</v>
      </c>
      <c r="AQ343" t="s">
        <v>74</v>
      </c>
      <c r="AR343" t="s">
        <v>97</v>
      </c>
      <c r="AS343" t="s">
        <v>98</v>
      </c>
      <c r="AT343" t="s">
        <v>250</v>
      </c>
      <c r="AU343">
        <v>2019</v>
      </c>
      <c r="AV343">
        <v>64</v>
      </c>
      <c r="AW343">
        <v>11</v>
      </c>
      <c r="AX343" t="s">
        <v>74</v>
      </c>
      <c r="AY343" t="s">
        <v>74</v>
      </c>
      <c r="AZ343" t="s">
        <v>74</v>
      </c>
      <c r="BA343" t="s">
        <v>74</v>
      </c>
      <c r="BB343" t="s">
        <v>74</v>
      </c>
      <c r="BC343" t="s">
        <v>74</v>
      </c>
      <c r="BD343">
        <v>115003</v>
      </c>
      <c r="BE343" t="s">
        <v>5605</v>
      </c>
      <c r="BF343" t="str">
        <f>HYPERLINK("http://dx.doi.org/10.1088/1361-6560/ab0920","http://dx.doi.org/10.1088/1361-6560/ab0920")</f>
        <v>http://dx.doi.org/10.1088/1361-6560/ab0920</v>
      </c>
      <c r="BG343" t="s">
        <v>74</v>
      </c>
      <c r="BH343" t="s">
        <v>74</v>
      </c>
      <c r="BI343">
        <v>12</v>
      </c>
      <c r="BJ343" t="s">
        <v>101</v>
      </c>
      <c r="BK343" t="s">
        <v>102</v>
      </c>
      <c r="BL343" t="s">
        <v>103</v>
      </c>
      <c r="BM343" t="s">
        <v>323</v>
      </c>
      <c r="BN343">
        <v>30790786</v>
      </c>
      <c r="BO343" t="s">
        <v>74</v>
      </c>
      <c r="BP343" t="s">
        <v>74</v>
      </c>
      <c r="BQ343" t="s">
        <v>74</v>
      </c>
      <c r="BR343" t="s">
        <v>106</v>
      </c>
      <c r="BS343" t="s">
        <v>5606</v>
      </c>
      <c r="BT343" t="str">
        <f>HYPERLINK("https%3A%2F%2Fwww.webofscience.com%2Fwos%2Fwoscc%2Ffull-record%2FWOS:000468942900003","View Full Record in Web of Science")</f>
        <v>View Full Record in Web of Science</v>
      </c>
    </row>
    <row r="344" spans="1:72" x14ac:dyDescent="0.25">
      <c r="A344" t="s">
        <v>72</v>
      </c>
      <c r="B344" t="s">
        <v>5607</v>
      </c>
      <c r="C344" t="s">
        <v>74</v>
      </c>
      <c r="D344" t="s">
        <v>74</v>
      </c>
      <c r="E344" t="s">
        <v>74</v>
      </c>
      <c r="F344" t="s">
        <v>5608</v>
      </c>
      <c r="G344" t="s">
        <v>74</v>
      </c>
      <c r="H344" t="s">
        <v>74</v>
      </c>
      <c r="I344" t="s">
        <v>5609</v>
      </c>
      <c r="J344" t="s">
        <v>77</v>
      </c>
      <c r="K344" t="s">
        <v>74</v>
      </c>
      <c r="L344" t="s">
        <v>74</v>
      </c>
      <c r="M344" t="s">
        <v>78</v>
      </c>
      <c r="N344" t="s">
        <v>79</v>
      </c>
      <c r="O344" t="s">
        <v>74</v>
      </c>
      <c r="P344" t="s">
        <v>74</v>
      </c>
      <c r="Q344" t="s">
        <v>74</v>
      </c>
      <c r="R344" t="s">
        <v>74</v>
      </c>
      <c r="S344" t="s">
        <v>74</v>
      </c>
      <c r="T344" t="s">
        <v>5610</v>
      </c>
      <c r="U344" t="s">
        <v>5611</v>
      </c>
      <c r="V344" t="s">
        <v>5612</v>
      </c>
      <c r="W344" t="s">
        <v>5613</v>
      </c>
      <c r="X344" t="s">
        <v>74</v>
      </c>
      <c r="Y344" t="s">
        <v>5614</v>
      </c>
      <c r="Z344" t="s">
        <v>5615</v>
      </c>
      <c r="AA344" t="s">
        <v>74</v>
      </c>
      <c r="AB344" t="s">
        <v>5616</v>
      </c>
      <c r="AC344" t="s">
        <v>74</v>
      </c>
      <c r="AD344" t="s">
        <v>74</v>
      </c>
      <c r="AE344" t="s">
        <v>74</v>
      </c>
      <c r="AF344" t="s">
        <v>74</v>
      </c>
      <c r="AG344">
        <v>22</v>
      </c>
      <c r="AH344">
        <v>7</v>
      </c>
      <c r="AI344">
        <v>8</v>
      </c>
      <c r="AJ344">
        <v>1</v>
      </c>
      <c r="AK344">
        <v>5</v>
      </c>
      <c r="AL344" t="s">
        <v>92</v>
      </c>
      <c r="AM344" t="s">
        <v>93</v>
      </c>
      <c r="AN344" t="s">
        <v>94</v>
      </c>
      <c r="AO344" t="s">
        <v>95</v>
      </c>
      <c r="AP344" t="s">
        <v>96</v>
      </c>
      <c r="AQ344" t="s">
        <v>74</v>
      </c>
      <c r="AR344" t="s">
        <v>97</v>
      </c>
      <c r="AS344" t="s">
        <v>98</v>
      </c>
      <c r="AT344" t="s">
        <v>250</v>
      </c>
      <c r="AU344">
        <v>2019</v>
      </c>
      <c r="AV344">
        <v>64</v>
      </c>
      <c r="AW344">
        <v>12</v>
      </c>
      <c r="AX344" t="s">
        <v>74</v>
      </c>
      <c r="AY344" t="s">
        <v>74</v>
      </c>
      <c r="AZ344" t="s">
        <v>74</v>
      </c>
      <c r="BA344" t="s">
        <v>74</v>
      </c>
      <c r="BB344" t="s">
        <v>74</v>
      </c>
      <c r="BC344" t="s">
        <v>74</v>
      </c>
      <c r="BD344">
        <v>125023</v>
      </c>
      <c r="BE344" t="s">
        <v>5617</v>
      </c>
      <c r="BF344" t="str">
        <f>HYPERLINK("http://dx.doi.org/10.1088/1361-6560/ab205a","http://dx.doi.org/10.1088/1361-6560/ab205a")</f>
        <v>http://dx.doi.org/10.1088/1361-6560/ab205a</v>
      </c>
      <c r="BG344" t="s">
        <v>74</v>
      </c>
      <c r="BH344" t="s">
        <v>74</v>
      </c>
      <c r="BI344">
        <v>10</v>
      </c>
      <c r="BJ344" t="s">
        <v>101</v>
      </c>
      <c r="BK344" t="s">
        <v>102</v>
      </c>
      <c r="BL344" t="s">
        <v>103</v>
      </c>
      <c r="BM344" t="s">
        <v>1518</v>
      </c>
      <c r="BN344">
        <v>31071694</v>
      </c>
      <c r="BO344" t="s">
        <v>74</v>
      </c>
      <c r="BP344" t="s">
        <v>74</v>
      </c>
      <c r="BQ344" t="s">
        <v>74</v>
      </c>
      <c r="BR344" t="s">
        <v>106</v>
      </c>
      <c r="BS344" t="s">
        <v>5618</v>
      </c>
      <c r="BT344" t="str">
        <f>HYPERLINK("https%3A%2F%2Fwww.webofscience.com%2Fwos%2Fwoscc%2Ffull-record%2FWOS:000518929800002","View Full Record in Web of Science")</f>
        <v>View Full Record in Web of Science</v>
      </c>
    </row>
    <row r="345" spans="1:72" x14ac:dyDescent="0.25">
      <c r="A345" t="s">
        <v>72</v>
      </c>
      <c r="B345" t="s">
        <v>5619</v>
      </c>
      <c r="C345" t="s">
        <v>74</v>
      </c>
      <c r="D345" t="s">
        <v>74</v>
      </c>
      <c r="E345" t="s">
        <v>74</v>
      </c>
      <c r="F345" t="s">
        <v>5620</v>
      </c>
      <c r="G345" t="s">
        <v>74</v>
      </c>
      <c r="H345" t="s">
        <v>74</v>
      </c>
      <c r="I345" t="s">
        <v>5621</v>
      </c>
      <c r="J345" t="s">
        <v>77</v>
      </c>
      <c r="K345" t="s">
        <v>74</v>
      </c>
      <c r="L345" t="s">
        <v>74</v>
      </c>
      <c r="M345" t="s">
        <v>78</v>
      </c>
      <c r="N345" t="s">
        <v>79</v>
      </c>
      <c r="O345" t="s">
        <v>74</v>
      </c>
      <c r="P345" t="s">
        <v>74</v>
      </c>
      <c r="Q345" t="s">
        <v>74</v>
      </c>
      <c r="R345" t="s">
        <v>74</v>
      </c>
      <c r="S345" t="s">
        <v>74</v>
      </c>
      <c r="T345" t="s">
        <v>5622</v>
      </c>
      <c r="U345" t="s">
        <v>5623</v>
      </c>
      <c r="V345" t="s">
        <v>5624</v>
      </c>
      <c r="W345" t="s">
        <v>5625</v>
      </c>
      <c r="X345" t="s">
        <v>5626</v>
      </c>
      <c r="Y345" t="s">
        <v>5627</v>
      </c>
      <c r="Z345" t="s">
        <v>5628</v>
      </c>
      <c r="AA345" t="s">
        <v>5629</v>
      </c>
      <c r="AB345" t="s">
        <v>5630</v>
      </c>
      <c r="AC345" t="s">
        <v>5631</v>
      </c>
      <c r="AD345" t="s">
        <v>5632</v>
      </c>
      <c r="AE345" t="s">
        <v>5633</v>
      </c>
      <c r="AF345" t="s">
        <v>74</v>
      </c>
      <c r="AG345">
        <v>32</v>
      </c>
      <c r="AH345">
        <v>30</v>
      </c>
      <c r="AI345">
        <v>31</v>
      </c>
      <c r="AJ345">
        <v>2</v>
      </c>
      <c r="AK345">
        <v>16</v>
      </c>
      <c r="AL345" t="s">
        <v>92</v>
      </c>
      <c r="AM345" t="s">
        <v>93</v>
      </c>
      <c r="AN345" t="s">
        <v>94</v>
      </c>
      <c r="AO345" t="s">
        <v>95</v>
      </c>
      <c r="AP345" t="s">
        <v>96</v>
      </c>
      <c r="AQ345" t="s">
        <v>74</v>
      </c>
      <c r="AR345" t="s">
        <v>97</v>
      </c>
      <c r="AS345" t="s">
        <v>98</v>
      </c>
      <c r="AT345" t="s">
        <v>370</v>
      </c>
      <c r="AU345">
        <v>2019</v>
      </c>
      <c r="AV345">
        <v>64</v>
      </c>
      <c r="AW345">
        <v>10</v>
      </c>
      <c r="AX345" t="s">
        <v>74</v>
      </c>
      <c r="AY345" t="s">
        <v>74</v>
      </c>
      <c r="AZ345" t="s">
        <v>74</v>
      </c>
      <c r="BA345" t="s">
        <v>74</v>
      </c>
      <c r="BB345" t="s">
        <v>74</v>
      </c>
      <c r="BC345" t="s">
        <v>74</v>
      </c>
      <c r="BD345">
        <v>105005</v>
      </c>
      <c r="BE345" t="s">
        <v>5634</v>
      </c>
      <c r="BF345" t="str">
        <f>HYPERLINK("http://dx.doi.org/10.1088/1361-6560/ab1817","http://dx.doi.org/10.1088/1361-6560/ab1817")</f>
        <v>http://dx.doi.org/10.1088/1361-6560/ab1817</v>
      </c>
      <c r="BG345" t="s">
        <v>74</v>
      </c>
      <c r="BH345" t="s">
        <v>74</v>
      </c>
      <c r="BI345">
        <v>12</v>
      </c>
      <c r="BJ345" t="s">
        <v>101</v>
      </c>
      <c r="BK345" t="s">
        <v>102</v>
      </c>
      <c r="BL345" t="s">
        <v>103</v>
      </c>
      <c r="BM345" t="s">
        <v>3890</v>
      </c>
      <c r="BN345">
        <v>30970341</v>
      </c>
      <c r="BO345" t="s">
        <v>270</v>
      </c>
      <c r="BP345" t="s">
        <v>74</v>
      </c>
      <c r="BQ345" t="s">
        <v>74</v>
      </c>
      <c r="BR345" t="s">
        <v>106</v>
      </c>
      <c r="BS345" t="s">
        <v>5635</v>
      </c>
      <c r="BT345" t="str">
        <f>HYPERLINK("https%3A%2F%2Fwww.webofscience.com%2Fwos%2Fwoscc%2Ffull-record%2FWOS:000467464500005","View Full Record in Web of Science")</f>
        <v>View Full Record in Web of Science</v>
      </c>
    </row>
    <row r="346" spans="1:72" x14ac:dyDescent="0.25">
      <c r="A346" t="s">
        <v>72</v>
      </c>
      <c r="B346" t="s">
        <v>5636</v>
      </c>
      <c r="C346" t="s">
        <v>74</v>
      </c>
      <c r="D346" t="s">
        <v>74</v>
      </c>
      <c r="E346" t="s">
        <v>74</v>
      </c>
      <c r="F346" t="s">
        <v>5637</v>
      </c>
      <c r="G346" t="s">
        <v>74</v>
      </c>
      <c r="H346" t="s">
        <v>74</v>
      </c>
      <c r="I346" t="s">
        <v>5638</v>
      </c>
      <c r="J346" t="s">
        <v>77</v>
      </c>
      <c r="K346" t="s">
        <v>74</v>
      </c>
      <c r="L346" t="s">
        <v>74</v>
      </c>
      <c r="M346" t="s">
        <v>78</v>
      </c>
      <c r="N346" t="s">
        <v>79</v>
      </c>
      <c r="O346" t="s">
        <v>74</v>
      </c>
      <c r="P346" t="s">
        <v>74</v>
      </c>
      <c r="Q346" t="s">
        <v>74</v>
      </c>
      <c r="R346" t="s">
        <v>74</v>
      </c>
      <c r="S346" t="s">
        <v>74</v>
      </c>
      <c r="T346" t="s">
        <v>5639</v>
      </c>
      <c r="U346" t="s">
        <v>5640</v>
      </c>
      <c r="V346" t="s">
        <v>5641</v>
      </c>
      <c r="W346" t="s">
        <v>5642</v>
      </c>
      <c r="X346" t="s">
        <v>5643</v>
      </c>
      <c r="Y346" t="s">
        <v>5644</v>
      </c>
      <c r="Z346" t="s">
        <v>5645</v>
      </c>
      <c r="AA346" t="s">
        <v>5646</v>
      </c>
      <c r="AB346" t="s">
        <v>5647</v>
      </c>
      <c r="AC346" t="s">
        <v>5648</v>
      </c>
      <c r="AD346" t="s">
        <v>5649</v>
      </c>
      <c r="AE346" t="s">
        <v>5650</v>
      </c>
      <c r="AF346" t="s">
        <v>74</v>
      </c>
      <c r="AG346">
        <v>27</v>
      </c>
      <c r="AH346">
        <v>7</v>
      </c>
      <c r="AI346">
        <v>7</v>
      </c>
      <c r="AJ346">
        <v>0</v>
      </c>
      <c r="AK346">
        <v>5</v>
      </c>
      <c r="AL346" t="s">
        <v>92</v>
      </c>
      <c r="AM346" t="s">
        <v>93</v>
      </c>
      <c r="AN346" t="s">
        <v>94</v>
      </c>
      <c r="AO346" t="s">
        <v>95</v>
      </c>
      <c r="AP346" t="s">
        <v>96</v>
      </c>
      <c r="AQ346" t="s">
        <v>74</v>
      </c>
      <c r="AR346" t="s">
        <v>97</v>
      </c>
      <c r="AS346" t="s">
        <v>98</v>
      </c>
      <c r="AT346" t="s">
        <v>436</v>
      </c>
      <c r="AU346">
        <v>2019</v>
      </c>
      <c r="AV346">
        <v>64</v>
      </c>
      <c r="AW346">
        <v>6</v>
      </c>
      <c r="AX346" t="s">
        <v>74</v>
      </c>
      <c r="AY346" t="s">
        <v>74</v>
      </c>
      <c r="AZ346" t="s">
        <v>74</v>
      </c>
      <c r="BA346" t="s">
        <v>74</v>
      </c>
      <c r="BB346" t="s">
        <v>74</v>
      </c>
      <c r="BC346" t="s">
        <v>74</v>
      </c>
      <c r="BD346">
        <v>65005</v>
      </c>
      <c r="BE346" t="s">
        <v>5651</v>
      </c>
      <c r="BF346" t="str">
        <f>HYPERLINK("http://dx.doi.org/10.1088/1361-6560/aaff23","http://dx.doi.org/10.1088/1361-6560/aaff23")</f>
        <v>http://dx.doi.org/10.1088/1361-6560/aaff23</v>
      </c>
      <c r="BG346" t="s">
        <v>74</v>
      </c>
      <c r="BH346" t="s">
        <v>74</v>
      </c>
      <c r="BI346">
        <v>13</v>
      </c>
      <c r="BJ346" t="s">
        <v>101</v>
      </c>
      <c r="BK346" t="s">
        <v>102</v>
      </c>
      <c r="BL346" t="s">
        <v>103</v>
      </c>
      <c r="BM346" t="s">
        <v>1580</v>
      </c>
      <c r="BN346">
        <v>30650386</v>
      </c>
      <c r="BO346" t="s">
        <v>140</v>
      </c>
      <c r="BP346" t="s">
        <v>74</v>
      </c>
      <c r="BQ346" t="s">
        <v>74</v>
      </c>
      <c r="BR346" t="s">
        <v>106</v>
      </c>
      <c r="BS346" t="s">
        <v>5652</v>
      </c>
      <c r="BT346" t="str">
        <f>HYPERLINK("https%3A%2F%2Fwww.webofscience.com%2Fwos%2Fwoscc%2Ffull-record%2FWOS:000460822700005","View Full Record in Web of Science")</f>
        <v>View Full Record in Web of Science</v>
      </c>
    </row>
    <row r="347" spans="1:72" x14ac:dyDescent="0.25">
      <c r="A347" t="s">
        <v>72</v>
      </c>
      <c r="B347" t="s">
        <v>5653</v>
      </c>
      <c r="C347" t="s">
        <v>74</v>
      </c>
      <c r="D347" t="s">
        <v>74</v>
      </c>
      <c r="E347" t="s">
        <v>74</v>
      </c>
      <c r="F347" t="s">
        <v>5654</v>
      </c>
      <c r="G347" t="s">
        <v>74</v>
      </c>
      <c r="H347" t="s">
        <v>74</v>
      </c>
      <c r="I347" t="s">
        <v>5655</v>
      </c>
      <c r="J347" t="s">
        <v>77</v>
      </c>
      <c r="K347" t="s">
        <v>74</v>
      </c>
      <c r="L347" t="s">
        <v>74</v>
      </c>
      <c r="M347" t="s">
        <v>78</v>
      </c>
      <c r="N347" t="s">
        <v>79</v>
      </c>
      <c r="O347" t="s">
        <v>74</v>
      </c>
      <c r="P347" t="s">
        <v>74</v>
      </c>
      <c r="Q347" t="s">
        <v>74</v>
      </c>
      <c r="R347" t="s">
        <v>74</v>
      </c>
      <c r="S347" t="s">
        <v>74</v>
      </c>
      <c r="T347" t="s">
        <v>5656</v>
      </c>
      <c r="U347" t="s">
        <v>5657</v>
      </c>
      <c r="V347" t="s">
        <v>5658</v>
      </c>
      <c r="W347" t="s">
        <v>5659</v>
      </c>
      <c r="X347" t="s">
        <v>5660</v>
      </c>
      <c r="Y347" t="s">
        <v>5661</v>
      </c>
      <c r="Z347" t="s">
        <v>5662</v>
      </c>
      <c r="AA347" t="s">
        <v>5663</v>
      </c>
      <c r="AB347" t="s">
        <v>5664</v>
      </c>
      <c r="AC347" t="s">
        <v>5665</v>
      </c>
      <c r="AD347" t="s">
        <v>5666</v>
      </c>
      <c r="AE347" t="s">
        <v>5667</v>
      </c>
      <c r="AF347" t="s">
        <v>74</v>
      </c>
      <c r="AG347">
        <v>58</v>
      </c>
      <c r="AH347">
        <v>27</v>
      </c>
      <c r="AI347">
        <v>27</v>
      </c>
      <c r="AJ347">
        <v>0</v>
      </c>
      <c r="AK347">
        <v>16</v>
      </c>
      <c r="AL347" t="s">
        <v>157</v>
      </c>
      <c r="AM347" t="s">
        <v>93</v>
      </c>
      <c r="AN347" t="s">
        <v>94</v>
      </c>
      <c r="AO347" t="s">
        <v>95</v>
      </c>
      <c r="AP347" t="s">
        <v>96</v>
      </c>
      <c r="AQ347" t="s">
        <v>74</v>
      </c>
      <c r="AR347" t="s">
        <v>97</v>
      </c>
      <c r="AS347" t="s">
        <v>98</v>
      </c>
      <c r="AT347" t="s">
        <v>646</v>
      </c>
      <c r="AU347">
        <v>2019</v>
      </c>
      <c r="AV347">
        <v>64</v>
      </c>
      <c r="AW347">
        <v>3</v>
      </c>
      <c r="AX347" t="s">
        <v>74</v>
      </c>
      <c r="AY347" t="s">
        <v>74</v>
      </c>
      <c r="AZ347" t="s">
        <v>74</v>
      </c>
      <c r="BA347" t="s">
        <v>74</v>
      </c>
      <c r="BB347" t="s">
        <v>74</v>
      </c>
      <c r="BC347" t="s">
        <v>74</v>
      </c>
      <c r="BD347">
        <v>35004</v>
      </c>
      <c r="BE347" t="s">
        <v>5668</v>
      </c>
      <c r="BF347" t="str">
        <f>HYPERLINK("http://dx.doi.org/10.1088/1361-6560/aaf9b9","http://dx.doi.org/10.1088/1361-6560/aaf9b9")</f>
        <v>http://dx.doi.org/10.1088/1361-6560/aaf9b9</v>
      </c>
      <c r="BG347" t="s">
        <v>74</v>
      </c>
      <c r="BH347" t="s">
        <v>74</v>
      </c>
      <c r="BI347">
        <v>13</v>
      </c>
      <c r="BJ347" t="s">
        <v>101</v>
      </c>
      <c r="BK347" t="s">
        <v>102</v>
      </c>
      <c r="BL347" t="s">
        <v>103</v>
      </c>
      <c r="BM347" t="s">
        <v>648</v>
      </c>
      <c r="BN347">
        <v>30566915</v>
      </c>
      <c r="BO347" t="s">
        <v>5669</v>
      </c>
      <c r="BP347" t="s">
        <v>74</v>
      </c>
      <c r="BQ347" t="s">
        <v>74</v>
      </c>
      <c r="BR347" t="s">
        <v>106</v>
      </c>
      <c r="BS347" t="s">
        <v>5670</v>
      </c>
      <c r="BT347" t="str">
        <f>HYPERLINK("https%3A%2F%2Fwww.webofscience.com%2Fwos%2Fwoscc%2Ffull-record%2FWOS:000456840500003","View Full Record in Web of Science")</f>
        <v>View Full Record in Web of Science</v>
      </c>
    </row>
    <row r="348" spans="1:72" x14ac:dyDescent="0.25">
      <c r="A348" t="s">
        <v>72</v>
      </c>
      <c r="B348" t="s">
        <v>5671</v>
      </c>
      <c r="C348" t="s">
        <v>74</v>
      </c>
      <c r="D348" t="s">
        <v>74</v>
      </c>
      <c r="E348" t="s">
        <v>74</v>
      </c>
      <c r="F348" t="s">
        <v>5672</v>
      </c>
      <c r="G348" t="s">
        <v>74</v>
      </c>
      <c r="H348" t="s">
        <v>74</v>
      </c>
      <c r="I348" t="s">
        <v>5673</v>
      </c>
      <c r="J348" t="s">
        <v>77</v>
      </c>
      <c r="K348" t="s">
        <v>74</v>
      </c>
      <c r="L348" t="s">
        <v>74</v>
      </c>
      <c r="M348" t="s">
        <v>78</v>
      </c>
      <c r="N348" t="s">
        <v>79</v>
      </c>
      <c r="O348" t="s">
        <v>74</v>
      </c>
      <c r="P348" t="s">
        <v>74</v>
      </c>
      <c r="Q348" t="s">
        <v>74</v>
      </c>
      <c r="R348" t="s">
        <v>74</v>
      </c>
      <c r="S348" t="s">
        <v>74</v>
      </c>
      <c r="T348" t="s">
        <v>5674</v>
      </c>
      <c r="U348" t="s">
        <v>5675</v>
      </c>
      <c r="V348" t="s">
        <v>5676</v>
      </c>
      <c r="W348" t="s">
        <v>5677</v>
      </c>
      <c r="X348" t="s">
        <v>5678</v>
      </c>
      <c r="Y348" t="s">
        <v>5679</v>
      </c>
      <c r="Z348" t="s">
        <v>3286</v>
      </c>
      <c r="AA348" t="s">
        <v>5680</v>
      </c>
      <c r="AB348" t="s">
        <v>5681</v>
      </c>
      <c r="AC348" t="s">
        <v>1258</v>
      </c>
      <c r="AD348" t="s">
        <v>1258</v>
      </c>
      <c r="AE348" t="s">
        <v>5682</v>
      </c>
      <c r="AF348" t="s">
        <v>74</v>
      </c>
      <c r="AG348">
        <v>26</v>
      </c>
      <c r="AH348">
        <v>20</v>
      </c>
      <c r="AI348">
        <v>20</v>
      </c>
      <c r="AJ348">
        <v>0</v>
      </c>
      <c r="AK348">
        <v>9</v>
      </c>
      <c r="AL348" t="s">
        <v>92</v>
      </c>
      <c r="AM348" t="s">
        <v>93</v>
      </c>
      <c r="AN348" t="s">
        <v>94</v>
      </c>
      <c r="AO348" t="s">
        <v>95</v>
      </c>
      <c r="AP348" t="s">
        <v>96</v>
      </c>
      <c r="AQ348" t="s">
        <v>74</v>
      </c>
      <c r="AR348" t="s">
        <v>97</v>
      </c>
      <c r="AS348" t="s">
        <v>98</v>
      </c>
      <c r="AT348" t="s">
        <v>646</v>
      </c>
      <c r="AU348">
        <v>2019</v>
      </c>
      <c r="AV348">
        <v>64</v>
      </c>
      <c r="AW348">
        <v>4</v>
      </c>
      <c r="AX348" t="s">
        <v>74</v>
      </c>
      <c r="AY348" t="s">
        <v>74</v>
      </c>
      <c r="AZ348" t="s">
        <v>74</v>
      </c>
      <c r="BA348" t="s">
        <v>74</v>
      </c>
      <c r="BB348" t="s">
        <v>74</v>
      </c>
      <c r="BC348" t="s">
        <v>74</v>
      </c>
      <c r="BD348" t="s">
        <v>5683</v>
      </c>
      <c r="BE348" t="s">
        <v>5684</v>
      </c>
      <c r="BF348" t="str">
        <f>HYPERLINK("http://dx.doi.org/10.1088/1361-6560/aafef0","http://dx.doi.org/10.1088/1361-6560/aafef0")</f>
        <v>http://dx.doi.org/10.1088/1361-6560/aafef0</v>
      </c>
      <c r="BG348" t="s">
        <v>74</v>
      </c>
      <c r="BH348" t="s">
        <v>74</v>
      </c>
      <c r="BI348">
        <v>7</v>
      </c>
      <c r="BJ348" t="s">
        <v>101</v>
      </c>
      <c r="BK348" t="s">
        <v>102</v>
      </c>
      <c r="BL348" t="s">
        <v>103</v>
      </c>
      <c r="BM348" t="s">
        <v>5685</v>
      </c>
      <c r="BN348">
        <v>30650389</v>
      </c>
      <c r="BO348" t="s">
        <v>140</v>
      </c>
      <c r="BP348" t="s">
        <v>74</v>
      </c>
      <c r="BQ348" t="s">
        <v>74</v>
      </c>
      <c r="BR348" t="s">
        <v>106</v>
      </c>
      <c r="BS348" t="s">
        <v>5686</v>
      </c>
      <c r="BT348" t="str">
        <f>HYPERLINK("https%3A%2F%2Fwww.webofscience.com%2Fwos%2Fwoscc%2Ffull-record%2FWOS:000458205800001","View Full Record in Web of Science")</f>
        <v>View Full Record in Web of Science</v>
      </c>
    </row>
    <row r="349" spans="1:72" x14ac:dyDescent="0.25">
      <c r="A349" t="s">
        <v>72</v>
      </c>
      <c r="B349" t="s">
        <v>5687</v>
      </c>
      <c r="C349" t="s">
        <v>74</v>
      </c>
      <c r="D349" t="s">
        <v>74</v>
      </c>
      <c r="E349" t="s">
        <v>74</v>
      </c>
      <c r="F349" t="s">
        <v>5688</v>
      </c>
      <c r="G349" t="s">
        <v>74</v>
      </c>
      <c r="H349" t="s">
        <v>74</v>
      </c>
      <c r="I349" t="s">
        <v>5689</v>
      </c>
      <c r="J349" t="s">
        <v>77</v>
      </c>
      <c r="K349" t="s">
        <v>74</v>
      </c>
      <c r="L349" t="s">
        <v>74</v>
      </c>
      <c r="M349" t="s">
        <v>78</v>
      </c>
      <c r="N349" t="s">
        <v>79</v>
      </c>
      <c r="O349" t="s">
        <v>74</v>
      </c>
      <c r="P349" t="s">
        <v>74</v>
      </c>
      <c r="Q349" t="s">
        <v>74</v>
      </c>
      <c r="R349" t="s">
        <v>74</v>
      </c>
      <c r="S349" t="s">
        <v>74</v>
      </c>
      <c r="T349" t="s">
        <v>5690</v>
      </c>
      <c r="U349" t="s">
        <v>5691</v>
      </c>
      <c r="V349" t="s">
        <v>5692</v>
      </c>
      <c r="W349" t="s">
        <v>5693</v>
      </c>
      <c r="X349" t="s">
        <v>5694</v>
      </c>
      <c r="Y349" t="s">
        <v>5695</v>
      </c>
      <c r="Z349" t="s">
        <v>5696</v>
      </c>
      <c r="AA349" t="s">
        <v>74</v>
      </c>
      <c r="AB349" t="s">
        <v>5697</v>
      </c>
      <c r="AC349" t="s">
        <v>5698</v>
      </c>
      <c r="AD349" t="s">
        <v>5699</v>
      </c>
      <c r="AE349" t="s">
        <v>5700</v>
      </c>
      <c r="AF349" t="s">
        <v>74</v>
      </c>
      <c r="AG349">
        <v>25</v>
      </c>
      <c r="AH349">
        <v>12</v>
      </c>
      <c r="AI349">
        <v>13</v>
      </c>
      <c r="AJ349">
        <v>1</v>
      </c>
      <c r="AK349">
        <v>12</v>
      </c>
      <c r="AL349" t="s">
        <v>92</v>
      </c>
      <c r="AM349" t="s">
        <v>93</v>
      </c>
      <c r="AN349" t="s">
        <v>94</v>
      </c>
      <c r="AO349" t="s">
        <v>95</v>
      </c>
      <c r="AP349" t="s">
        <v>96</v>
      </c>
      <c r="AQ349" t="s">
        <v>74</v>
      </c>
      <c r="AR349" t="s">
        <v>97</v>
      </c>
      <c r="AS349" t="s">
        <v>98</v>
      </c>
      <c r="AT349" t="s">
        <v>646</v>
      </c>
      <c r="AU349">
        <v>2019</v>
      </c>
      <c r="AV349">
        <v>64</v>
      </c>
      <c r="AW349">
        <v>4</v>
      </c>
      <c r="AX349" t="s">
        <v>74</v>
      </c>
      <c r="AY349" t="s">
        <v>74</v>
      </c>
      <c r="AZ349" t="s">
        <v>74</v>
      </c>
      <c r="BA349" t="s">
        <v>74</v>
      </c>
      <c r="BB349" t="s">
        <v>74</v>
      </c>
      <c r="BC349" t="s">
        <v>74</v>
      </c>
      <c r="BD349" t="s">
        <v>5701</v>
      </c>
      <c r="BE349" t="s">
        <v>5702</v>
      </c>
      <c r="BF349" t="str">
        <f>HYPERLINK("http://dx.doi.org/10.1088/1361-6560/aafe54","http://dx.doi.org/10.1088/1361-6560/aafe54")</f>
        <v>http://dx.doi.org/10.1088/1361-6560/aafe54</v>
      </c>
      <c r="BG349" t="s">
        <v>74</v>
      </c>
      <c r="BH349" t="s">
        <v>74</v>
      </c>
      <c r="BI349">
        <v>9</v>
      </c>
      <c r="BJ349" t="s">
        <v>101</v>
      </c>
      <c r="BK349" t="s">
        <v>102</v>
      </c>
      <c r="BL349" t="s">
        <v>103</v>
      </c>
      <c r="BM349" t="s">
        <v>5685</v>
      </c>
      <c r="BN349">
        <v>30641498</v>
      </c>
      <c r="BO349" t="s">
        <v>759</v>
      </c>
      <c r="BP349" t="s">
        <v>74</v>
      </c>
      <c r="BQ349" t="s">
        <v>74</v>
      </c>
      <c r="BR349" t="s">
        <v>106</v>
      </c>
      <c r="BS349" t="s">
        <v>5703</v>
      </c>
      <c r="BT349" t="str">
        <f>HYPERLINK("https%3A%2F%2Fwww.webofscience.com%2Fwos%2Fwoscc%2Ffull-record%2FWOS:000458205800002","View Full Record in Web of Science")</f>
        <v>View Full Record in Web of Science</v>
      </c>
    </row>
    <row r="350" spans="1:72" x14ac:dyDescent="0.25">
      <c r="A350" t="s">
        <v>72</v>
      </c>
      <c r="B350" t="s">
        <v>5704</v>
      </c>
      <c r="C350" t="s">
        <v>74</v>
      </c>
      <c r="D350" t="s">
        <v>74</v>
      </c>
      <c r="E350" t="s">
        <v>74</v>
      </c>
      <c r="F350" t="s">
        <v>5705</v>
      </c>
      <c r="G350" t="s">
        <v>74</v>
      </c>
      <c r="H350" t="s">
        <v>74</v>
      </c>
      <c r="I350" t="s">
        <v>5706</v>
      </c>
      <c r="J350" t="s">
        <v>77</v>
      </c>
      <c r="K350" t="s">
        <v>74</v>
      </c>
      <c r="L350" t="s">
        <v>74</v>
      </c>
      <c r="M350" t="s">
        <v>78</v>
      </c>
      <c r="N350" t="s">
        <v>79</v>
      </c>
      <c r="O350" t="s">
        <v>74</v>
      </c>
      <c r="P350" t="s">
        <v>74</v>
      </c>
      <c r="Q350" t="s">
        <v>74</v>
      </c>
      <c r="R350" t="s">
        <v>74</v>
      </c>
      <c r="S350" t="s">
        <v>74</v>
      </c>
      <c r="T350" t="s">
        <v>5707</v>
      </c>
      <c r="U350" t="s">
        <v>5708</v>
      </c>
      <c r="V350" t="s">
        <v>5709</v>
      </c>
      <c r="W350" t="s">
        <v>5710</v>
      </c>
      <c r="X350" t="s">
        <v>5711</v>
      </c>
      <c r="Y350" t="s">
        <v>5712</v>
      </c>
      <c r="Z350" t="s">
        <v>5713</v>
      </c>
      <c r="AA350" t="s">
        <v>5714</v>
      </c>
      <c r="AB350" t="s">
        <v>5715</v>
      </c>
      <c r="AC350" t="s">
        <v>74</v>
      </c>
      <c r="AD350" t="s">
        <v>74</v>
      </c>
      <c r="AE350" t="s">
        <v>74</v>
      </c>
      <c r="AF350" t="s">
        <v>74</v>
      </c>
      <c r="AG350">
        <v>26</v>
      </c>
      <c r="AH350">
        <v>22</v>
      </c>
      <c r="AI350">
        <v>23</v>
      </c>
      <c r="AJ350">
        <v>1</v>
      </c>
      <c r="AK350">
        <v>9</v>
      </c>
      <c r="AL350" t="s">
        <v>92</v>
      </c>
      <c r="AM350" t="s">
        <v>93</v>
      </c>
      <c r="AN350" t="s">
        <v>94</v>
      </c>
      <c r="AO350" t="s">
        <v>95</v>
      </c>
      <c r="AP350" t="s">
        <v>96</v>
      </c>
      <c r="AQ350" t="s">
        <v>74</v>
      </c>
      <c r="AR350" t="s">
        <v>97</v>
      </c>
      <c r="AS350" t="s">
        <v>98</v>
      </c>
      <c r="AT350" t="s">
        <v>646</v>
      </c>
      <c r="AU350">
        <v>2019</v>
      </c>
      <c r="AV350">
        <v>64</v>
      </c>
      <c r="AW350">
        <v>3</v>
      </c>
      <c r="AX350" t="s">
        <v>74</v>
      </c>
      <c r="AY350" t="s">
        <v>74</v>
      </c>
      <c r="AZ350" t="s">
        <v>74</v>
      </c>
      <c r="BA350" t="s">
        <v>74</v>
      </c>
      <c r="BB350" t="s">
        <v>74</v>
      </c>
      <c r="BC350" t="s">
        <v>74</v>
      </c>
      <c r="BD350">
        <v>35012</v>
      </c>
      <c r="BE350" t="s">
        <v>5716</v>
      </c>
      <c r="BF350" t="str">
        <f>HYPERLINK("http://dx.doi.org/10.1088/1361-6560/aafab4","http://dx.doi.org/10.1088/1361-6560/aafab4")</f>
        <v>http://dx.doi.org/10.1088/1361-6560/aafab4</v>
      </c>
      <c r="BG350" t="s">
        <v>74</v>
      </c>
      <c r="BH350" t="s">
        <v>74</v>
      </c>
      <c r="BI350">
        <v>12</v>
      </c>
      <c r="BJ350" t="s">
        <v>101</v>
      </c>
      <c r="BK350" t="s">
        <v>102</v>
      </c>
      <c r="BL350" t="s">
        <v>103</v>
      </c>
      <c r="BM350" t="s">
        <v>1261</v>
      </c>
      <c r="BN350">
        <v>30577039</v>
      </c>
      <c r="BO350" t="s">
        <v>74</v>
      </c>
      <c r="BP350" t="s">
        <v>74</v>
      </c>
      <c r="BQ350" t="s">
        <v>74</v>
      </c>
      <c r="BR350" t="s">
        <v>106</v>
      </c>
      <c r="BS350" t="s">
        <v>5717</v>
      </c>
      <c r="BT350" t="str">
        <f>HYPERLINK("https%3A%2F%2Fwww.webofscience.com%2Fwos%2Fwoscc%2Ffull-record%2FWOS:000457182500001","View Full Record in Web of Science")</f>
        <v>View Full Record in Web of Science</v>
      </c>
    </row>
    <row r="351" spans="1:72" x14ac:dyDescent="0.25">
      <c r="A351" t="s">
        <v>72</v>
      </c>
      <c r="B351" t="s">
        <v>5718</v>
      </c>
      <c r="C351" t="s">
        <v>74</v>
      </c>
      <c r="D351" t="s">
        <v>74</v>
      </c>
      <c r="E351" t="s">
        <v>74</v>
      </c>
      <c r="F351" t="s">
        <v>5719</v>
      </c>
      <c r="G351" t="s">
        <v>74</v>
      </c>
      <c r="H351" t="s">
        <v>74</v>
      </c>
      <c r="I351" t="s">
        <v>5720</v>
      </c>
      <c r="J351" t="s">
        <v>77</v>
      </c>
      <c r="K351" t="s">
        <v>74</v>
      </c>
      <c r="L351" t="s">
        <v>74</v>
      </c>
      <c r="M351" t="s">
        <v>78</v>
      </c>
      <c r="N351" t="s">
        <v>79</v>
      </c>
      <c r="O351" t="s">
        <v>74</v>
      </c>
      <c r="P351" t="s">
        <v>74</v>
      </c>
      <c r="Q351" t="s">
        <v>74</v>
      </c>
      <c r="R351" t="s">
        <v>74</v>
      </c>
      <c r="S351" t="s">
        <v>74</v>
      </c>
      <c r="T351" t="s">
        <v>5721</v>
      </c>
      <c r="U351" t="s">
        <v>5722</v>
      </c>
      <c r="V351" t="s">
        <v>5723</v>
      </c>
      <c r="W351" t="s">
        <v>5724</v>
      </c>
      <c r="X351" t="s">
        <v>5725</v>
      </c>
      <c r="Y351" t="s">
        <v>853</v>
      </c>
      <c r="Z351" t="s">
        <v>5726</v>
      </c>
      <c r="AA351" t="s">
        <v>5727</v>
      </c>
      <c r="AB351" t="s">
        <v>5728</v>
      </c>
      <c r="AC351" t="s">
        <v>5729</v>
      </c>
      <c r="AD351" t="s">
        <v>5730</v>
      </c>
      <c r="AE351" t="s">
        <v>5731</v>
      </c>
      <c r="AF351" t="s">
        <v>74</v>
      </c>
      <c r="AG351">
        <v>40</v>
      </c>
      <c r="AH351">
        <v>28</v>
      </c>
      <c r="AI351">
        <v>29</v>
      </c>
      <c r="AJ351">
        <v>0</v>
      </c>
      <c r="AK351">
        <v>10</v>
      </c>
      <c r="AL351" t="s">
        <v>92</v>
      </c>
      <c r="AM351" t="s">
        <v>93</v>
      </c>
      <c r="AN351" t="s">
        <v>94</v>
      </c>
      <c r="AO351" t="s">
        <v>95</v>
      </c>
      <c r="AP351" t="s">
        <v>96</v>
      </c>
      <c r="AQ351" t="s">
        <v>74</v>
      </c>
      <c r="AR351" t="s">
        <v>97</v>
      </c>
      <c r="AS351" t="s">
        <v>98</v>
      </c>
      <c r="AT351" t="s">
        <v>471</v>
      </c>
      <c r="AU351">
        <v>2019</v>
      </c>
      <c r="AV351">
        <v>64</v>
      </c>
      <c r="AW351">
        <v>2</v>
      </c>
      <c r="AX351" t="s">
        <v>74</v>
      </c>
      <c r="AY351" t="s">
        <v>74</v>
      </c>
      <c r="AZ351" t="s">
        <v>74</v>
      </c>
      <c r="BA351" t="s">
        <v>74</v>
      </c>
      <c r="BB351" t="s">
        <v>74</v>
      </c>
      <c r="BC351" t="s">
        <v>74</v>
      </c>
      <c r="BD351">
        <v>25011</v>
      </c>
      <c r="BE351" t="s">
        <v>5732</v>
      </c>
      <c r="BF351" t="str">
        <f>HYPERLINK("http://dx.doi.org/10.1088/1361-6560/aaf676","http://dx.doi.org/10.1088/1361-6560/aaf676")</f>
        <v>http://dx.doi.org/10.1088/1361-6560/aaf676</v>
      </c>
      <c r="BG351" t="s">
        <v>74</v>
      </c>
      <c r="BH351" t="s">
        <v>74</v>
      </c>
      <c r="BI351">
        <v>15</v>
      </c>
      <c r="BJ351" t="s">
        <v>101</v>
      </c>
      <c r="BK351" t="s">
        <v>102</v>
      </c>
      <c r="BL351" t="s">
        <v>103</v>
      </c>
      <c r="BM351" t="s">
        <v>3082</v>
      </c>
      <c r="BN351">
        <v>30524026</v>
      </c>
      <c r="BO351" t="s">
        <v>74</v>
      </c>
      <c r="BP351" t="s">
        <v>74</v>
      </c>
      <c r="BQ351" t="s">
        <v>74</v>
      </c>
      <c r="BR351" t="s">
        <v>106</v>
      </c>
      <c r="BS351" t="s">
        <v>5733</v>
      </c>
      <c r="BT351" t="str">
        <f>HYPERLINK("https%3A%2F%2Fwww.webofscience.com%2Fwos%2Fwoscc%2Ffull-record%2FWOS:000455823300008","View Full Record in Web of Science")</f>
        <v>View Full Record in Web of Science</v>
      </c>
    </row>
    <row r="352" spans="1:72" x14ac:dyDescent="0.25">
      <c r="A352" t="s">
        <v>72</v>
      </c>
      <c r="B352" t="s">
        <v>5734</v>
      </c>
      <c r="C352" t="s">
        <v>74</v>
      </c>
      <c r="D352" t="s">
        <v>74</v>
      </c>
      <c r="E352" t="s">
        <v>74</v>
      </c>
      <c r="F352" t="s">
        <v>5735</v>
      </c>
      <c r="G352" t="s">
        <v>74</v>
      </c>
      <c r="H352" t="s">
        <v>74</v>
      </c>
      <c r="I352" t="s">
        <v>5736</v>
      </c>
      <c r="J352" t="s">
        <v>77</v>
      </c>
      <c r="K352" t="s">
        <v>74</v>
      </c>
      <c r="L352" t="s">
        <v>74</v>
      </c>
      <c r="M352" t="s">
        <v>78</v>
      </c>
      <c r="N352" t="s">
        <v>79</v>
      </c>
      <c r="O352" t="s">
        <v>74</v>
      </c>
      <c r="P352" t="s">
        <v>74</v>
      </c>
      <c r="Q352" t="s">
        <v>74</v>
      </c>
      <c r="R352" t="s">
        <v>74</v>
      </c>
      <c r="S352" t="s">
        <v>74</v>
      </c>
      <c r="T352" t="s">
        <v>5737</v>
      </c>
      <c r="U352" t="s">
        <v>5738</v>
      </c>
      <c r="V352" t="s">
        <v>5739</v>
      </c>
      <c r="W352" t="s">
        <v>5740</v>
      </c>
      <c r="X352" t="s">
        <v>5741</v>
      </c>
      <c r="Y352" t="s">
        <v>5742</v>
      </c>
      <c r="Z352" t="s">
        <v>5743</v>
      </c>
      <c r="AA352" t="s">
        <v>5744</v>
      </c>
      <c r="AB352" t="s">
        <v>5745</v>
      </c>
      <c r="AC352" t="s">
        <v>5746</v>
      </c>
      <c r="AD352" t="s">
        <v>2379</v>
      </c>
      <c r="AE352" t="s">
        <v>5747</v>
      </c>
      <c r="AF352" t="s">
        <v>74</v>
      </c>
      <c r="AG352">
        <v>20</v>
      </c>
      <c r="AH352">
        <v>23</v>
      </c>
      <c r="AI352">
        <v>26</v>
      </c>
      <c r="AJ352">
        <v>0</v>
      </c>
      <c r="AK352">
        <v>10</v>
      </c>
      <c r="AL352" t="s">
        <v>92</v>
      </c>
      <c r="AM352" t="s">
        <v>93</v>
      </c>
      <c r="AN352" t="s">
        <v>94</v>
      </c>
      <c r="AO352" t="s">
        <v>95</v>
      </c>
      <c r="AP352" t="s">
        <v>96</v>
      </c>
      <c r="AQ352" t="s">
        <v>74</v>
      </c>
      <c r="AR352" t="s">
        <v>97</v>
      </c>
      <c r="AS352" t="s">
        <v>98</v>
      </c>
      <c r="AT352" t="s">
        <v>99</v>
      </c>
      <c r="AU352">
        <v>2019</v>
      </c>
      <c r="AV352">
        <v>64</v>
      </c>
      <c r="AW352">
        <v>23</v>
      </c>
      <c r="AX352" t="s">
        <v>74</v>
      </c>
      <c r="AY352" t="s">
        <v>74</v>
      </c>
      <c r="AZ352" t="s">
        <v>74</v>
      </c>
      <c r="BA352" t="s">
        <v>74</v>
      </c>
      <c r="BB352" t="s">
        <v>74</v>
      </c>
      <c r="BC352" t="s">
        <v>74</v>
      </c>
      <c r="BD352" t="s">
        <v>5748</v>
      </c>
      <c r="BE352" t="s">
        <v>5749</v>
      </c>
      <c r="BF352" t="str">
        <f>HYPERLINK("http://dx.doi.org/10.1088/1361-6560/ab50eb","http://dx.doi.org/10.1088/1361-6560/ab50eb")</f>
        <v>http://dx.doi.org/10.1088/1361-6560/ab50eb</v>
      </c>
      <c r="BG352" t="s">
        <v>74</v>
      </c>
      <c r="BH352" t="s">
        <v>74</v>
      </c>
      <c r="BI352">
        <v>9</v>
      </c>
      <c r="BJ352" t="s">
        <v>101</v>
      </c>
      <c r="BK352" t="s">
        <v>102</v>
      </c>
      <c r="BL352" t="s">
        <v>103</v>
      </c>
      <c r="BM352" t="s">
        <v>4135</v>
      </c>
      <c r="BN352">
        <v>31648210</v>
      </c>
      <c r="BO352" t="s">
        <v>74</v>
      </c>
      <c r="BP352" t="s">
        <v>74</v>
      </c>
      <c r="BQ352" t="s">
        <v>74</v>
      </c>
      <c r="BR352" t="s">
        <v>106</v>
      </c>
      <c r="BS352" t="s">
        <v>5750</v>
      </c>
      <c r="BT352" t="str">
        <f>HYPERLINK("https%3A%2F%2Fwww.webofscience.com%2Fwos%2Fwoscc%2Ffull-record%2FWOS:000518764700003","View Full Record in Web of Science")</f>
        <v>View Full Record in Web of Science</v>
      </c>
    </row>
    <row r="353" spans="1:72" x14ac:dyDescent="0.25">
      <c r="A353" t="s">
        <v>72</v>
      </c>
      <c r="B353" t="s">
        <v>5751</v>
      </c>
      <c r="C353" t="s">
        <v>74</v>
      </c>
      <c r="D353" t="s">
        <v>74</v>
      </c>
      <c r="E353" t="s">
        <v>74</v>
      </c>
      <c r="F353" t="s">
        <v>5752</v>
      </c>
      <c r="G353" t="s">
        <v>74</v>
      </c>
      <c r="H353" t="s">
        <v>74</v>
      </c>
      <c r="I353" t="s">
        <v>5753</v>
      </c>
      <c r="J353" t="s">
        <v>77</v>
      </c>
      <c r="K353" t="s">
        <v>74</v>
      </c>
      <c r="L353" t="s">
        <v>74</v>
      </c>
      <c r="M353" t="s">
        <v>78</v>
      </c>
      <c r="N353" t="s">
        <v>79</v>
      </c>
      <c r="O353" t="s">
        <v>74</v>
      </c>
      <c r="P353" t="s">
        <v>74</v>
      </c>
      <c r="Q353" t="s">
        <v>74</v>
      </c>
      <c r="R353" t="s">
        <v>74</v>
      </c>
      <c r="S353" t="s">
        <v>74</v>
      </c>
      <c r="T353" t="s">
        <v>5754</v>
      </c>
      <c r="U353" t="s">
        <v>5755</v>
      </c>
      <c r="V353" t="s">
        <v>5756</v>
      </c>
      <c r="W353" t="s">
        <v>5757</v>
      </c>
      <c r="X353" t="s">
        <v>5758</v>
      </c>
      <c r="Y353" t="s">
        <v>5759</v>
      </c>
      <c r="Z353" t="s">
        <v>5760</v>
      </c>
      <c r="AA353" t="s">
        <v>5761</v>
      </c>
      <c r="AB353" t="s">
        <v>5762</v>
      </c>
      <c r="AC353" t="s">
        <v>5763</v>
      </c>
      <c r="AD353" t="s">
        <v>5764</v>
      </c>
      <c r="AE353" t="s">
        <v>5765</v>
      </c>
      <c r="AF353" t="s">
        <v>74</v>
      </c>
      <c r="AG353">
        <v>32</v>
      </c>
      <c r="AH353">
        <v>78</v>
      </c>
      <c r="AI353">
        <v>86</v>
      </c>
      <c r="AJ353">
        <v>2</v>
      </c>
      <c r="AK353">
        <v>54</v>
      </c>
      <c r="AL353" t="s">
        <v>157</v>
      </c>
      <c r="AM353" t="s">
        <v>93</v>
      </c>
      <c r="AN353" t="s">
        <v>94</v>
      </c>
      <c r="AO353" t="s">
        <v>95</v>
      </c>
      <c r="AP353" t="s">
        <v>96</v>
      </c>
      <c r="AQ353" t="s">
        <v>74</v>
      </c>
      <c r="AR353" t="s">
        <v>97</v>
      </c>
      <c r="AS353" t="s">
        <v>98</v>
      </c>
      <c r="AT353" t="s">
        <v>509</v>
      </c>
      <c r="AU353">
        <v>2019</v>
      </c>
      <c r="AV353">
        <v>64</v>
      </c>
      <c r="AW353">
        <v>20</v>
      </c>
      <c r="AX353" t="s">
        <v>74</v>
      </c>
      <c r="AY353" t="s">
        <v>74</v>
      </c>
      <c r="AZ353" t="s">
        <v>74</v>
      </c>
      <c r="BA353" t="s">
        <v>74</v>
      </c>
      <c r="BB353" t="s">
        <v>74</v>
      </c>
      <c r="BC353" t="s">
        <v>74</v>
      </c>
      <c r="BD353">
        <v>205015</v>
      </c>
      <c r="BE353" t="s">
        <v>5766</v>
      </c>
      <c r="BF353" t="str">
        <f>HYPERLINK("http://dx.doi.org/10.1088/1361-6560/ab440d","http://dx.doi.org/10.1088/1361-6560/ab440d")</f>
        <v>http://dx.doi.org/10.1088/1361-6560/ab440d</v>
      </c>
      <c r="BG353" t="s">
        <v>74</v>
      </c>
      <c r="BH353" t="s">
        <v>74</v>
      </c>
      <c r="BI353">
        <v>14</v>
      </c>
      <c r="BJ353" t="s">
        <v>101</v>
      </c>
      <c r="BK353" t="s">
        <v>102</v>
      </c>
      <c r="BL353" t="s">
        <v>103</v>
      </c>
      <c r="BM353" t="s">
        <v>741</v>
      </c>
      <c r="BN353">
        <v>31514173</v>
      </c>
      <c r="BO353" t="s">
        <v>105</v>
      </c>
      <c r="BP353" t="s">
        <v>74</v>
      </c>
      <c r="BQ353" t="s">
        <v>74</v>
      </c>
      <c r="BR353" t="s">
        <v>106</v>
      </c>
      <c r="BS353" t="s">
        <v>5767</v>
      </c>
      <c r="BT353" t="str">
        <f>HYPERLINK("https%3A%2F%2Fwww.webofscience.com%2Fwos%2Fwoscc%2Ffull-record%2FWOS:000500247900015","View Full Record in Web of Science")</f>
        <v>View Full Record in Web of Science</v>
      </c>
    </row>
    <row r="354" spans="1:72" x14ac:dyDescent="0.25">
      <c r="A354" t="s">
        <v>72</v>
      </c>
      <c r="B354" t="s">
        <v>5768</v>
      </c>
      <c r="C354" t="s">
        <v>74</v>
      </c>
      <c r="D354" t="s">
        <v>74</v>
      </c>
      <c r="E354" t="s">
        <v>74</v>
      </c>
      <c r="F354" t="s">
        <v>5769</v>
      </c>
      <c r="G354" t="s">
        <v>74</v>
      </c>
      <c r="H354" t="s">
        <v>74</v>
      </c>
      <c r="I354" t="s">
        <v>5770</v>
      </c>
      <c r="J354" t="s">
        <v>77</v>
      </c>
      <c r="K354" t="s">
        <v>74</v>
      </c>
      <c r="L354" t="s">
        <v>74</v>
      </c>
      <c r="M354" t="s">
        <v>78</v>
      </c>
      <c r="N354" t="s">
        <v>79</v>
      </c>
      <c r="O354" t="s">
        <v>74</v>
      </c>
      <c r="P354" t="s">
        <v>74</v>
      </c>
      <c r="Q354" t="s">
        <v>74</v>
      </c>
      <c r="R354" t="s">
        <v>74</v>
      </c>
      <c r="S354" t="s">
        <v>74</v>
      </c>
      <c r="T354" t="s">
        <v>5771</v>
      </c>
      <c r="U354" t="s">
        <v>5772</v>
      </c>
      <c r="V354" t="s">
        <v>5773</v>
      </c>
      <c r="W354" t="s">
        <v>5774</v>
      </c>
      <c r="X354" t="s">
        <v>5775</v>
      </c>
      <c r="Y354" t="s">
        <v>5776</v>
      </c>
      <c r="Z354" t="s">
        <v>5777</v>
      </c>
      <c r="AA354" t="s">
        <v>5778</v>
      </c>
      <c r="AB354" t="s">
        <v>5779</v>
      </c>
      <c r="AC354" t="s">
        <v>5780</v>
      </c>
      <c r="AD354" t="s">
        <v>5781</v>
      </c>
      <c r="AE354" t="s">
        <v>5782</v>
      </c>
      <c r="AF354" t="s">
        <v>74</v>
      </c>
      <c r="AG354">
        <v>25</v>
      </c>
      <c r="AH354">
        <v>14</v>
      </c>
      <c r="AI354">
        <v>16</v>
      </c>
      <c r="AJ354">
        <v>1</v>
      </c>
      <c r="AK354">
        <v>23</v>
      </c>
      <c r="AL354" t="s">
        <v>92</v>
      </c>
      <c r="AM354" t="s">
        <v>93</v>
      </c>
      <c r="AN354" t="s">
        <v>94</v>
      </c>
      <c r="AO354" t="s">
        <v>95</v>
      </c>
      <c r="AP354" t="s">
        <v>96</v>
      </c>
      <c r="AQ354" t="s">
        <v>74</v>
      </c>
      <c r="AR354" t="s">
        <v>97</v>
      </c>
      <c r="AS354" t="s">
        <v>98</v>
      </c>
      <c r="AT354" t="s">
        <v>509</v>
      </c>
      <c r="AU354">
        <v>2019</v>
      </c>
      <c r="AV354">
        <v>64</v>
      </c>
      <c r="AW354">
        <v>20</v>
      </c>
      <c r="AX354" t="s">
        <v>74</v>
      </c>
      <c r="AY354" t="s">
        <v>74</v>
      </c>
      <c r="AZ354" t="s">
        <v>74</v>
      </c>
      <c r="BA354" t="s">
        <v>74</v>
      </c>
      <c r="BB354" t="s">
        <v>74</v>
      </c>
      <c r="BC354" t="s">
        <v>74</v>
      </c>
      <c r="BD354">
        <v>205017</v>
      </c>
      <c r="BE354" t="s">
        <v>5783</v>
      </c>
      <c r="BF354" t="str">
        <f>HYPERLINK("http://dx.doi.org/10.1088/1361-6560/ab430c","http://dx.doi.org/10.1088/1361-6560/ab430c")</f>
        <v>http://dx.doi.org/10.1088/1361-6560/ab430c</v>
      </c>
      <c r="BG354" t="s">
        <v>74</v>
      </c>
      <c r="BH354" t="s">
        <v>74</v>
      </c>
      <c r="BI354">
        <v>10</v>
      </c>
      <c r="BJ354" t="s">
        <v>101</v>
      </c>
      <c r="BK354" t="s">
        <v>102</v>
      </c>
      <c r="BL354" t="s">
        <v>103</v>
      </c>
      <c r="BM354" t="s">
        <v>741</v>
      </c>
      <c r="BN354">
        <v>31505477</v>
      </c>
      <c r="BO354" t="s">
        <v>270</v>
      </c>
      <c r="BP354" t="s">
        <v>74</v>
      </c>
      <c r="BQ354" t="s">
        <v>74</v>
      </c>
      <c r="BR354" t="s">
        <v>106</v>
      </c>
      <c r="BS354" t="s">
        <v>5784</v>
      </c>
      <c r="BT354" t="str">
        <f>HYPERLINK("https%3A%2F%2Fwww.webofscience.com%2Fwos%2Fwoscc%2Ffull-record%2FWOS:000500247900017","View Full Record in Web of Science")</f>
        <v>View Full Record in Web of Science</v>
      </c>
    </row>
    <row r="355" spans="1:72" x14ac:dyDescent="0.25">
      <c r="A355" t="s">
        <v>72</v>
      </c>
      <c r="B355" t="s">
        <v>5785</v>
      </c>
      <c r="C355" t="s">
        <v>74</v>
      </c>
      <c r="D355" t="s">
        <v>74</v>
      </c>
      <c r="E355" t="s">
        <v>74</v>
      </c>
      <c r="F355" t="s">
        <v>5786</v>
      </c>
      <c r="G355" t="s">
        <v>74</v>
      </c>
      <c r="H355" t="s">
        <v>74</v>
      </c>
      <c r="I355" t="s">
        <v>5787</v>
      </c>
      <c r="J355" t="s">
        <v>77</v>
      </c>
      <c r="K355" t="s">
        <v>74</v>
      </c>
      <c r="L355" t="s">
        <v>74</v>
      </c>
      <c r="M355" t="s">
        <v>78</v>
      </c>
      <c r="N355" t="s">
        <v>79</v>
      </c>
      <c r="O355" t="s">
        <v>74</v>
      </c>
      <c r="P355" t="s">
        <v>74</v>
      </c>
      <c r="Q355" t="s">
        <v>74</v>
      </c>
      <c r="R355" t="s">
        <v>74</v>
      </c>
      <c r="S355" t="s">
        <v>74</v>
      </c>
      <c r="T355" t="s">
        <v>5788</v>
      </c>
      <c r="U355" t="s">
        <v>5789</v>
      </c>
      <c r="V355" t="s">
        <v>5790</v>
      </c>
      <c r="W355" t="s">
        <v>5791</v>
      </c>
      <c r="X355" t="s">
        <v>5792</v>
      </c>
      <c r="Y355" t="s">
        <v>5793</v>
      </c>
      <c r="Z355" t="s">
        <v>5794</v>
      </c>
      <c r="AA355" t="s">
        <v>5795</v>
      </c>
      <c r="AB355" t="s">
        <v>5796</v>
      </c>
      <c r="AC355" t="s">
        <v>5797</v>
      </c>
      <c r="AD355" t="s">
        <v>5798</v>
      </c>
      <c r="AE355" t="s">
        <v>5799</v>
      </c>
      <c r="AF355" t="s">
        <v>74</v>
      </c>
      <c r="AG355">
        <v>32</v>
      </c>
      <c r="AH355">
        <v>2</v>
      </c>
      <c r="AI355">
        <v>2</v>
      </c>
      <c r="AJ355">
        <v>0</v>
      </c>
      <c r="AK355">
        <v>13</v>
      </c>
      <c r="AL355" t="s">
        <v>92</v>
      </c>
      <c r="AM355" t="s">
        <v>93</v>
      </c>
      <c r="AN355" t="s">
        <v>94</v>
      </c>
      <c r="AO355" t="s">
        <v>95</v>
      </c>
      <c r="AP355" t="s">
        <v>96</v>
      </c>
      <c r="AQ355" t="s">
        <v>74</v>
      </c>
      <c r="AR355" t="s">
        <v>97</v>
      </c>
      <c r="AS355" t="s">
        <v>98</v>
      </c>
      <c r="AT355" t="s">
        <v>509</v>
      </c>
      <c r="AU355">
        <v>2019</v>
      </c>
      <c r="AV355">
        <v>64</v>
      </c>
      <c r="AW355">
        <v>19</v>
      </c>
      <c r="AX355" t="s">
        <v>74</v>
      </c>
      <c r="AY355" t="s">
        <v>74</v>
      </c>
      <c r="AZ355" t="s">
        <v>74</v>
      </c>
      <c r="BA355" t="s">
        <v>74</v>
      </c>
      <c r="BB355" t="s">
        <v>74</v>
      </c>
      <c r="BC355" t="s">
        <v>74</v>
      </c>
      <c r="BD355">
        <v>194001</v>
      </c>
      <c r="BE355" t="s">
        <v>5800</v>
      </c>
      <c r="BF355" t="str">
        <f>HYPERLINK("http://dx.doi.org/10.1088/1361-6560/ab3c06","http://dx.doi.org/10.1088/1361-6560/ab3c06")</f>
        <v>http://dx.doi.org/10.1088/1361-6560/ab3c06</v>
      </c>
      <c r="BG355" t="s">
        <v>74</v>
      </c>
      <c r="BH355" t="s">
        <v>74</v>
      </c>
      <c r="BI355">
        <v>13</v>
      </c>
      <c r="BJ355" t="s">
        <v>101</v>
      </c>
      <c r="BK355" t="s">
        <v>102</v>
      </c>
      <c r="BL355" t="s">
        <v>103</v>
      </c>
      <c r="BM355" t="s">
        <v>5801</v>
      </c>
      <c r="BN355">
        <v>31422952</v>
      </c>
      <c r="BO355" t="s">
        <v>74</v>
      </c>
      <c r="BP355" t="s">
        <v>74</v>
      </c>
      <c r="BQ355" t="s">
        <v>74</v>
      </c>
      <c r="BR355" t="s">
        <v>106</v>
      </c>
      <c r="BS355" t="s">
        <v>5802</v>
      </c>
      <c r="BT355" t="str">
        <f>HYPERLINK("https%3A%2F%2Fwww.webofscience.com%2Fwos%2Fwoscc%2Ffull-record%2FWOS:000487554700001","View Full Record in Web of Science")</f>
        <v>View Full Record in Web of Science</v>
      </c>
    </row>
    <row r="356" spans="1:72" x14ac:dyDescent="0.25">
      <c r="A356" t="s">
        <v>72</v>
      </c>
      <c r="B356" t="s">
        <v>5803</v>
      </c>
      <c r="C356" t="s">
        <v>74</v>
      </c>
      <c r="D356" t="s">
        <v>74</v>
      </c>
      <c r="E356" t="s">
        <v>74</v>
      </c>
      <c r="F356" t="s">
        <v>5804</v>
      </c>
      <c r="G356" t="s">
        <v>74</v>
      </c>
      <c r="H356" t="s">
        <v>74</v>
      </c>
      <c r="I356" t="s">
        <v>5805</v>
      </c>
      <c r="J356" t="s">
        <v>77</v>
      </c>
      <c r="K356" t="s">
        <v>74</v>
      </c>
      <c r="L356" t="s">
        <v>74</v>
      </c>
      <c r="M356" t="s">
        <v>78</v>
      </c>
      <c r="N356" t="s">
        <v>79</v>
      </c>
      <c r="O356" t="s">
        <v>74</v>
      </c>
      <c r="P356" t="s">
        <v>74</v>
      </c>
      <c r="Q356" t="s">
        <v>74</v>
      </c>
      <c r="R356" t="s">
        <v>74</v>
      </c>
      <c r="S356" t="s">
        <v>74</v>
      </c>
      <c r="T356" t="s">
        <v>5806</v>
      </c>
      <c r="U356" t="s">
        <v>5807</v>
      </c>
      <c r="V356" t="s">
        <v>5808</v>
      </c>
      <c r="W356" t="s">
        <v>5809</v>
      </c>
      <c r="X356" t="s">
        <v>5810</v>
      </c>
      <c r="Y356" t="s">
        <v>5811</v>
      </c>
      <c r="Z356" t="s">
        <v>5812</v>
      </c>
      <c r="AA356" t="s">
        <v>5813</v>
      </c>
      <c r="AB356" t="s">
        <v>5814</v>
      </c>
      <c r="AC356" t="s">
        <v>5815</v>
      </c>
      <c r="AD356" t="s">
        <v>5816</v>
      </c>
      <c r="AE356" t="s">
        <v>5817</v>
      </c>
      <c r="AF356" t="s">
        <v>74</v>
      </c>
      <c r="AG356">
        <v>37</v>
      </c>
      <c r="AH356">
        <v>14</v>
      </c>
      <c r="AI356">
        <v>14</v>
      </c>
      <c r="AJ356">
        <v>0</v>
      </c>
      <c r="AK356">
        <v>5</v>
      </c>
      <c r="AL356" t="s">
        <v>92</v>
      </c>
      <c r="AM356" t="s">
        <v>93</v>
      </c>
      <c r="AN356" t="s">
        <v>94</v>
      </c>
      <c r="AO356" t="s">
        <v>95</v>
      </c>
      <c r="AP356" t="s">
        <v>96</v>
      </c>
      <c r="AQ356" t="s">
        <v>74</v>
      </c>
      <c r="AR356" t="s">
        <v>97</v>
      </c>
      <c r="AS356" t="s">
        <v>98</v>
      </c>
      <c r="AT356" t="s">
        <v>176</v>
      </c>
      <c r="AU356">
        <v>2019</v>
      </c>
      <c r="AV356">
        <v>64</v>
      </c>
      <c r="AW356">
        <v>17</v>
      </c>
      <c r="AX356" t="s">
        <v>74</v>
      </c>
      <c r="AY356" t="s">
        <v>74</v>
      </c>
      <c r="AZ356" t="s">
        <v>74</v>
      </c>
      <c r="BA356" t="s">
        <v>74</v>
      </c>
      <c r="BB356" t="s">
        <v>74</v>
      </c>
      <c r="BC356" t="s">
        <v>74</v>
      </c>
      <c r="BD356">
        <v>175014</v>
      </c>
      <c r="BE356" t="s">
        <v>5818</v>
      </c>
      <c r="BF356" t="str">
        <f>HYPERLINK("http://dx.doi.org/10.1088/1361-6560/ab324c","http://dx.doi.org/10.1088/1361-6560/ab324c")</f>
        <v>http://dx.doi.org/10.1088/1361-6560/ab324c</v>
      </c>
      <c r="BG356" t="s">
        <v>74</v>
      </c>
      <c r="BH356" t="s">
        <v>74</v>
      </c>
      <c r="BI356">
        <v>12</v>
      </c>
      <c r="BJ356" t="s">
        <v>101</v>
      </c>
      <c r="BK356" t="s">
        <v>102</v>
      </c>
      <c r="BL356" t="s">
        <v>103</v>
      </c>
      <c r="BM356" t="s">
        <v>794</v>
      </c>
      <c r="BN356">
        <v>31307023</v>
      </c>
      <c r="BO356" t="s">
        <v>5819</v>
      </c>
      <c r="BP356" t="s">
        <v>74</v>
      </c>
      <c r="BQ356" t="s">
        <v>74</v>
      </c>
      <c r="BR356" t="s">
        <v>106</v>
      </c>
      <c r="BS356" t="s">
        <v>5820</v>
      </c>
      <c r="BT356" t="str">
        <f>HYPERLINK("https%3A%2F%2Fwww.webofscience.com%2Fwos%2Fwoscc%2Ffull-record%2FWOS:000484508700007","View Full Record in Web of Science")</f>
        <v>View Full Record in Web of Science</v>
      </c>
    </row>
    <row r="357" spans="1:72" x14ac:dyDescent="0.25">
      <c r="A357" t="s">
        <v>72</v>
      </c>
      <c r="B357" t="s">
        <v>5821</v>
      </c>
      <c r="C357" t="s">
        <v>74</v>
      </c>
      <c r="D357" t="s">
        <v>74</v>
      </c>
      <c r="E357" t="s">
        <v>74</v>
      </c>
      <c r="F357" t="s">
        <v>5822</v>
      </c>
      <c r="G357" t="s">
        <v>74</v>
      </c>
      <c r="H357" t="s">
        <v>74</v>
      </c>
      <c r="I357" t="s">
        <v>5823</v>
      </c>
      <c r="J357" t="s">
        <v>77</v>
      </c>
      <c r="K357" t="s">
        <v>74</v>
      </c>
      <c r="L357" t="s">
        <v>74</v>
      </c>
      <c r="M357" t="s">
        <v>78</v>
      </c>
      <c r="N357" t="s">
        <v>79</v>
      </c>
      <c r="O357" t="s">
        <v>74</v>
      </c>
      <c r="P357" t="s">
        <v>74</v>
      </c>
      <c r="Q357" t="s">
        <v>74</v>
      </c>
      <c r="R357" t="s">
        <v>74</v>
      </c>
      <c r="S357" t="s">
        <v>74</v>
      </c>
      <c r="T357" t="s">
        <v>5824</v>
      </c>
      <c r="U357" t="s">
        <v>5825</v>
      </c>
      <c r="V357" t="s">
        <v>5826</v>
      </c>
      <c r="W357" t="s">
        <v>5827</v>
      </c>
      <c r="X357" t="s">
        <v>5828</v>
      </c>
      <c r="Y357" t="s">
        <v>5829</v>
      </c>
      <c r="Z357" t="s">
        <v>5830</v>
      </c>
      <c r="AA357" t="s">
        <v>5831</v>
      </c>
      <c r="AB357" t="s">
        <v>5832</v>
      </c>
      <c r="AC357" t="s">
        <v>5833</v>
      </c>
      <c r="AD357" t="s">
        <v>5834</v>
      </c>
      <c r="AE357" t="s">
        <v>5835</v>
      </c>
      <c r="AF357" t="s">
        <v>74</v>
      </c>
      <c r="AG357">
        <v>13</v>
      </c>
      <c r="AH357">
        <v>1</v>
      </c>
      <c r="AI357">
        <v>1</v>
      </c>
      <c r="AJ357">
        <v>0</v>
      </c>
      <c r="AK357">
        <v>4</v>
      </c>
      <c r="AL357" t="s">
        <v>92</v>
      </c>
      <c r="AM357" t="s">
        <v>93</v>
      </c>
      <c r="AN357" t="s">
        <v>94</v>
      </c>
      <c r="AO357" t="s">
        <v>95</v>
      </c>
      <c r="AP357" t="s">
        <v>96</v>
      </c>
      <c r="AQ357" t="s">
        <v>74</v>
      </c>
      <c r="AR357" t="s">
        <v>97</v>
      </c>
      <c r="AS357" t="s">
        <v>98</v>
      </c>
      <c r="AT357" t="s">
        <v>176</v>
      </c>
      <c r="AU357">
        <v>2019</v>
      </c>
      <c r="AV357">
        <v>64</v>
      </c>
      <c r="AW357">
        <v>17</v>
      </c>
      <c r="AX357" t="s">
        <v>74</v>
      </c>
      <c r="AY357" t="s">
        <v>74</v>
      </c>
      <c r="AZ357" t="s">
        <v>74</v>
      </c>
      <c r="BA357" t="s">
        <v>74</v>
      </c>
      <c r="BB357" t="s">
        <v>74</v>
      </c>
      <c r="BC357" t="s">
        <v>74</v>
      </c>
      <c r="BD357">
        <v>175018</v>
      </c>
      <c r="BE357" t="s">
        <v>5836</v>
      </c>
      <c r="BF357" t="str">
        <f>HYPERLINK("http://dx.doi.org/10.1088/1361-6560/ab2f13","http://dx.doi.org/10.1088/1361-6560/ab2f13")</f>
        <v>http://dx.doi.org/10.1088/1361-6560/ab2f13</v>
      </c>
      <c r="BG357" t="s">
        <v>74</v>
      </c>
      <c r="BH357" t="s">
        <v>74</v>
      </c>
      <c r="BI357">
        <v>9</v>
      </c>
      <c r="BJ357" t="s">
        <v>101</v>
      </c>
      <c r="BK357" t="s">
        <v>102</v>
      </c>
      <c r="BL357" t="s">
        <v>103</v>
      </c>
      <c r="BM357" t="s">
        <v>178</v>
      </c>
      <c r="BN357">
        <v>31269475</v>
      </c>
      <c r="BO357" t="s">
        <v>420</v>
      </c>
      <c r="BP357" t="s">
        <v>74</v>
      </c>
      <c r="BQ357" t="s">
        <v>74</v>
      </c>
      <c r="BR357" t="s">
        <v>106</v>
      </c>
      <c r="BS357" t="s">
        <v>5837</v>
      </c>
      <c r="BT357" t="str">
        <f>HYPERLINK("https%3A%2F%2Fwww.webofscience.com%2Fwos%2Fwoscc%2Ffull-record%2FWOS:000484728400003","View Full Record in Web of Science")</f>
        <v>View Full Record in Web of Science</v>
      </c>
    </row>
    <row r="358" spans="1:72" x14ac:dyDescent="0.25">
      <c r="A358" t="s">
        <v>72</v>
      </c>
      <c r="B358" t="s">
        <v>5838</v>
      </c>
      <c r="C358" t="s">
        <v>74</v>
      </c>
      <c r="D358" t="s">
        <v>74</v>
      </c>
      <c r="E358" t="s">
        <v>74</v>
      </c>
      <c r="F358" t="s">
        <v>5839</v>
      </c>
      <c r="G358" t="s">
        <v>74</v>
      </c>
      <c r="H358" t="s">
        <v>74</v>
      </c>
      <c r="I358" t="s">
        <v>5840</v>
      </c>
      <c r="J358" t="s">
        <v>77</v>
      </c>
      <c r="K358" t="s">
        <v>74</v>
      </c>
      <c r="L358" t="s">
        <v>74</v>
      </c>
      <c r="M358" t="s">
        <v>78</v>
      </c>
      <c r="N358" t="s">
        <v>79</v>
      </c>
      <c r="O358" t="s">
        <v>74</v>
      </c>
      <c r="P358" t="s">
        <v>74</v>
      </c>
      <c r="Q358" t="s">
        <v>74</v>
      </c>
      <c r="R358" t="s">
        <v>74</v>
      </c>
      <c r="S358" t="s">
        <v>74</v>
      </c>
      <c r="T358" t="s">
        <v>5841</v>
      </c>
      <c r="U358" t="s">
        <v>5842</v>
      </c>
      <c r="V358" t="s">
        <v>5843</v>
      </c>
      <c r="W358" t="s">
        <v>5844</v>
      </c>
      <c r="X358" t="s">
        <v>5845</v>
      </c>
      <c r="Y358" t="s">
        <v>5846</v>
      </c>
      <c r="Z358" t="s">
        <v>5847</v>
      </c>
      <c r="AA358" t="s">
        <v>5848</v>
      </c>
      <c r="AB358" t="s">
        <v>5849</v>
      </c>
      <c r="AC358" t="s">
        <v>5850</v>
      </c>
      <c r="AD358" t="s">
        <v>5851</v>
      </c>
      <c r="AE358" t="s">
        <v>5852</v>
      </c>
      <c r="AF358" t="s">
        <v>74</v>
      </c>
      <c r="AG358">
        <v>15</v>
      </c>
      <c r="AH358">
        <v>60</v>
      </c>
      <c r="AI358">
        <v>61</v>
      </c>
      <c r="AJ358">
        <v>1</v>
      </c>
      <c r="AK358">
        <v>14</v>
      </c>
      <c r="AL358" t="s">
        <v>92</v>
      </c>
      <c r="AM358" t="s">
        <v>93</v>
      </c>
      <c r="AN358" t="s">
        <v>94</v>
      </c>
      <c r="AO358" t="s">
        <v>95</v>
      </c>
      <c r="AP358" t="s">
        <v>96</v>
      </c>
      <c r="AQ358" t="s">
        <v>74</v>
      </c>
      <c r="AR358" t="s">
        <v>97</v>
      </c>
      <c r="AS358" t="s">
        <v>98</v>
      </c>
      <c r="AT358" t="s">
        <v>176</v>
      </c>
      <c r="AU358">
        <v>2019</v>
      </c>
      <c r="AV358">
        <v>64</v>
      </c>
      <c r="AW358">
        <v>18</v>
      </c>
      <c r="AX358" t="s">
        <v>74</v>
      </c>
      <c r="AY358" t="s">
        <v>74</v>
      </c>
      <c r="AZ358" t="s">
        <v>74</v>
      </c>
      <c r="BA358" t="s">
        <v>74</v>
      </c>
      <c r="BB358" t="s">
        <v>74</v>
      </c>
      <c r="BC358" t="s">
        <v>74</v>
      </c>
      <c r="BD358">
        <v>185018</v>
      </c>
      <c r="BE358" t="s">
        <v>5853</v>
      </c>
      <c r="BF358" t="str">
        <f>HYPERLINK("http://dx.doi.org/10.1088/1361-6560/ab18b3","http://dx.doi.org/10.1088/1361-6560/ab18b3")</f>
        <v>http://dx.doi.org/10.1088/1361-6560/ab18b3</v>
      </c>
      <c r="BG358" t="s">
        <v>74</v>
      </c>
      <c r="BH358" t="s">
        <v>74</v>
      </c>
      <c r="BI358">
        <v>12</v>
      </c>
      <c r="BJ358" t="s">
        <v>101</v>
      </c>
      <c r="BK358" t="s">
        <v>102</v>
      </c>
      <c r="BL358" t="s">
        <v>103</v>
      </c>
      <c r="BM358" t="s">
        <v>1992</v>
      </c>
      <c r="BN358">
        <v>30978716</v>
      </c>
      <c r="BO358" t="s">
        <v>759</v>
      </c>
      <c r="BP358" t="s">
        <v>74</v>
      </c>
      <c r="BQ358" t="s">
        <v>74</v>
      </c>
      <c r="BR358" t="s">
        <v>106</v>
      </c>
      <c r="BS358" t="s">
        <v>5854</v>
      </c>
      <c r="BT358" t="str">
        <f>HYPERLINK("https%3A%2F%2Fwww.webofscience.com%2Fwos%2Fwoscc%2Ffull-record%2FWOS:000487116400007","View Full Record in Web of Science")</f>
        <v>View Full Record in Web of Science</v>
      </c>
    </row>
    <row r="359" spans="1:72" x14ac:dyDescent="0.25">
      <c r="A359" t="s">
        <v>72</v>
      </c>
      <c r="B359" t="s">
        <v>5855</v>
      </c>
      <c r="C359" t="s">
        <v>74</v>
      </c>
      <c r="D359" t="s">
        <v>74</v>
      </c>
      <c r="E359" t="s">
        <v>74</v>
      </c>
      <c r="F359" t="s">
        <v>5856</v>
      </c>
      <c r="G359" t="s">
        <v>74</v>
      </c>
      <c r="H359" t="s">
        <v>74</v>
      </c>
      <c r="I359" t="s">
        <v>5857</v>
      </c>
      <c r="J359" t="s">
        <v>77</v>
      </c>
      <c r="K359" t="s">
        <v>74</v>
      </c>
      <c r="L359" t="s">
        <v>74</v>
      </c>
      <c r="M359" t="s">
        <v>78</v>
      </c>
      <c r="N359" t="s">
        <v>79</v>
      </c>
      <c r="O359" t="s">
        <v>74</v>
      </c>
      <c r="P359" t="s">
        <v>74</v>
      </c>
      <c r="Q359" t="s">
        <v>74</v>
      </c>
      <c r="R359" t="s">
        <v>74</v>
      </c>
      <c r="S359" t="s">
        <v>74</v>
      </c>
      <c r="T359" t="s">
        <v>5858</v>
      </c>
      <c r="U359" t="s">
        <v>5859</v>
      </c>
      <c r="V359" t="s">
        <v>5860</v>
      </c>
      <c r="W359" t="s">
        <v>5861</v>
      </c>
      <c r="X359" t="s">
        <v>5862</v>
      </c>
      <c r="Y359" t="s">
        <v>5863</v>
      </c>
      <c r="Z359" t="s">
        <v>5864</v>
      </c>
      <c r="AA359" t="s">
        <v>5865</v>
      </c>
      <c r="AB359" t="s">
        <v>5866</v>
      </c>
      <c r="AC359" t="s">
        <v>5867</v>
      </c>
      <c r="AD359" t="s">
        <v>5868</v>
      </c>
      <c r="AE359" t="s">
        <v>5869</v>
      </c>
      <c r="AF359" t="s">
        <v>74</v>
      </c>
      <c r="AG359">
        <v>33</v>
      </c>
      <c r="AH359">
        <v>6</v>
      </c>
      <c r="AI359">
        <v>8</v>
      </c>
      <c r="AJ359">
        <v>0</v>
      </c>
      <c r="AK359">
        <v>11</v>
      </c>
      <c r="AL359" t="s">
        <v>92</v>
      </c>
      <c r="AM359" t="s">
        <v>93</v>
      </c>
      <c r="AN359" t="s">
        <v>94</v>
      </c>
      <c r="AO359" t="s">
        <v>95</v>
      </c>
      <c r="AP359" t="s">
        <v>96</v>
      </c>
      <c r="AQ359" t="s">
        <v>74</v>
      </c>
      <c r="AR359" t="s">
        <v>97</v>
      </c>
      <c r="AS359" t="s">
        <v>98</v>
      </c>
      <c r="AT359" t="s">
        <v>176</v>
      </c>
      <c r="AU359">
        <v>2019</v>
      </c>
      <c r="AV359">
        <v>64</v>
      </c>
      <c r="AW359">
        <v>18</v>
      </c>
      <c r="AX359" t="s">
        <v>74</v>
      </c>
      <c r="AY359" t="s">
        <v>74</v>
      </c>
      <c r="AZ359" t="s">
        <v>74</v>
      </c>
      <c r="BA359" t="s">
        <v>74</v>
      </c>
      <c r="BB359" t="s">
        <v>74</v>
      </c>
      <c r="BC359" t="s">
        <v>74</v>
      </c>
      <c r="BD359">
        <v>185012</v>
      </c>
      <c r="BE359" t="s">
        <v>5870</v>
      </c>
      <c r="BF359" t="str">
        <f>HYPERLINK("http://dx.doi.org/10.1088/1361-6560/ab35bc","http://dx.doi.org/10.1088/1361-6560/ab35bc")</f>
        <v>http://dx.doi.org/10.1088/1361-6560/ab35bc</v>
      </c>
      <c r="BG359" t="s">
        <v>74</v>
      </c>
      <c r="BH359" t="s">
        <v>74</v>
      </c>
      <c r="BI359">
        <v>14</v>
      </c>
      <c r="BJ359" t="s">
        <v>101</v>
      </c>
      <c r="BK359" t="s">
        <v>102</v>
      </c>
      <c r="BL359" t="s">
        <v>103</v>
      </c>
      <c r="BM359" t="s">
        <v>1992</v>
      </c>
      <c r="BN359">
        <v>31344697</v>
      </c>
      <c r="BO359" t="s">
        <v>74</v>
      </c>
      <c r="BP359" t="s">
        <v>74</v>
      </c>
      <c r="BQ359" t="s">
        <v>74</v>
      </c>
      <c r="BR359" t="s">
        <v>106</v>
      </c>
      <c r="BS359" t="s">
        <v>5871</v>
      </c>
      <c r="BT359" t="str">
        <f>HYPERLINK("https%3A%2F%2Fwww.webofscience.com%2Fwos%2Fwoscc%2Ffull-record%2FWOS:000487116400001","View Full Record in Web of Science")</f>
        <v>View Full Record in Web of Science</v>
      </c>
    </row>
    <row r="360" spans="1:72" x14ac:dyDescent="0.25">
      <c r="A360" t="s">
        <v>72</v>
      </c>
      <c r="B360" t="s">
        <v>5872</v>
      </c>
      <c r="C360" t="s">
        <v>74</v>
      </c>
      <c r="D360" t="s">
        <v>74</v>
      </c>
      <c r="E360" t="s">
        <v>74</v>
      </c>
      <c r="F360" t="s">
        <v>5873</v>
      </c>
      <c r="G360" t="s">
        <v>74</v>
      </c>
      <c r="H360" t="s">
        <v>74</v>
      </c>
      <c r="I360" t="s">
        <v>5874</v>
      </c>
      <c r="J360" t="s">
        <v>77</v>
      </c>
      <c r="K360" t="s">
        <v>74</v>
      </c>
      <c r="L360" t="s">
        <v>74</v>
      </c>
      <c r="M360" t="s">
        <v>78</v>
      </c>
      <c r="N360" t="s">
        <v>79</v>
      </c>
      <c r="O360" t="s">
        <v>74</v>
      </c>
      <c r="P360" t="s">
        <v>74</v>
      </c>
      <c r="Q360" t="s">
        <v>74</v>
      </c>
      <c r="R360" t="s">
        <v>74</v>
      </c>
      <c r="S360" t="s">
        <v>74</v>
      </c>
      <c r="T360" t="s">
        <v>5875</v>
      </c>
      <c r="U360" t="s">
        <v>5876</v>
      </c>
      <c r="V360" t="s">
        <v>5877</v>
      </c>
      <c r="W360" t="s">
        <v>5878</v>
      </c>
      <c r="X360" t="s">
        <v>5879</v>
      </c>
      <c r="Y360" t="s">
        <v>5880</v>
      </c>
      <c r="Z360" t="s">
        <v>5881</v>
      </c>
      <c r="AA360" t="s">
        <v>74</v>
      </c>
      <c r="AB360" t="s">
        <v>5882</v>
      </c>
      <c r="AC360" t="s">
        <v>5883</v>
      </c>
      <c r="AD360" t="s">
        <v>607</v>
      </c>
      <c r="AE360" t="s">
        <v>5884</v>
      </c>
      <c r="AF360" t="s">
        <v>74</v>
      </c>
      <c r="AG360">
        <v>40</v>
      </c>
      <c r="AH360">
        <v>11</v>
      </c>
      <c r="AI360">
        <v>11</v>
      </c>
      <c r="AJ360">
        <v>0</v>
      </c>
      <c r="AK360">
        <v>4</v>
      </c>
      <c r="AL360" t="s">
        <v>92</v>
      </c>
      <c r="AM360" t="s">
        <v>93</v>
      </c>
      <c r="AN360" t="s">
        <v>94</v>
      </c>
      <c r="AO360" t="s">
        <v>95</v>
      </c>
      <c r="AP360" t="s">
        <v>96</v>
      </c>
      <c r="AQ360" t="s">
        <v>74</v>
      </c>
      <c r="AR360" t="s">
        <v>97</v>
      </c>
      <c r="AS360" t="s">
        <v>98</v>
      </c>
      <c r="AT360" t="s">
        <v>214</v>
      </c>
      <c r="AU360">
        <v>2019</v>
      </c>
      <c r="AV360">
        <v>64</v>
      </c>
      <c r="AW360">
        <v>13</v>
      </c>
      <c r="AX360" t="s">
        <v>74</v>
      </c>
      <c r="AY360" t="s">
        <v>74</v>
      </c>
      <c r="AZ360" t="s">
        <v>74</v>
      </c>
      <c r="BA360" t="s">
        <v>74</v>
      </c>
      <c r="BB360" t="s">
        <v>74</v>
      </c>
      <c r="BC360" t="s">
        <v>74</v>
      </c>
      <c r="BD360">
        <v>135020</v>
      </c>
      <c r="BE360" t="s">
        <v>5885</v>
      </c>
      <c r="BF360" t="str">
        <f>HYPERLINK("http://dx.doi.org/10.1088/1361-6560/ab205c","http://dx.doi.org/10.1088/1361-6560/ab205c")</f>
        <v>http://dx.doi.org/10.1088/1361-6560/ab205c</v>
      </c>
      <c r="BG360" t="s">
        <v>74</v>
      </c>
      <c r="BH360" t="s">
        <v>74</v>
      </c>
      <c r="BI360">
        <v>14</v>
      </c>
      <c r="BJ360" t="s">
        <v>101</v>
      </c>
      <c r="BK360" t="s">
        <v>102</v>
      </c>
      <c r="BL360" t="s">
        <v>103</v>
      </c>
      <c r="BM360" t="s">
        <v>1111</v>
      </c>
      <c r="BN360">
        <v>31071687</v>
      </c>
      <c r="BO360" t="s">
        <v>105</v>
      </c>
      <c r="BP360" t="s">
        <v>74</v>
      </c>
      <c r="BQ360" t="s">
        <v>74</v>
      </c>
      <c r="BR360" t="s">
        <v>106</v>
      </c>
      <c r="BS360" t="s">
        <v>5886</v>
      </c>
      <c r="BT360" t="str">
        <f>HYPERLINK("https%3A%2F%2Fwww.webofscience.com%2Fwos%2Fwoscc%2Ffull-record%2FWOS:000474396800006","View Full Record in Web of Science")</f>
        <v>View Full Record in Web of Science</v>
      </c>
    </row>
    <row r="361" spans="1:72" x14ac:dyDescent="0.25">
      <c r="A361" t="s">
        <v>72</v>
      </c>
      <c r="B361" t="s">
        <v>5887</v>
      </c>
      <c r="C361" t="s">
        <v>74</v>
      </c>
      <c r="D361" t="s">
        <v>74</v>
      </c>
      <c r="E361" t="s">
        <v>74</v>
      </c>
      <c r="F361" t="s">
        <v>5888</v>
      </c>
      <c r="G361" t="s">
        <v>74</v>
      </c>
      <c r="H361" t="s">
        <v>74</v>
      </c>
      <c r="I361" t="s">
        <v>5889</v>
      </c>
      <c r="J361" t="s">
        <v>77</v>
      </c>
      <c r="K361" t="s">
        <v>74</v>
      </c>
      <c r="L361" t="s">
        <v>74</v>
      </c>
      <c r="M361" t="s">
        <v>78</v>
      </c>
      <c r="N361" t="s">
        <v>79</v>
      </c>
      <c r="O361" t="s">
        <v>74</v>
      </c>
      <c r="P361" t="s">
        <v>74</v>
      </c>
      <c r="Q361" t="s">
        <v>74</v>
      </c>
      <c r="R361" t="s">
        <v>74</v>
      </c>
      <c r="S361" t="s">
        <v>74</v>
      </c>
      <c r="T361" t="s">
        <v>5890</v>
      </c>
      <c r="U361" t="s">
        <v>5891</v>
      </c>
      <c r="V361" t="s">
        <v>5892</v>
      </c>
      <c r="W361" t="s">
        <v>5893</v>
      </c>
      <c r="X361" t="s">
        <v>74</v>
      </c>
      <c r="Y361" t="s">
        <v>5894</v>
      </c>
      <c r="Z361" t="s">
        <v>5895</v>
      </c>
      <c r="AA361" t="s">
        <v>5896</v>
      </c>
      <c r="AB361" t="s">
        <v>5897</v>
      </c>
      <c r="AC361" t="s">
        <v>74</v>
      </c>
      <c r="AD361" t="s">
        <v>74</v>
      </c>
      <c r="AE361" t="s">
        <v>74</v>
      </c>
      <c r="AF361" t="s">
        <v>74</v>
      </c>
      <c r="AG361">
        <v>26</v>
      </c>
      <c r="AH361">
        <v>5</v>
      </c>
      <c r="AI361">
        <v>5</v>
      </c>
      <c r="AJ361">
        <v>1</v>
      </c>
      <c r="AK361">
        <v>2</v>
      </c>
      <c r="AL361" t="s">
        <v>92</v>
      </c>
      <c r="AM361" t="s">
        <v>93</v>
      </c>
      <c r="AN361" t="s">
        <v>94</v>
      </c>
      <c r="AO361" t="s">
        <v>95</v>
      </c>
      <c r="AP361" t="s">
        <v>96</v>
      </c>
      <c r="AQ361" t="s">
        <v>74</v>
      </c>
      <c r="AR361" t="s">
        <v>97</v>
      </c>
      <c r="AS361" t="s">
        <v>98</v>
      </c>
      <c r="AT361" t="s">
        <v>214</v>
      </c>
      <c r="AU361">
        <v>2019</v>
      </c>
      <c r="AV361">
        <v>64</v>
      </c>
      <c r="AW361">
        <v>13</v>
      </c>
      <c r="AX361" t="s">
        <v>74</v>
      </c>
      <c r="AY361" t="s">
        <v>74</v>
      </c>
      <c r="AZ361" t="s">
        <v>74</v>
      </c>
      <c r="BA361" t="s">
        <v>74</v>
      </c>
      <c r="BB361" t="s">
        <v>74</v>
      </c>
      <c r="BC361" t="s">
        <v>74</v>
      </c>
      <c r="BD361">
        <v>135004</v>
      </c>
      <c r="BE361" t="s">
        <v>5898</v>
      </c>
      <c r="BF361" t="str">
        <f>HYPERLINK("http://dx.doi.org/10.1088/1361-6560/ab2059","http://dx.doi.org/10.1088/1361-6560/ab2059")</f>
        <v>http://dx.doi.org/10.1088/1361-6560/ab2059</v>
      </c>
      <c r="BG361" t="s">
        <v>74</v>
      </c>
      <c r="BH361" t="s">
        <v>74</v>
      </c>
      <c r="BI361">
        <v>16</v>
      </c>
      <c r="BJ361" t="s">
        <v>101</v>
      </c>
      <c r="BK361" t="s">
        <v>102</v>
      </c>
      <c r="BL361" t="s">
        <v>103</v>
      </c>
      <c r="BM361" t="s">
        <v>216</v>
      </c>
      <c r="BN361">
        <v>31071690</v>
      </c>
      <c r="BO361" t="s">
        <v>74</v>
      </c>
      <c r="BP361" t="s">
        <v>74</v>
      </c>
      <c r="BQ361" t="s">
        <v>74</v>
      </c>
      <c r="BR361" t="s">
        <v>106</v>
      </c>
      <c r="BS361" t="s">
        <v>5899</v>
      </c>
      <c r="BT361" t="str">
        <f>HYPERLINK("https%3A%2F%2Fwww.webofscience.com%2Fwos%2Fwoscc%2Ffull-record%2FWOS:000473698800004","View Full Record in Web of Science")</f>
        <v>View Full Record in Web of Science</v>
      </c>
    </row>
    <row r="362" spans="1:72" x14ac:dyDescent="0.25">
      <c r="A362" t="s">
        <v>72</v>
      </c>
      <c r="B362" t="s">
        <v>5900</v>
      </c>
      <c r="C362" t="s">
        <v>74</v>
      </c>
      <c r="D362" t="s">
        <v>74</v>
      </c>
      <c r="E362" t="s">
        <v>74</v>
      </c>
      <c r="F362" t="s">
        <v>5901</v>
      </c>
      <c r="G362" t="s">
        <v>74</v>
      </c>
      <c r="H362" t="s">
        <v>74</v>
      </c>
      <c r="I362" t="s">
        <v>5902</v>
      </c>
      <c r="J362" t="s">
        <v>77</v>
      </c>
      <c r="K362" t="s">
        <v>74</v>
      </c>
      <c r="L362" t="s">
        <v>74</v>
      </c>
      <c r="M362" t="s">
        <v>78</v>
      </c>
      <c r="N362" t="s">
        <v>79</v>
      </c>
      <c r="O362" t="s">
        <v>74</v>
      </c>
      <c r="P362" t="s">
        <v>74</v>
      </c>
      <c r="Q362" t="s">
        <v>74</v>
      </c>
      <c r="R362" t="s">
        <v>74</v>
      </c>
      <c r="S362" t="s">
        <v>74</v>
      </c>
      <c r="T362" t="s">
        <v>5903</v>
      </c>
      <c r="U362" t="s">
        <v>5904</v>
      </c>
      <c r="V362" t="s">
        <v>5905</v>
      </c>
      <c r="W362" t="s">
        <v>5906</v>
      </c>
      <c r="X362" t="s">
        <v>5907</v>
      </c>
      <c r="Y362" t="s">
        <v>5908</v>
      </c>
      <c r="Z362" t="s">
        <v>5909</v>
      </c>
      <c r="AA362" t="s">
        <v>5910</v>
      </c>
      <c r="AB362" t="s">
        <v>5911</v>
      </c>
      <c r="AC362" t="s">
        <v>5912</v>
      </c>
      <c r="AD362" t="s">
        <v>5913</v>
      </c>
      <c r="AE362" t="s">
        <v>5914</v>
      </c>
      <c r="AF362" t="s">
        <v>74</v>
      </c>
      <c r="AG362">
        <v>47</v>
      </c>
      <c r="AH362">
        <v>6</v>
      </c>
      <c r="AI362">
        <v>6</v>
      </c>
      <c r="AJ362">
        <v>0</v>
      </c>
      <c r="AK362">
        <v>7</v>
      </c>
      <c r="AL362" t="s">
        <v>92</v>
      </c>
      <c r="AM362" t="s">
        <v>93</v>
      </c>
      <c r="AN362" t="s">
        <v>94</v>
      </c>
      <c r="AO362" t="s">
        <v>95</v>
      </c>
      <c r="AP362" t="s">
        <v>96</v>
      </c>
      <c r="AQ362" t="s">
        <v>74</v>
      </c>
      <c r="AR362" t="s">
        <v>97</v>
      </c>
      <c r="AS362" t="s">
        <v>98</v>
      </c>
      <c r="AT362" t="s">
        <v>250</v>
      </c>
      <c r="AU362">
        <v>2019</v>
      </c>
      <c r="AV362">
        <v>64</v>
      </c>
      <c r="AW362">
        <v>11</v>
      </c>
      <c r="AX362" t="s">
        <v>74</v>
      </c>
      <c r="AY362" t="s">
        <v>74</v>
      </c>
      <c r="AZ362" t="s">
        <v>74</v>
      </c>
      <c r="BA362" t="s">
        <v>74</v>
      </c>
      <c r="BB362" t="s">
        <v>74</v>
      </c>
      <c r="BC362" t="s">
        <v>74</v>
      </c>
      <c r="BD362">
        <v>115018</v>
      </c>
      <c r="BE362" t="s">
        <v>5915</v>
      </c>
      <c r="BF362" t="str">
        <f>HYPERLINK("http://dx.doi.org/10.1088/1361-6560/ab1ce9","http://dx.doi.org/10.1088/1361-6560/ab1ce9")</f>
        <v>http://dx.doi.org/10.1088/1361-6560/ab1ce9</v>
      </c>
      <c r="BG362" t="s">
        <v>74</v>
      </c>
      <c r="BH362" t="s">
        <v>74</v>
      </c>
      <c r="BI362">
        <v>11</v>
      </c>
      <c r="BJ362" t="s">
        <v>101</v>
      </c>
      <c r="BK362" t="s">
        <v>102</v>
      </c>
      <c r="BL362" t="s">
        <v>103</v>
      </c>
      <c r="BM362" t="s">
        <v>305</v>
      </c>
      <c r="BN362">
        <v>31026847</v>
      </c>
      <c r="BO362" t="s">
        <v>74</v>
      </c>
      <c r="BP362" t="s">
        <v>74</v>
      </c>
      <c r="BQ362" t="s">
        <v>74</v>
      </c>
      <c r="BR362" t="s">
        <v>106</v>
      </c>
      <c r="BS362" t="s">
        <v>5916</v>
      </c>
      <c r="BT362" t="str">
        <f>HYPERLINK("https%3A%2F%2Fwww.webofscience.com%2Fwos%2Fwoscc%2Ffull-record%2FWOS:000470205600002","View Full Record in Web of Science")</f>
        <v>View Full Record in Web of Science</v>
      </c>
    </row>
    <row r="363" spans="1:72" x14ac:dyDescent="0.25">
      <c r="A363" t="s">
        <v>72</v>
      </c>
      <c r="B363" t="s">
        <v>5917</v>
      </c>
      <c r="C363" t="s">
        <v>74</v>
      </c>
      <c r="D363" t="s">
        <v>74</v>
      </c>
      <c r="E363" t="s">
        <v>74</v>
      </c>
      <c r="F363" t="s">
        <v>5918</v>
      </c>
      <c r="G363" t="s">
        <v>74</v>
      </c>
      <c r="H363" t="s">
        <v>74</v>
      </c>
      <c r="I363" t="s">
        <v>5919</v>
      </c>
      <c r="J363" t="s">
        <v>77</v>
      </c>
      <c r="K363" t="s">
        <v>74</v>
      </c>
      <c r="L363" t="s">
        <v>74</v>
      </c>
      <c r="M363" t="s">
        <v>78</v>
      </c>
      <c r="N363" t="s">
        <v>79</v>
      </c>
      <c r="O363" t="s">
        <v>74</v>
      </c>
      <c r="P363" t="s">
        <v>74</v>
      </c>
      <c r="Q363" t="s">
        <v>74</v>
      </c>
      <c r="R363" t="s">
        <v>74</v>
      </c>
      <c r="S363" t="s">
        <v>74</v>
      </c>
      <c r="T363" t="s">
        <v>5920</v>
      </c>
      <c r="U363" t="s">
        <v>5921</v>
      </c>
      <c r="V363" t="s">
        <v>5922</v>
      </c>
      <c r="W363" t="s">
        <v>5923</v>
      </c>
      <c r="X363" t="s">
        <v>5924</v>
      </c>
      <c r="Y363" t="s">
        <v>5925</v>
      </c>
      <c r="Z363" t="s">
        <v>5926</v>
      </c>
      <c r="AA363" t="s">
        <v>5927</v>
      </c>
      <c r="AB363" t="s">
        <v>5928</v>
      </c>
      <c r="AC363" t="s">
        <v>5929</v>
      </c>
      <c r="AD363" t="s">
        <v>607</v>
      </c>
      <c r="AE363" t="s">
        <v>5930</v>
      </c>
      <c r="AF363" t="s">
        <v>74</v>
      </c>
      <c r="AG363">
        <v>26</v>
      </c>
      <c r="AH363">
        <v>12</v>
      </c>
      <c r="AI363">
        <v>15</v>
      </c>
      <c r="AJ363">
        <v>0</v>
      </c>
      <c r="AK363">
        <v>6</v>
      </c>
      <c r="AL363" t="s">
        <v>92</v>
      </c>
      <c r="AM363" t="s">
        <v>93</v>
      </c>
      <c r="AN363" t="s">
        <v>94</v>
      </c>
      <c r="AO363" t="s">
        <v>95</v>
      </c>
      <c r="AP363" t="s">
        <v>96</v>
      </c>
      <c r="AQ363" t="s">
        <v>74</v>
      </c>
      <c r="AR363" t="s">
        <v>97</v>
      </c>
      <c r="AS363" t="s">
        <v>98</v>
      </c>
      <c r="AT363" t="s">
        <v>250</v>
      </c>
      <c r="AU363">
        <v>2019</v>
      </c>
      <c r="AV363">
        <v>64</v>
      </c>
      <c r="AW363">
        <v>12</v>
      </c>
      <c r="AX363" t="s">
        <v>74</v>
      </c>
      <c r="AY363" t="s">
        <v>74</v>
      </c>
      <c r="AZ363" t="s">
        <v>74</v>
      </c>
      <c r="BA363" t="s">
        <v>74</v>
      </c>
      <c r="BB363" t="s">
        <v>74</v>
      </c>
      <c r="BC363" t="s">
        <v>74</v>
      </c>
      <c r="BD363">
        <v>125025</v>
      </c>
      <c r="BE363" t="s">
        <v>5931</v>
      </c>
      <c r="BF363" t="str">
        <f>HYPERLINK("http://dx.doi.org/10.1088/1361-6560/ab1d8a","http://dx.doi.org/10.1088/1361-6560/ab1d8a")</f>
        <v>http://dx.doi.org/10.1088/1361-6560/ab1d8a</v>
      </c>
      <c r="BG363" t="s">
        <v>74</v>
      </c>
      <c r="BH363" t="s">
        <v>74</v>
      </c>
      <c r="BI363">
        <v>10</v>
      </c>
      <c r="BJ363" t="s">
        <v>101</v>
      </c>
      <c r="BK363" t="s">
        <v>102</v>
      </c>
      <c r="BL363" t="s">
        <v>103</v>
      </c>
      <c r="BM363" t="s">
        <v>1518</v>
      </c>
      <c r="BN363">
        <v>31035267</v>
      </c>
      <c r="BO363" t="s">
        <v>1059</v>
      </c>
      <c r="BP363" t="s">
        <v>74</v>
      </c>
      <c r="BQ363" t="s">
        <v>74</v>
      </c>
      <c r="BR363" t="s">
        <v>106</v>
      </c>
      <c r="BS363" t="s">
        <v>5932</v>
      </c>
      <c r="BT363" t="str">
        <f>HYPERLINK("https%3A%2F%2Fwww.webofscience.com%2Fwos%2Fwoscc%2Ffull-record%2FWOS:000518929800004","View Full Record in Web of Science")</f>
        <v>View Full Record in Web of Science</v>
      </c>
    </row>
    <row r="364" spans="1:72" x14ac:dyDescent="0.25">
      <c r="A364" t="s">
        <v>72</v>
      </c>
      <c r="B364" t="s">
        <v>5933</v>
      </c>
      <c r="C364" t="s">
        <v>74</v>
      </c>
      <c r="D364" t="s">
        <v>74</v>
      </c>
      <c r="E364" t="s">
        <v>74</v>
      </c>
      <c r="F364" t="s">
        <v>5934</v>
      </c>
      <c r="G364" t="s">
        <v>74</v>
      </c>
      <c r="H364" t="s">
        <v>74</v>
      </c>
      <c r="I364" t="s">
        <v>5935</v>
      </c>
      <c r="J364" t="s">
        <v>77</v>
      </c>
      <c r="K364" t="s">
        <v>74</v>
      </c>
      <c r="L364" t="s">
        <v>74</v>
      </c>
      <c r="M364" t="s">
        <v>78</v>
      </c>
      <c r="N364" t="s">
        <v>79</v>
      </c>
      <c r="O364" t="s">
        <v>74</v>
      </c>
      <c r="P364" t="s">
        <v>74</v>
      </c>
      <c r="Q364" t="s">
        <v>74</v>
      </c>
      <c r="R364" t="s">
        <v>74</v>
      </c>
      <c r="S364" t="s">
        <v>74</v>
      </c>
      <c r="T364" t="s">
        <v>5936</v>
      </c>
      <c r="U364" t="s">
        <v>5937</v>
      </c>
      <c r="V364" t="s">
        <v>5938</v>
      </c>
      <c r="W364" t="s">
        <v>5939</v>
      </c>
      <c r="X364" t="s">
        <v>5940</v>
      </c>
      <c r="Y364" t="s">
        <v>5941</v>
      </c>
      <c r="Z364" t="s">
        <v>5942</v>
      </c>
      <c r="AA364" t="s">
        <v>5943</v>
      </c>
      <c r="AB364" t="s">
        <v>5944</v>
      </c>
      <c r="AC364" t="s">
        <v>5945</v>
      </c>
      <c r="AD364" t="s">
        <v>5946</v>
      </c>
      <c r="AE364" t="s">
        <v>5947</v>
      </c>
      <c r="AF364" t="s">
        <v>74</v>
      </c>
      <c r="AG364">
        <v>29</v>
      </c>
      <c r="AH364">
        <v>4</v>
      </c>
      <c r="AI364">
        <v>4</v>
      </c>
      <c r="AJ364">
        <v>0</v>
      </c>
      <c r="AK364">
        <v>2</v>
      </c>
      <c r="AL364" t="s">
        <v>92</v>
      </c>
      <c r="AM364" t="s">
        <v>93</v>
      </c>
      <c r="AN364" t="s">
        <v>94</v>
      </c>
      <c r="AO364" t="s">
        <v>95</v>
      </c>
      <c r="AP364" t="s">
        <v>96</v>
      </c>
      <c r="AQ364" t="s">
        <v>74</v>
      </c>
      <c r="AR364" t="s">
        <v>97</v>
      </c>
      <c r="AS364" t="s">
        <v>98</v>
      </c>
      <c r="AT364" t="s">
        <v>370</v>
      </c>
      <c r="AU364">
        <v>2019</v>
      </c>
      <c r="AV364">
        <v>64</v>
      </c>
      <c r="AW364">
        <v>9</v>
      </c>
      <c r="AX364" t="s">
        <v>74</v>
      </c>
      <c r="AY364" t="s">
        <v>74</v>
      </c>
      <c r="AZ364" t="s">
        <v>74</v>
      </c>
      <c r="BA364" t="s">
        <v>74</v>
      </c>
      <c r="BB364" t="s">
        <v>74</v>
      </c>
      <c r="BC364" t="s">
        <v>74</v>
      </c>
      <c r="BD364">
        <v>95016</v>
      </c>
      <c r="BE364" t="s">
        <v>5948</v>
      </c>
      <c r="BF364" t="str">
        <f>HYPERLINK("http://dx.doi.org/10.1088/1361-6560/ab1442","http://dx.doi.org/10.1088/1361-6560/ab1442")</f>
        <v>http://dx.doi.org/10.1088/1361-6560/ab1442</v>
      </c>
      <c r="BG364" t="s">
        <v>74</v>
      </c>
      <c r="BH364" t="s">
        <v>74</v>
      </c>
      <c r="BI364">
        <v>13</v>
      </c>
      <c r="BJ364" t="s">
        <v>101</v>
      </c>
      <c r="BK364" t="s">
        <v>102</v>
      </c>
      <c r="BL364" t="s">
        <v>103</v>
      </c>
      <c r="BM364" t="s">
        <v>372</v>
      </c>
      <c r="BN364">
        <v>30921782</v>
      </c>
      <c r="BO364" t="s">
        <v>5949</v>
      </c>
      <c r="BP364" t="s">
        <v>74</v>
      </c>
      <c r="BQ364" t="s">
        <v>74</v>
      </c>
      <c r="BR364" t="s">
        <v>106</v>
      </c>
      <c r="BS364" t="s">
        <v>5950</v>
      </c>
      <c r="BT364" t="str">
        <f>HYPERLINK("https%3A%2F%2Fwww.webofscience.com%2Fwos%2Fwoscc%2Ffull-record%2FWOS:000466572600003","View Full Record in Web of Science")</f>
        <v>View Full Record in Web of Science</v>
      </c>
    </row>
    <row r="365" spans="1:72" x14ac:dyDescent="0.25">
      <c r="A365" t="s">
        <v>72</v>
      </c>
      <c r="B365" t="s">
        <v>5951</v>
      </c>
      <c r="C365" t="s">
        <v>74</v>
      </c>
      <c r="D365" t="s">
        <v>74</v>
      </c>
      <c r="E365" t="s">
        <v>74</v>
      </c>
      <c r="F365" t="s">
        <v>5952</v>
      </c>
      <c r="G365" t="s">
        <v>74</v>
      </c>
      <c r="H365" t="s">
        <v>74</v>
      </c>
      <c r="I365" t="s">
        <v>5953</v>
      </c>
      <c r="J365" t="s">
        <v>77</v>
      </c>
      <c r="K365" t="s">
        <v>74</v>
      </c>
      <c r="L365" t="s">
        <v>74</v>
      </c>
      <c r="M365" t="s">
        <v>78</v>
      </c>
      <c r="N365" t="s">
        <v>79</v>
      </c>
      <c r="O365" t="s">
        <v>74</v>
      </c>
      <c r="P365" t="s">
        <v>74</v>
      </c>
      <c r="Q365" t="s">
        <v>74</v>
      </c>
      <c r="R365" t="s">
        <v>74</v>
      </c>
      <c r="S365" t="s">
        <v>74</v>
      </c>
      <c r="T365" t="s">
        <v>5954</v>
      </c>
      <c r="U365" t="s">
        <v>5955</v>
      </c>
      <c r="V365" t="s">
        <v>5956</v>
      </c>
      <c r="W365" t="s">
        <v>5957</v>
      </c>
      <c r="X365" t="s">
        <v>5958</v>
      </c>
      <c r="Y365" t="s">
        <v>5959</v>
      </c>
      <c r="Z365" t="s">
        <v>5960</v>
      </c>
      <c r="AA365" t="s">
        <v>74</v>
      </c>
      <c r="AB365" t="s">
        <v>5961</v>
      </c>
      <c r="AC365" t="s">
        <v>5962</v>
      </c>
      <c r="AD365" t="s">
        <v>416</v>
      </c>
      <c r="AE365" t="s">
        <v>5963</v>
      </c>
      <c r="AF365" t="s">
        <v>74</v>
      </c>
      <c r="AG365">
        <v>14</v>
      </c>
      <c r="AH365">
        <v>1</v>
      </c>
      <c r="AI365">
        <v>1</v>
      </c>
      <c r="AJ365">
        <v>1</v>
      </c>
      <c r="AK365">
        <v>12</v>
      </c>
      <c r="AL365" t="s">
        <v>92</v>
      </c>
      <c r="AM365" t="s">
        <v>93</v>
      </c>
      <c r="AN365" t="s">
        <v>94</v>
      </c>
      <c r="AO365" t="s">
        <v>95</v>
      </c>
      <c r="AP365" t="s">
        <v>96</v>
      </c>
      <c r="AQ365" t="s">
        <v>74</v>
      </c>
      <c r="AR365" t="s">
        <v>97</v>
      </c>
      <c r="AS365" t="s">
        <v>98</v>
      </c>
      <c r="AT365" t="s">
        <v>370</v>
      </c>
      <c r="AU365">
        <v>2019</v>
      </c>
      <c r="AV365">
        <v>64</v>
      </c>
      <c r="AW365">
        <v>10</v>
      </c>
      <c r="AX365" t="s">
        <v>74</v>
      </c>
      <c r="AY365" t="s">
        <v>74</v>
      </c>
      <c r="AZ365" t="s">
        <v>74</v>
      </c>
      <c r="BA365" t="s">
        <v>74</v>
      </c>
      <c r="BB365">
        <v>1</v>
      </c>
      <c r="BC365">
        <v>8</v>
      </c>
      <c r="BD365" t="s">
        <v>74</v>
      </c>
      <c r="BE365" t="s">
        <v>5964</v>
      </c>
      <c r="BF365" t="str">
        <f>HYPERLINK("http://dx.doi.org/10.1088/1361-6560/ab1c0c","http://dx.doi.org/10.1088/1361-6560/ab1c0c")</f>
        <v>http://dx.doi.org/10.1088/1361-6560/ab1c0c</v>
      </c>
      <c r="BG365" t="s">
        <v>74</v>
      </c>
      <c r="BH365" t="s">
        <v>74</v>
      </c>
      <c r="BI365">
        <v>8</v>
      </c>
      <c r="BJ365" t="s">
        <v>101</v>
      </c>
      <c r="BK365" t="s">
        <v>102</v>
      </c>
      <c r="BL365" t="s">
        <v>103</v>
      </c>
      <c r="BM365" t="s">
        <v>5965</v>
      </c>
      <c r="BN365">
        <v>31018195</v>
      </c>
      <c r="BO365" t="s">
        <v>105</v>
      </c>
      <c r="BP365" t="s">
        <v>74</v>
      </c>
      <c r="BQ365" t="s">
        <v>74</v>
      </c>
      <c r="BR365" t="s">
        <v>106</v>
      </c>
      <c r="BS365" t="s">
        <v>5966</v>
      </c>
      <c r="BT365" t="str">
        <f>HYPERLINK("https%3A%2F%2Fwww.webofscience.com%2Fwos%2Fwoscc%2Ffull-record%2FWOS:000467465600001","View Full Record in Web of Science")</f>
        <v>View Full Record in Web of Science</v>
      </c>
    </row>
    <row r="366" spans="1:72" x14ac:dyDescent="0.25">
      <c r="A366" t="s">
        <v>72</v>
      </c>
      <c r="B366" t="s">
        <v>5967</v>
      </c>
      <c r="C366" t="s">
        <v>74</v>
      </c>
      <c r="D366" t="s">
        <v>74</v>
      </c>
      <c r="E366" t="s">
        <v>74</v>
      </c>
      <c r="F366" t="s">
        <v>5968</v>
      </c>
      <c r="G366" t="s">
        <v>74</v>
      </c>
      <c r="H366" t="s">
        <v>74</v>
      </c>
      <c r="I366" t="s">
        <v>5969</v>
      </c>
      <c r="J366" t="s">
        <v>77</v>
      </c>
      <c r="K366" t="s">
        <v>74</v>
      </c>
      <c r="L366" t="s">
        <v>74</v>
      </c>
      <c r="M366" t="s">
        <v>78</v>
      </c>
      <c r="N366" t="s">
        <v>79</v>
      </c>
      <c r="O366" t="s">
        <v>74</v>
      </c>
      <c r="P366" t="s">
        <v>74</v>
      </c>
      <c r="Q366" t="s">
        <v>74</v>
      </c>
      <c r="R366" t="s">
        <v>74</v>
      </c>
      <c r="S366" t="s">
        <v>74</v>
      </c>
      <c r="T366" t="s">
        <v>5970</v>
      </c>
      <c r="U366" t="s">
        <v>5971</v>
      </c>
      <c r="V366" t="s">
        <v>5972</v>
      </c>
      <c r="W366" t="s">
        <v>5973</v>
      </c>
      <c r="X366" t="s">
        <v>5974</v>
      </c>
      <c r="Y366" t="s">
        <v>5975</v>
      </c>
      <c r="Z366" t="s">
        <v>5976</v>
      </c>
      <c r="AA366" t="s">
        <v>5977</v>
      </c>
      <c r="AB366" t="s">
        <v>5978</v>
      </c>
      <c r="AC366" t="s">
        <v>5979</v>
      </c>
      <c r="AD366" t="s">
        <v>5980</v>
      </c>
      <c r="AE366" t="s">
        <v>5981</v>
      </c>
      <c r="AF366" t="s">
        <v>74</v>
      </c>
      <c r="AG366">
        <v>35</v>
      </c>
      <c r="AH366">
        <v>40</v>
      </c>
      <c r="AI366">
        <v>42</v>
      </c>
      <c r="AJ366">
        <v>1</v>
      </c>
      <c r="AK366">
        <v>8</v>
      </c>
      <c r="AL366" t="s">
        <v>92</v>
      </c>
      <c r="AM366" t="s">
        <v>93</v>
      </c>
      <c r="AN366" t="s">
        <v>94</v>
      </c>
      <c r="AO366" t="s">
        <v>95</v>
      </c>
      <c r="AP366" t="s">
        <v>96</v>
      </c>
      <c r="AQ366" t="s">
        <v>74</v>
      </c>
      <c r="AR366" t="s">
        <v>97</v>
      </c>
      <c r="AS366" t="s">
        <v>98</v>
      </c>
      <c r="AT366" t="s">
        <v>99</v>
      </c>
      <c r="AU366">
        <v>2019</v>
      </c>
      <c r="AV366">
        <v>64</v>
      </c>
      <c r="AW366">
        <v>24</v>
      </c>
      <c r="AX366" t="s">
        <v>74</v>
      </c>
      <c r="AY366" t="s">
        <v>74</v>
      </c>
      <c r="AZ366" t="s">
        <v>74</v>
      </c>
      <c r="BA366" t="s">
        <v>74</v>
      </c>
      <c r="BB366" t="s">
        <v>74</v>
      </c>
      <c r="BC366" t="s">
        <v>74</v>
      </c>
      <c r="BD366">
        <v>245013</v>
      </c>
      <c r="BE366" t="s">
        <v>5982</v>
      </c>
      <c r="BF366" t="str">
        <f>HYPERLINK("http://dx.doi.org/10.1088/1361-6560/ab5b6c","http://dx.doi.org/10.1088/1361-6560/ab5b6c")</f>
        <v>http://dx.doi.org/10.1088/1361-6560/ab5b6c</v>
      </c>
      <c r="BG366" t="s">
        <v>74</v>
      </c>
      <c r="BH366" t="s">
        <v>74</v>
      </c>
      <c r="BI366">
        <v>15</v>
      </c>
      <c r="BJ366" t="s">
        <v>101</v>
      </c>
      <c r="BK366" t="s">
        <v>102</v>
      </c>
      <c r="BL366" t="s">
        <v>103</v>
      </c>
      <c r="BM366" t="s">
        <v>5983</v>
      </c>
      <c r="BN366">
        <v>31766032</v>
      </c>
      <c r="BO366" t="s">
        <v>4069</v>
      </c>
      <c r="BP366" t="s">
        <v>74</v>
      </c>
      <c r="BQ366" t="s">
        <v>74</v>
      </c>
      <c r="BR366" t="s">
        <v>106</v>
      </c>
      <c r="BS366" t="s">
        <v>5984</v>
      </c>
      <c r="BT366" t="str">
        <f>HYPERLINK("https%3A%2F%2Fwww.webofscience.com%2Fwos%2Fwoscc%2Ffull-record%2FWOS:000506609300001","View Full Record in Web of Science")</f>
        <v>View Full Record in Web of Science</v>
      </c>
    </row>
    <row r="367" spans="1:72" x14ac:dyDescent="0.25">
      <c r="A367" t="s">
        <v>72</v>
      </c>
      <c r="B367" t="s">
        <v>5985</v>
      </c>
      <c r="C367" t="s">
        <v>74</v>
      </c>
      <c r="D367" t="s">
        <v>74</v>
      </c>
      <c r="E367" t="s">
        <v>74</v>
      </c>
      <c r="F367" t="s">
        <v>5986</v>
      </c>
      <c r="G367" t="s">
        <v>74</v>
      </c>
      <c r="H367" t="s">
        <v>74</v>
      </c>
      <c r="I367" t="s">
        <v>5987</v>
      </c>
      <c r="J367" t="s">
        <v>77</v>
      </c>
      <c r="K367" t="s">
        <v>74</v>
      </c>
      <c r="L367" t="s">
        <v>74</v>
      </c>
      <c r="M367" t="s">
        <v>78</v>
      </c>
      <c r="N367" t="s">
        <v>79</v>
      </c>
      <c r="O367" t="s">
        <v>74</v>
      </c>
      <c r="P367" t="s">
        <v>74</v>
      </c>
      <c r="Q367" t="s">
        <v>74</v>
      </c>
      <c r="R367" t="s">
        <v>74</v>
      </c>
      <c r="S367" t="s">
        <v>74</v>
      </c>
      <c r="T367" t="s">
        <v>5988</v>
      </c>
      <c r="U367" t="s">
        <v>5989</v>
      </c>
      <c r="V367" t="s">
        <v>5990</v>
      </c>
      <c r="W367" t="s">
        <v>5991</v>
      </c>
      <c r="X367" t="s">
        <v>5992</v>
      </c>
      <c r="Y367" t="s">
        <v>5993</v>
      </c>
      <c r="Z367" t="s">
        <v>5994</v>
      </c>
      <c r="AA367" t="s">
        <v>5995</v>
      </c>
      <c r="AB367" t="s">
        <v>5996</v>
      </c>
      <c r="AC367" t="s">
        <v>5997</v>
      </c>
      <c r="AD367" t="s">
        <v>5998</v>
      </c>
      <c r="AE367" t="s">
        <v>5999</v>
      </c>
      <c r="AF367" t="s">
        <v>74</v>
      </c>
      <c r="AG367">
        <v>40</v>
      </c>
      <c r="AH367">
        <v>27</v>
      </c>
      <c r="AI367">
        <v>28</v>
      </c>
      <c r="AJ367">
        <v>3</v>
      </c>
      <c r="AK367">
        <v>71</v>
      </c>
      <c r="AL367" t="s">
        <v>92</v>
      </c>
      <c r="AM367" t="s">
        <v>93</v>
      </c>
      <c r="AN367" t="s">
        <v>94</v>
      </c>
      <c r="AO367" t="s">
        <v>95</v>
      </c>
      <c r="AP367" t="s">
        <v>96</v>
      </c>
      <c r="AQ367" t="s">
        <v>74</v>
      </c>
      <c r="AR367" t="s">
        <v>97</v>
      </c>
      <c r="AS367" t="s">
        <v>98</v>
      </c>
      <c r="AT367" t="s">
        <v>99</v>
      </c>
      <c r="AU367">
        <v>2019</v>
      </c>
      <c r="AV367">
        <v>64</v>
      </c>
      <c r="AW367">
        <v>23</v>
      </c>
      <c r="AX367" t="s">
        <v>74</v>
      </c>
      <c r="AY367" t="s">
        <v>74</v>
      </c>
      <c r="AZ367" t="s">
        <v>74</v>
      </c>
      <c r="BA367" t="s">
        <v>74</v>
      </c>
      <c r="BB367" t="s">
        <v>74</v>
      </c>
      <c r="BC367" t="s">
        <v>74</v>
      </c>
      <c r="BD367">
        <v>235010</v>
      </c>
      <c r="BE367" t="s">
        <v>6000</v>
      </c>
      <c r="BF367" t="str">
        <f>HYPERLINK("http://dx.doi.org/10.1088/1361-6560/ab5229","http://dx.doi.org/10.1088/1361-6560/ab5229")</f>
        <v>http://dx.doi.org/10.1088/1361-6560/ab5229</v>
      </c>
      <c r="BG367" t="s">
        <v>74</v>
      </c>
      <c r="BH367" t="s">
        <v>74</v>
      </c>
      <c r="BI367">
        <v>18</v>
      </c>
      <c r="BJ367" t="s">
        <v>101</v>
      </c>
      <c r="BK367" t="s">
        <v>102</v>
      </c>
      <c r="BL367" t="s">
        <v>103</v>
      </c>
      <c r="BM367" t="s">
        <v>6001</v>
      </c>
      <c r="BN367">
        <v>31661678</v>
      </c>
      <c r="BO367" t="s">
        <v>74</v>
      </c>
      <c r="BP367" t="s">
        <v>74</v>
      </c>
      <c r="BQ367" t="s">
        <v>74</v>
      </c>
      <c r="BR367" t="s">
        <v>106</v>
      </c>
      <c r="BS367" t="s">
        <v>6002</v>
      </c>
      <c r="BT367" t="str">
        <f>HYPERLINK("https%3A%2F%2Fwww.webofscience.com%2Fwos%2Fwoscc%2Ffull-record%2FWOS:000506358600001","View Full Record in Web of Science")</f>
        <v>View Full Record in Web of Science</v>
      </c>
    </row>
    <row r="368" spans="1:72" x14ac:dyDescent="0.25">
      <c r="A368" t="s">
        <v>72</v>
      </c>
      <c r="B368" t="s">
        <v>6003</v>
      </c>
      <c r="C368" t="s">
        <v>74</v>
      </c>
      <c r="D368" t="s">
        <v>74</v>
      </c>
      <c r="E368" t="s">
        <v>74</v>
      </c>
      <c r="F368" t="s">
        <v>6004</v>
      </c>
      <c r="G368" t="s">
        <v>74</v>
      </c>
      <c r="H368" t="s">
        <v>74</v>
      </c>
      <c r="I368" t="s">
        <v>6005</v>
      </c>
      <c r="J368" t="s">
        <v>77</v>
      </c>
      <c r="K368" t="s">
        <v>74</v>
      </c>
      <c r="L368" t="s">
        <v>74</v>
      </c>
      <c r="M368" t="s">
        <v>78</v>
      </c>
      <c r="N368" t="s">
        <v>79</v>
      </c>
      <c r="O368" t="s">
        <v>74</v>
      </c>
      <c r="P368" t="s">
        <v>74</v>
      </c>
      <c r="Q368" t="s">
        <v>74</v>
      </c>
      <c r="R368" t="s">
        <v>74</v>
      </c>
      <c r="S368" t="s">
        <v>74</v>
      </c>
      <c r="T368" t="s">
        <v>6006</v>
      </c>
      <c r="U368" t="s">
        <v>6007</v>
      </c>
      <c r="V368" t="s">
        <v>6008</v>
      </c>
      <c r="W368" t="s">
        <v>6009</v>
      </c>
      <c r="X368" t="s">
        <v>6010</v>
      </c>
      <c r="Y368" t="s">
        <v>6011</v>
      </c>
      <c r="Z368" t="s">
        <v>6012</v>
      </c>
      <c r="AA368" t="s">
        <v>6013</v>
      </c>
      <c r="AB368" t="s">
        <v>6014</v>
      </c>
      <c r="AC368" t="s">
        <v>6015</v>
      </c>
      <c r="AD368" t="s">
        <v>6015</v>
      </c>
      <c r="AE368" t="s">
        <v>6016</v>
      </c>
      <c r="AF368" t="s">
        <v>74</v>
      </c>
      <c r="AG368">
        <v>24</v>
      </c>
      <c r="AH368">
        <v>15</v>
      </c>
      <c r="AI368">
        <v>15</v>
      </c>
      <c r="AJ368">
        <v>0</v>
      </c>
      <c r="AK368">
        <v>15</v>
      </c>
      <c r="AL368" t="s">
        <v>92</v>
      </c>
      <c r="AM368" t="s">
        <v>93</v>
      </c>
      <c r="AN368" t="s">
        <v>94</v>
      </c>
      <c r="AO368" t="s">
        <v>95</v>
      </c>
      <c r="AP368" t="s">
        <v>96</v>
      </c>
      <c r="AQ368" t="s">
        <v>74</v>
      </c>
      <c r="AR368" t="s">
        <v>97</v>
      </c>
      <c r="AS368" t="s">
        <v>98</v>
      </c>
      <c r="AT368" t="s">
        <v>99</v>
      </c>
      <c r="AU368">
        <v>2019</v>
      </c>
      <c r="AV368">
        <v>64</v>
      </c>
      <c r="AW368">
        <v>23</v>
      </c>
      <c r="AX368" t="s">
        <v>74</v>
      </c>
      <c r="AY368" t="s">
        <v>74</v>
      </c>
      <c r="AZ368" t="s">
        <v>74</v>
      </c>
      <c r="BA368" t="s">
        <v>74</v>
      </c>
      <c r="BB368" t="s">
        <v>74</v>
      </c>
      <c r="BC368" t="s">
        <v>74</v>
      </c>
      <c r="BD368">
        <v>235001</v>
      </c>
      <c r="BE368" t="s">
        <v>6017</v>
      </c>
      <c r="BF368" t="str">
        <f>HYPERLINK("http://dx.doi.org/10.1088/1361-6560/ab5132","http://dx.doi.org/10.1088/1361-6560/ab5132")</f>
        <v>http://dx.doi.org/10.1088/1361-6560/ab5132</v>
      </c>
      <c r="BG368" t="s">
        <v>74</v>
      </c>
      <c r="BH368" t="s">
        <v>74</v>
      </c>
      <c r="BI368">
        <v>11</v>
      </c>
      <c r="BJ368" t="s">
        <v>101</v>
      </c>
      <c r="BK368" t="s">
        <v>102</v>
      </c>
      <c r="BL368" t="s">
        <v>103</v>
      </c>
      <c r="BM368" t="s">
        <v>6018</v>
      </c>
      <c r="BN368">
        <v>31652424</v>
      </c>
      <c r="BO368" t="s">
        <v>74</v>
      </c>
      <c r="BP368" t="s">
        <v>74</v>
      </c>
      <c r="BQ368" t="s">
        <v>74</v>
      </c>
      <c r="BR368" t="s">
        <v>106</v>
      </c>
      <c r="BS368" t="s">
        <v>6019</v>
      </c>
      <c r="BT368" t="str">
        <f>HYPERLINK("https%3A%2F%2Fwww.webofscience.com%2Fwos%2Fwoscc%2Ffull-record%2FWOS:000499357000001","View Full Record in Web of Science")</f>
        <v>View Full Record in Web of Science</v>
      </c>
    </row>
    <row r="369" spans="1:72" x14ac:dyDescent="0.25">
      <c r="A369" t="s">
        <v>72</v>
      </c>
      <c r="B369" t="s">
        <v>6020</v>
      </c>
      <c r="C369" t="s">
        <v>74</v>
      </c>
      <c r="D369" t="s">
        <v>74</v>
      </c>
      <c r="E369" t="s">
        <v>74</v>
      </c>
      <c r="F369" t="s">
        <v>6021</v>
      </c>
      <c r="G369" t="s">
        <v>74</v>
      </c>
      <c r="H369" t="s">
        <v>74</v>
      </c>
      <c r="I369" t="s">
        <v>6022</v>
      </c>
      <c r="J369" t="s">
        <v>77</v>
      </c>
      <c r="K369" t="s">
        <v>74</v>
      </c>
      <c r="L369" t="s">
        <v>74</v>
      </c>
      <c r="M369" t="s">
        <v>78</v>
      </c>
      <c r="N369" t="s">
        <v>79</v>
      </c>
      <c r="O369" t="s">
        <v>74</v>
      </c>
      <c r="P369" t="s">
        <v>74</v>
      </c>
      <c r="Q369" t="s">
        <v>74</v>
      </c>
      <c r="R369" t="s">
        <v>74</v>
      </c>
      <c r="S369" t="s">
        <v>74</v>
      </c>
      <c r="T369" t="s">
        <v>6023</v>
      </c>
      <c r="U369" t="s">
        <v>6024</v>
      </c>
      <c r="V369" t="s">
        <v>6025</v>
      </c>
      <c r="W369" t="s">
        <v>6026</v>
      </c>
      <c r="X369" t="s">
        <v>6027</v>
      </c>
      <c r="Y369" t="s">
        <v>6028</v>
      </c>
      <c r="Z369" t="s">
        <v>6029</v>
      </c>
      <c r="AA369" t="s">
        <v>74</v>
      </c>
      <c r="AB369" t="s">
        <v>74</v>
      </c>
      <c r="AC369" t="s">
        <v>74</v>
      </c>
      <c r="AD369" t="s">
        <v>74</v>
      </c>
      <c r="AE369" t="s">
        <v>74</v>
      </c>
      <c r="AF369" t="s">
        <v>74</v>
      </c>
      <c r="AG369">
        <v>36</v>
      </c>
      <c r="AH369">
        <v>13</v>
      </c>
      <c r="AI369">
        <v>15</v>
      </c>
      <c r="AJ369">
        <v>1</v>
      </c>
      <c r="AK369">
        <v>9</v>
      </c>
      <c r="AL369" t="s">
        <v>157</v>
      </c>
      <c r="AM369" t="s">
        <v>93</v>
      </c>
      <c r="AN369" t="s">
        <v>94</v>
      </c>
      <c r="AO369" t="s">
        <v>95</v>
      </c>
      <c r="AP369" t="s">
        <v>96</v>
      </c>
      <c r="AQ369" t="s">
        <v>74</v>
      </c>
      <c r="AR369" t="s">
        <v>97</v>
      </c>
      <c r="AS369" t="s">
        <v>98</v>
      </c>
      <c r="AT369" t="s">
        <v>99</v>
      </c>
      <c r="AU369">
        <v>2019</v>
      </c>
      <c r="AV369">
        <v>64</v>
      </c>
      <c r="AW369">
        <v>23</v>
      </c>
      <c r="AX369" t="s">
        <v>74</v>
      </c>
      <c r="AY369" t="s">
        <v>74</v>
      </c>
      <c r="AZ369" t="s">
        <v>74</v>
      </c>
      <c r="BA369" t="s">
        <v>74</v>
      </c>
      <c r="BB369" t="s">
        <v>74</v>
      </c>
      <c r="BC369" t="s">
        <v>74</v>
      </c>
      <c r="BD369">
        <v>235017</v>
      </c>
      <c r="BE369" t="s">
        <v>6030</v>
      </c>
      <c r="BF369" t="str">
        <f>HYPERLINK("http://dx.doi.org/10.1088/1361-6560/ab4919","http://dx.doi.org/10.1088/1361-6560/ab4919")</f>
        <v>http://dx.doi.org/10.1088/1361-6560/ab4919</v>
      </c>
      <c r="BG369" t="s">
        <v>74</v>
      </c>
      <c r="BH369" t="s">
        <v>74</v>
      </c>
      <c r="BI369">
        <v>9</v>
      </c>
      <c r="BJ369" t="s">
        <v>101</v>
      </c>
      <c r="BK369" t="s">
        <v>102</v>
      </c>
      <c r="BL369" t="s">
        <v>103</v>
      </c>
      <c r="BM369" t="s">
        <v>693</v>
      </c>
      <c r="BN369">
        <v>31569075</v>
      </c>
      <c r="BO369" t="s">
        <v>270</v>
      </c>
      <c r="BP369" t="s">
        <v>74</v>
      </c>
      <c r="BQ369" t="s">
        <v>74</v>
      </c>
      <c r="BR369" t="s">
        <v>106</v>
      </c>
      <c r="BS369" t="s">
        <v>6031</v>
      </c>
      <c r="BT369" t="str">
        <f>HYPERLINK("https%3A%2F%2Fwww.webofscience.com%2Fwos%2Fwoscc%2Ffull-record%2FWOS:000518765200007","View Full Record in Web of Science")</f>
        <v>View Full Record in Web of Science</v>
      </c>
    </row>
    <row r="370" spans="1:72" x14ac:dyDescent="0.25">
      <c r="A370" t="s">
        <v>72</v>
      </c>
      <c r="B370" t="s">
        <v>6032</v>
      </c>
      <c r="C370" t="s">
        <v>74</v>
      </c>
      <c r="D370" t="s">
        <v>74</v>
      </c>
      <c r="E370" t="s">
        <v>74</v>
      </c>
      <c r="F370" t="s">
        <v>6033</v>
      </c>
      <c r="G370" t="s">
        <v>74</v>
      </c>
      <c r="H370" t="s">
        <v>74</v>
      </c>
      <c r="I370" t="s">
        <v>6034</v>
      </c>
      <c r="J370" t="s">
        <v>77</v>
      </c>
      <c r="K370" t="s">
        <v>74</v>
      </c>
      <c r="L370" t="s">
        <v>74</v>
      </c>
      <c r="M370" t="s">
        <v>78</v>
      </c>
      <c r="N370" t="s">
        <v>79</v>
      </c>
      <c r="O370" t="s">
        <v>74</v>
      </c>
      <c r="P370" t="s">
        <v>74</v>
      </c>
      <c r="Q370" t="s">
        <v>74</v>
      </c>
      <c r="R370" t="s">
        <v>74</v>
      </c>
      <c r="S370" t="s">
        <v>74</v>
      </c>
      <c r="T370" t="s">
        <v>6035</v>
      </c>
      <c r="U370" t="s">
        <v>6036</v>
      </c>
      <c r="V370" t="s">
        <v>6037</v>
      </c>
      <c r="W370" t="s">
        <v>6038</v>
      </c>
      <c r="X370" t="s">
        <v>6039</v>
      </c>
      <c r="Y370" t="s">
        <v>6040</v>
      </c>
      <c r="Z370" t="s">
        <v>6041</v>
      </c>
      <c r="AA370" t="s">
        <v>6042</v>
      </c>
      <c r="AB370" t="s">
        <v>6043</v>
      </c>
      <c r="AC370" t="s">
        <v>6044</v>
      </c>
      <c r="AD370" t="s">
        <v>6045</v>
      </c>
      <c r="AE370" t="s">
        <v>6046</v>
      </c>
      <c r="AF370" t="s">
        <v>74</v>
      </c>
      <c r="AG370">
        <v>38</v>
      </c>
      <c r="AH370">
        <v>14</v>
      </c>
      <c r="AI370">
        <v>15</v>
      </c>
      <c r="AJ370">
        <v>2</v>
      </c>
      <c r="AK370">
        <v>6</v>
      </c>
      <c r="AL370" t="s">
        <v>157</v>
      </c>
      <c r="AM370" t="s">
        <v>93</v>
      </c>
      <c r="AN370" t="s">
        <v>94</v>
      </c>
      <c r="AO370" t="s">
        <v>95</v>
      </c>
      <c r="AP370" t="s">
        <v>96</v>
      </c>
      <c r="AQ370" t="s">
        <v>74</v>
      </c>
      <c r="AR370" t="s">
        <v>97</v>
      </c>
      <c r="AS370" t="s">
        <v>98</v>
      </c>
      <c r="AT370" t="s">
        <v>137</v>
      </c>
      <c r="AU370">
        <v>2019</v>
      </c>
      <c r="AV370">
        <v>64</v>
      </c>
      <c r="AW370">
        <v>22</v>
      </c>
      <c r="AX370" t="s">
        <v>74</v>
      </c>
      <c r="AY370" t="s">
        <v>74</v>
      </c>
      <c r="AZ370" t="s">
        <v>74</v>
      </c>
      <c r="BA370" t="s">
        <v>74</v>
      </c>
      <c r="BB370" t="s">
        <v>74</v>
      </c>
      <c r="BC370" t="s">
        <v>74</v>
      </c>
      <c r="BD370">
        <v>225014</v>
      </c>
      <c r="BE370" t="s">
        <v>6047</v>
      </c>
      <c r="BF370" t="str">
        <f>HYPERLINK("http://dx.doi.org/10.1088/1361-6560/ab4aa9","http://dx.doi.org/10.1088/1361-6560/ab4aa9")</f>
        <v>http://dx.doi.org/10.1088/1361-6560/ab4aa9</v>
      </c>
      <c r="BG370" t="s">
        <v>74</v>
      </c>
      <c r="BH370" t="s">
        <v>74</v>
      </c>
      <c r="BI370">
        <v>12</v>
      </c>
      <c r="BJ370" t="s">
        <v>101</v>
      </c>
      <c r="BK370" t="s">
        <v>102</v>
      </c>
      <c r="BL370" t="s">
        <v>103</v>
      </c>
      <c r="BM370" t="s">
        <v>6048</v>
      </c>
      <c r="BN370">
        <v>31581143</v>
      </c>
      <c r="BO370" t="s">
        <v>74</v>
      </c>
      <c r="BP370" t="s">
        <v>74</v>
      </c>
      <c r="BQ370" t="s">
        <v>74</v>
      </c>
      <c r="BR370" t="s">
        <v>106</v>
      </c>
      <c r="BS370" t="s">
        <v>6049</v>
      </c>
      <c r="BT370" t="str">
        <f>HYPERLINK("https%3A%2F%2Fwww.webofscience.com%2Fwos%2Fwoscc%2Ffull-record%2FWOS:000499355400001","View Full Record in Web of Science")</f>
        <v>View Full Record in Web of Science</v>
      </c>
    </row>
    <row r="371" spans="1:72" x14ac:dyDescent="0.25">
      <c r="A371" t="s">
        <v>72</v>
      </c>
      <c r="B371" t="s">
        <v>6050</v>
      </c>
      <c r="C371" t="s">
        <v>74</v>
      </c>
      <c r="D371" t="s">
        <v>74</v>
      </c>
      <c r="E371" t="s">
        <v>74</v>
      </c>
      <c r="F371" t="s">
        <v>6051</v>
      </c>
      <c r="G371" t="s">
        <v>74</v>
      </c>
      <c r="H371" t="s">
        <v>74</v>
      </c>
      <c r="I371" t="s">
        <v>6052</v>
      </c>
      <c r="J371" t="s">
        <v>77</v>
      </c>
      <c r="K371" t="s">
        <v>74</v>
      </c>
      <c r="L371" t="s">
        <v>74</v>
      </c>
      <c r="M371" t="s">
        <v>78</v>
      </c>
      <c r="N371" t="s">
        <v>79</v>
      </c>
      <c r="O371" t="s">
        <v>74</v>
      </c>
      <c r="P371" t="s">
        <v>74</v>
      </c>
      <c r="Q371" t="s">
        <v>74</v>
      </c>
      <c r="R371" t="s">
        <v>74</v>
      </c>
      <c r="S371" t="s">
        <v>74</v>
      </c>
      <c r="T371" t="s">
        <v>6053</v>
      </c>
      <c r="U371" t="s">
        <v>6054</v>
      </c>
      <c r="V371" t="s">
        <v>6055</v>
      </c>
      <c r="W371" t="s">
        <v>6056</v>
      </c>
      <c r="X371" t="s">
        <v>6057</v>
      </c>
      <c r="Y371" t="s">
        <v>6058</v>
      </c>
      <c r="Z371" t="s">
        <v>6059</v>
      </c>
      <c r="AA371" t="s">
        <v>6060</v>
      </c>
      <c r="AB371" t="s">
        <v>6061</v>
      </c>
      <c r="AC371" t="s">
        <v>74</v>
      </c>
      <c r="AD371" t="s">
        <v>74</v>
      </c>
      <c r="AE371" t="s">
        <v>74</v>
      </c>
      <c r="AF371" t="s">
        <v>74</v>
      </c>
      <c r="AG371">
        <v>27</v>
      </c>
      <c r="AH371">
        <v>4</v>
      </c>
      <c r="AI371">
        <v>4</v>
      </c>
      <c r="AJ371">
        <v>1</v>
      </c>
      <c r="AK371">
        <v>4</v>
      </c>
      <c r="AL371" t="s">
        <v>92</v>
      </c>
      <c r="AM371" t="s">
        <v>93</v>
      </c>
      <c r="AN371" t="s">
        <v>94</v>
      </c>
      <c r="AO371" t="s">
        <v>95</v>
      </c>
      <c r="AP371" t="s">
        <v>96</v>
      </c>
      <c r="AQ371" t="s">
        <v>74</v>
      </c>
      <c r="AR371" t="s">
        <v>97</v>
      </c>
      <c r="AS371" t="s">
        <v>98</v>
      </c>
      <c r="AT371" t="s">
        <v>137</v>
      </c>
      <c r="AU371">
        <v>2019</v>
      </c>
      <c r="AV371">
        <v>64</v>
      </c>
      <c r="AW371">
        <v>21</v>
      </c>
      <c r="AX371" t="s">
        <v>74</v>
      </c>
      <c r="AY371" t="s">
        <v>74</v>
      </c>
      <c r="AZ371" t="s">
        <v>74</v>
      </c>
      <c r="BA371" t="s">
        <v>74</v>
      </c>
      <c r="BB371" t="s">
        <v>74</v>
      </c>
      <c r="BC371" t="s">
        <v>74</v>
      </c>
      <c r="BD371" t="s">
        <v>6062</v>
      </c>
      <c r="BE371" t="s">
        <v>6063</v>
      </c>
      <c r="BF371" t="str">
        <f>HYPERLINK("http://dx.doi.org/10.1088/1361-6560/ab4916","http://dx.doi.org/10.1088/1361-6560/ab4916")</f>
        <v>http://dx.doi.org/10.1088/1361-6560/ab4916</v>
      </c>
      <c r="BG371" t="s">
        <v>74</v>
      </c>
      <c r="BH371" t="s">
        <v>74</v>
      </c>
      <c r="BI371">
        <v>7</v>
      </c>
      <c r="BJ371" t="s">
        <v>101</v>
      </c>
      <c r="BK371" t="s">
        <v>102</v>
      </c>
      <c r="BL371" t="s">
        <v>103</v>
      </c>
      <c r="BM371" t="s">
        <v>2290</v>
      </c>
      <c r="BN371">
        <v>31569089</v>
      </c>
      <c r="BO371" t="s">
        <v>270</v>
      </c>
      <c r="BP371" t="s">
        <v>74</v>
      </c>
      <c r="BQ371" t="s">
        <v>74</v>
      </c>
      <c r="BR371" t="s">
        <v>106</v>
      </c>
      <c r="BS371" t="s">
        <v>6064</v>
      </c>
      <c r="BT371" t="str">
        <f>HYPERLINK("https%3A%2F%2Fwww.webofscience.com%2Fwos%2Fwoscc%2Ffull-record%2FWOS:000494858700003","View Full Record in Web of Science")</f>
        <v>View Full Record in Web of Science</v>
      </c>
    </row>
    <row r="372" spans="1:72" x14ac:dyDescent="0.25">
      <c r="A372" t="s">
        <v>72</v>
      </c>
      <c r="B372" t="s">
        <v>6065</v>
      </c>
      <c r="C372" t="s">
        <v>74</v>
      </c>
      <c r="D372" t="s">
        <v>74</v>
      </c>
      <c r="E372" t="s">
        <v>74</v>
      </c>
      <c r="F372" t="s">
        <v>6066</v>
      </c>
      <c r="G372" t="s">
        <v>74</v>
      </c>
      <c r="H372" t="s">
        <v>74</v>
      </c>
      <c r="I372" t="s">
        <v>6067</v>
      </c>
      <c r="J372" t="s">
        <v>77</v>
      </c>
      <c r="K372" t="s">
        <v>74</v>
      </c>
      <c r="L372" t="s">
        <v>74</v>
      </c>
      <c r="M372" t="s">
        <v>78</v>
      </c>
      <c r="N372" t="s">
        <v>79</v>
      </c>
      <c r="O372" t="s">
        <v>74</v>
      </c>
      <c r="P372" t="s">
        <v>74</v>
      </c>
      <c r="Q372" t="s">
        <v>74</v>
      </c>
      <c r="R372" t="s">
        <v>74</v>
      </c>
      <c r="S372" t="s">
        <v>74</v>
      </c>
      <c r="T372" t="s">
        <v>6068</v>
      </c>
      <c r="U372" t="s">
        <v>6069</v>
      </c>
      <c r="V372" t="s">
        <v>6070</v>
      </c>
      <c r="W372" t="s">
        <v>6071</v>
      </c>
      <c r="X372" t="s">
        <v>6072</v>
      </c>
      <c r="Y372" t="s">
        <v>6073</v>
      </c>
      <c r="Z372" t="s">
        <v>6074</v>
      </c>
      <c r="AA372" t="s">
        <v>6075</v>
      </c>
      <c r="AB372" t="s">
        <v>6076</v>
      </c>
      <c r="AC372" t="s">
        <v>74</v>
      </c>
      <c r="AD372" t="s">
        <v>74</v>
      </c>
      <c r="AE372" t="s">
        <v>74</v>
      </c>
      <c r="AF372" t="s">
        <v>74</v>
      </c>
      <c r="AG372">
        <v>30</v>
      </c>
      <c r="AH372">
        <v>15</v>
      </c>
      <c r="AI372">
        <v>15</v>
      </c>
      <c r="AJ372">
        <v>0</v>
      </c>
      <c r="AK372">
        <v>11</v>
      </c>
      <c r="AL372" t="s">
        <v>92</v>
      </c>
      <c r="AM372" t="s">
        <v>93</v>
      </c>
      <c r="AN372" t="s">
        <v>94</v>
      </c>
      <c r="AO372" t="s">
        <v>95</v>
      </c>
      <c r="AP372" t="s">
        <v>96</v>
      </c>
      <c r="AQ372" t="s">
        <v>74</v>
      </c>
      <c r="AR372" t="s">
        <v>97</v>
      </c>
      <c r="AS372" t="s">
        <v>98</v>
      </c>
      <c r="AT372" t="s">
        <v>176</v>
      </c>
      <c r="AU372">
        <v>2019</v>
      </c>
      <c r="AV372">
        <v>64</v>
      </c>
      <c r="AW372">
        <v>17</v>
      </c>
      <c r="AX372" t="s">
        <v>74</v>
      </c>
      <c r="AY372" t="s">
        <v>74</v>
      </c>
      <c r="AZ372" t="s">
        <v>74</v>
      </c>
      <c r="BA372" t="s">
        <v>74</v>
      </c>
      <c r="BB372" t="s">
        <v>74</v>
      </c>
      <c r="BC372" t="s">
        <v>74</v>
      </c>
      <c r="BD372">
        <v>175019</v>
      </c>
      <c r="BE372" t="s">
        <v>6077</v>
      </c>
      <c r="BF372" t="str">
        <f>HYPERLINK("http://dx.doi.org/10.1088/1361-6560/ab2ca3","http://dx.doi.org/10.1088/1361-6560/ab2ca3")</f>
        <v>http://dx.doi.org/10.1088/1361-6560/ab2ca3</v>
      </c>
      <c r="BG372" t="s">
        <v>74</v>
      </c>
      <c r="BH372" t="s">
        <v>74</v>
      </c>
      <c r="BI372">
        <v>14</v>
      </c>
      <c r="BJ372" t="s">
        <v>101</v>
      </c>
      <c r="BK372" t="s">
        <v>102</v>
      </c>
      <c r="BL372" t="s">
        <v>103</v>
      </c>
      <c r="BM372" t="s">
        <v>178</v>
      </c>
      <c r="BN372">
        <v>31239428</v>
      </c>
      <c r="BO372" t="s">
        <v>74</v>
      </c>
      <c r="BP372" t="s">
        <v>74</v>
      </c>
      <c r="BQ372" t="s">
        <v>74</v>
      </c>
      <c r="BR372" t="s">
        <v>106</v>
      </c>
      <c r="BS372" t="s">
        <v>6078</v>
      </c>
      <c r="BT372" t="str">
        <f>HYPERLINK("https%3A%2F%2Fwww.webofscience.com%2Fwos%2Fwoscc%2Ffull-record%2FWOS:000484728400004","View Full Record in Web of Science")</f>
        <v>View Full Record in Web of Science</v>
      </c>
    </row>
    <row r="373" spans="1:72" x14ac:dyDescent="0.25">
      <c r="A373" t="s">
        <v>72</v>
      </c>
      <c r="B373" t="s">
        <v>6079</v>
      </c>
      <c r="C373" t="s">
        <v>74</v>
      </c>
      <c r="D373" t="s">
        <v>74</v>
      </c>
      <c r="E373" t="s">
        <v>74</v>
      </c>
      <c r="F373" t="s">
        <v>6080</v>
      </c>
      <c r="G373" t="s">
        <v>74</v>
      </c>
      <c r="H373" t="s">
        <v>74</v>
      </c>
      <c r="I373" t="s">
        <v>6081</v>
      </c>
      <c r="J373" t="s">
        <v>77</v>
      </c>
      <c r="K373" t="s">
        <v>74</v>
      </c>
      <c r="L373" t="s">
        <v>74</v>
      </c>
      <c r="M373" t="s">
        <v>78</v>
      </c>
      <c r="N373" t="s">
        <v>79</v>
      </c>
      <c r="O373" t="s">
        <v>74</v>
      </c>
      <c r="P373" t="s">
        <v>74</v>
      </c>
      <c r="Q373" t="s">
        <v>74</v>
      </c>
      <c r="R373" t="s">
        <v>74</v>
      </c>
      <c r="S373" t="s">
        <v>74</v>
      </c>
      <c r="T373" t="s">
        <v>6082</v>
      </c>
      <c r="U373" t="s">
        <v>6083</v>
      </c>
      <c r="V373" t="s">
        <v>6084</v>
      </c>
      <c r="W373" t="s">
        <v>6085</v>
      </c>
      <c r="X373" t="s">
        <v>6086</v>
      </c>
      <c r="Y373" t="s">
        <v>6087</v>
      </c>
      <c r="Z373" t="s">
        <v>6088</v>
      </c>
      <c r="AA373" t="s">
        <v>6089</v>
      </c>
      <c r="AB373" t="s">
        <v>6090</v>
      </c>
      <c r="AC373" t="s">
        <v>6091</v>
      </c>
      <c r="AD373" t="s">
        <v>6092</v>
      </c>
      <c r="AE373" t="s">
        <v>6093</v>
      </c>
      <c r="AF373" t="s">
        <v>74</v>
      </c>
      <c r="AG373">
        <v>34</v>
      </c>
      <c r="AH373">
        <v>16</v>
      </c>
      <c r="AI373">
        <v>16</v>
      </c>
      <c r="AJ373">
        <v>0</v>
      </c>
      <c r="AK373">
        <v>7</v>
      </c>
      <c r="AL373" t="s">
        <v>92</v>
      </c>
      <c r="AM373" t="s">
        <v>93</v>
      </c>
      <c r="AN373" t="s">
        <v>94</v>
      </c>
      <c r="AO373" t="s">
        <v>95</v>
      </c>
      <c r="AP373" t="s">
        <v>96</v>
      </c>
      <c r="AQ373" t="s">
        <v>74</v>
      </c>
      <c r="AR373" t="s">
        <v>97</v>
      </c>
      <c r="AS373" t="s">
        <v>98</v>
      </c>
      <c r="AT373" t="s">
        <v>176</v>
      </c>
      <c r="AU373">
        <v>2019</v>
      </c>
      <c r="AV373">
        <v>64</v>
      </c>
      <c r="AW373">
        <v>17</v>
      </c>
      <c r="AX373" t="s">
        <v>74</v>
      </c>
      <c r="AY373" t="s">
        <v>74</v>
      </c>
      <c r="AZ373" t="s">
        <v>74</v>
      </c>
      <c r="BA373" t="s">
        <v>74</v>
      </c>
      <c r="BB373" t="s">
        <v>74</v>
      </c>
      <c r="BC373" t="s">
        <v>74</v>
      </c>
      <c r="BD373">
        <v>175011</v>
      </c>
      <c r="BE373" t="s">
        <v>6094</v>
      </c>
      <c r="BF373" t="str">
        <f>HYPERLINK("http://dx.doi.org/10.1088/1361-6560/ab3276","http://dx.doi.org/10.1088/1361-6560/ab3276")</f>
        <v>http://dx.doi.org/10.1088/1361-6560/ab3276</v>
      </c>
      <c r="BG373" t="s">
        <v>74</v>
      </c>
      <c r="BH373" t="s">
        <v>74</v>
      </c>
      <c r="BI373">
        <v>13</v>
      </c>
      <c r="BJ373" t="s">
        <v>101</v>
      </c>
      <c r="BK373" t="s">
        <v>102</v>
      </c>
      <c r="BL373" t="s">
        <v>103</v>
      </c>
      <c r="BM373" t="s">
        <v>794</v>
      </c>
      <c r="BN373">
        <v>31307027</v>
      </c>
      <c r="BO373" t="s">
        <v>74</v>
      </c>
      <c r="BP373" t="s">
        <v>74</v>
      </c>
      <c r="BQ373" t="s">
        <v>74</v>
      </c>
      <c r="BR373" t="s">
        <v>106</v>
      </c>
      <c r="BS373" t="s">
        <v>6095</v>
      </c>
      <c r="BT373" t="str">
        <f>HYPERLINK("https%3A%2F%2Fwww.webofscience.com%2Fwos%2Fwoscc%2Ffull-record%2FWOS:000484508700004","View Full Record in Web of Science")</f>
        <v>View Full Record in Web of Science</v>
      </c>
    </row>
    <row r="374" spans="1:72" x14ac:dyDescent="0.25">
      <c r="A374" t="s">
        <v>72</v>
      </c>
      <c r="B374" t="s">
        <v>6096</v>
      </c>
      <c r="C374" t="s">
        <v>74</v>
      </c>
      <c r="D374" t="s">
        <v>74</v>
      </c>
      <c r="E374" t="s">
        <v>74</v>
      </c>
      <c r="F374" t="s">
        <v>6097</v>
      </c>
      <c r="G374" t="s">
        <v>74</v>
      </c>
      <c r="H374" t="s">
        <v>74</v>
      </c>
      <c r="I374" t="s">
        <v>6098</v>
      </c>
      <c r="J374" t="s">
        <v>77</v>
      </c>
      <c r="K374" t="s">
        <v>74</v>
      </c>
      <c r="L374" t="s">
        <v>74</v>
      </c>
      <c r="M374" t="s">
        <v>78</v>
      </c>
      <c r="N374" t="s">
        <v>79</v>
      </c>
      <c r="O374" t="s">
        <v>74</v>
      </c>
      <c r="P374" t="s">
        <v>74</v>
      </c>
      <c r="Q374" t="s">
        <v>74</v>
      </c>
      <c r="R374" t="s">
        <v>74</v>
      </c>
      <c r="S374" t="s">
        <v>74</v>
      </c>
      <c r="T374" t="s">
        <v>6099</v>
      </c>
      <c r="U374" t="s">
        <v>6100</v>
      </c>
      <c r="V374" t="s">
        <v>6101</v>
      </c>
      <c r="W374" t="s">
        <v>6102</v>
      </c>
      <c r="X374" t="s">
        <v>6103</v>
      </c>
      <c r="Y374" t="s">
        <v>6104</v>
      </c>
      <c r="Z374" t="s">
        <v>6105</v>
      </c>
      <c r="AA374" t="s">
        <v>6106</v>
      </c>
      <c r="AB374" t="s">
        <v>6107</v>
      </c>
      <c r="AC374" t="s">
        <v>74</v>
      </c>
      <c r="AD374" t="s">
        <v>74</v>
      </c>
      <c r="AE374" t="s">
        <v>74</v>
      </c>
      <c r="AF374" t="s">
        <v>74</v>
      </c>
      <c r="AG374">
        <v>38</v>
      </c>
      <c r="AH374">
        <v>2</v>
      </c>
      <c r="AI374">
        <v>3</v>
      </c>
      <c r="AJ374">
        <v>0</v>
      </c>
      <c r="AK374">
        <v>3</v>
      </c>
      <c r="AL374" t="s">
        <v>157</v>
      </c>
      <c r="AM374" t="s">
        <v>93</v>
      </c>
      <c r="AN374" t="s">
        <v>94</v>
      </c>
      <c r="AO374" t="s">
        <v>95</v>
      </c>
      <c r="AP374" t="s">
        <v>96</v>
      </c>
      <c r="AQ374" t="s">
        <v>74</v>
      </c>
      <c r="AR374" t="s">
        <v>97</v>
      </c>
      <c r="AS374" t="s">
        <v>98</v>
      </c>
      <c r="AT374" t="s">
        <v>176</v>
      </c>
      <c r="AU374">
        <v>2019</v>
      </c>
      <c r="AV374">
        <v>64</v>
      </c>
      <c r="AW374">
        <v>18</v>
      </c>
      <c r="AX374" t="s">
        <v>74</v>
      </c>
      <c r="AY374" t="s">
        <v>74</v>
      </c>
      <c r="AZ374" t="s">
        <v>74</v>
      </c>
      <c r="BA374" t="s">
        <v>74</v>
      </c>
      <c r="BB374" t="s">
        <v>74</v>
      </c>
      <c r="BC374" t="s">
        <v>74</v>
      </c>
      <c r="BD374">
        <v>185001</v>
      </c>
      <c r="BE374" t="s">
        <v>6108</v>
      </c>
      <c r="BF374" t="str">
        <f>HYPERLINK("http://dx.doi.org/10.1088/1361-6560/ab35c3","http://dx.doi.org/10.1088/1361-6560/ab35c3")</f>
        <v>http://dx.doi.org/10.1088/1361-6560/ab35c3</v>
      </c>
      <c r="BG374" t="s">
        <v>74</v>
      </c>
      <c r="BH374" t="s">
        <v>74</v>
      </c>
      <c r="BI374">
        <v>15</v>
      </c>
      <c r="BJ374" t="s">
        <v>101</v>
      </c>
      <c r="BK374" t="s">
        <v>102</v>
      </c>
      <c r="BL374" t="s">
        <v>103</v>
      </c>
      <c r="BM374" t="s">
        <v>2334</v>
      </c>
      <c r="BN374">
        <v>31344696</v>
      </c>
      <c r="BO374" t="s">
        <v>759</v>
      </c>
      <c r="BP374" t="s">
        <v>74</v>
      </c>
      <c r="BQ374" t="s">
        <v>74</v>
      </c>
      <c r="BR374" t="s">
        <v>106</v>
      </c>
      <c r="BS374" t="s">
        <v>6109</v>
      </c>
      <c r="BT374" t="str">
        <f>HYPERLINK("https%3A%2F%2Fwww.webofscience.com%2Fwos%2Fwoscc%2Ffull-record%2FWOS:000485720400001","View Full Record in Web of Science")</f>
        <v>View Full Record in Web of Science</v>
      </c>
    </row>
    <row r="375" spans="1:72" x14ac:dyDescent="0.25">
      <c r="A375" t="s">
        <v>72</v>
      </c>
      <c r="B375" t="s">
        <v>6110</v>
      </c>
      <c r="C375" t="s">
        <v>74</v>
      </c>
      <c r="D375" t="s">
        <v>74</v>
      </c>
      <c r="E375" t="s">
        <v>74</v>
      </c>
      <c r="F375" t="s">
        <v>6111</v>
      </c>
      <c r="G375" t="s">
        <v>74</v>
      </c>
      <c r="H375" t="s">
        <v>74</v>
      </c>
      <c r="I375" t="s">
        <v>6112</v>
      </c>
      <c r="J375" t="s">
        <v>77</v>
      </c>
      <c r="K375" t="s">
        <v>74</v>
      </c>
      <c r="L375" t="s">
        <v>74</v>
      </c>
      <c r="M375" t="s">
        <v>78</v>
      </c>
      <c r="N375" t="s">
        <v>79</v>
      </c>
      <c r="O375" t="s">
        <v>74</v>
      </c>
      <c r="P375" t="s">
        <v>74</v>
      </c>
      <c r="Q375" t="s">
        <v>74</v>
      </c>
      <c r="R375" t="s">
        <v>74</v>
      </c>
      <c r="S375" t="s">
        <v>74</v>
      </c>
      <c r="T375" t="s">
        <v>6113</v>
      </c>
      <c r="U375" t="s">
        <v>6114</v>
      </c>
      <c r="V375" t="s">
        <v>6115</v>
      </c>
      <c r="W375" t="s">
        <v>6116</v>
      </c>
      <c r="X375" t="s">
        <v>6117</v>
      </c>
      <c r="Y375" t="s">
        <v>6118</v>
      </c>
      <c r="Z375" t="s">
        <v>6119</v>
      </c>
      <c r="AA375" t="s">
        <v>74</v>
      </c>
      <c r="AB375" t="s">
        <v>6120</v>
      </c>
      <c r="AC375" t="s">
        <v>6121</v>
      </c>
      <c r="AD375" t="s">
        <v>6122</v>
      </c>
      <c r="AE375" t="s">
        <v>6123</v>
      </c>
      <c r="AF375" t="s">
        <v>74</v>
      </c>
      <c r="AG375">
        <v>23</v>
      </c>
      <c r="AH375">
        <v>4</v>
      </c>
      <c r="AI375">
        <v>4</v>
      </c>
      <c r="AJ375">
        <v>0</v>
      </c>
      <c r="AK375">
        <v>6</v>
      </c>
      <c r="AL375" t="s">
        <v>92</v>
      </c>
      <c r="AM375" t="s">
        <v>93</v>
      </c>
      <c r="AN375" t="s">
        <v>94</v>
      </c>
      <c r="AO375" t="s">
        <v>95</v>
      </c>
      <c r="AP375" t="s">
        <v>96</v>
      </c>
      <c r="AQ375" t="s">
        <v>74</v>
      </c>
      <c r="AR375" t="s">
        <v>97</v>
      </c>
      <c r="AS375" t="s">
        <v>98</v>
      </c>
      <c r="AT375" t="s">
        <v>196</v>
      </c>
      <c r="AU375">
        <v>2019</v>
      </c>
      <c r="AV375">
        <v>64</v>
      </c>
      <c r="AW375">
        <v>15</v>
      </c>
      <c r="AX375" t="s">
        <v>74</v>
      </c>
      <c r="AY375" t="s">
        <v>74</v>
      </c>
      <c r="AZ375" t="s">
        <v>74</v>
      </c>
      <c r="BA375" t="s">
        <v>74</v>
      </c>
      <c r="BB375" t="s">
        <v>74</v>
      </c>
      <c r="BC375" t="s">
        <v>74</v>
      </c>
      <c r="BD375">
        <v>155020</v>
      </c>
      <c r="BE375" t="s">
        <v>6124</v>
      </c>
      <c r="BF375" t="str">
        <f>HYPERLINK("http://dx.doi.org/10.1088/1361-6560/ab280c","http://dx.doi.org/10.1088/1361-6560/ab280c")</f>
        <v>http://dx.doi.org/10.1088/1361-6560/ab280c</v>
      </c>
      <c r="BG375" t="s">
        <v>74</v>
      </c>
      <c r="BH375" t="s">
        <v>74</v>
      </c>
      <c r="BI375">
        <v>16</v>
      </c>
      <c r="BJ375" t="s">
        <v>101</v>
      </c>
      <c r="BK375" t="s">
        <v>102</v>
      </c>
      <c r="BL375" t="s">
        <v>103</v>
      </c>
      <c r="BM375" t="s">
        <v>198</v>
      </c>
      <c r="BN375">
        <v>31181555</v>
      </c>
      <c r="BO375" t="s">
        <v>74</v>
      </c>
      <c r="BP375" t="s">
        <v>74</v>
      </c>
      <c r="BQ375" t="s">
        <v>74</v>
      </c>
      <c r="BR375" t="s">
        <v>106</v>
      </c>
      <c r="BS375" t="s">
        <v>6125</v>
      </c>
      <c r="BT375" t="str">
        <f>HYPERLINK("https%3A%2F%2Fwww.webofscience.com%2Fwos%2Fwoscc%2Ffull-record%2FWOS:000480292700015","View Full Record in Web of Science")</f>
        <v>View Full Record in Web of Science</v>
      </c>
    </row>
    <row r="376" spans="1:72" x14ac:dyDescent="0.25">
      <c r="A376" t="s">
        <v>72</v>
      </c>
      <c r="B376" t="s">
        <v>6126</v>
      </c>
      <c r="C376" t="s">
        <v>74</v>
      </c>
      <c r="D376" t="s">
        <v>74</v>
      </c>
      <c r="E376" t="s">
        <v>74</v>
      </c>
      <c r="F376" t="s">
        <v>6127</v>
      </c>
      <c r="G376" t="s">
        <v>74</v>
      </c>
      <c r="H376" t="s">
        <v>74</v>
      </c>
      <c r="I376" t="s">
        <v>6128</v>
      </c>
      <c r="J376" t="s">
        <v>77</v>
      </c>
      <c r="K376" t="s">
        <v>74</v>
      </c>
      <c r="L376" t="s">
        <v>74</v>
      </c>
      <c r="M376" t="s">
        <v>78</v>
      </c>
      <c r="N376" t="s">
        <v>79</v>
      </c>
      <c r="O376" t="s">
        <v>74</v>
      </c>
      <c r="P376" t="s">
        <v>74</v>
      </c>
      <c r="Q376" t="s">
        <v>74</v>
      </c>
      <c r="R376" t="s">
        <v>74</v>
      </c>
      <c r="S376" t="s">
        <v>74</v>
      </c>
      <c r="T376" t="s">
        <v>6129</v>
      </c>
      <c r="U376" t="s">
        <v>6130</v>
      </c>
      <c r="V376" t="s">
        <v>6131</v>
      </c>
      <c r="W376" t="s">
        <v>6132</v>
      </c>
      <c r="X376" t="s">
        <v>6133</v>
      </c>
      <c r="Y376" t="s">
        <v>6134</v>
      </c>
      <c r="Z376" t="s">
        <v>6135</v>
      </c>
      <c r="AA376" t="s">
        <v>6136</v>
      </c>
      <c r="AB376" t="s">
        <v>6137</v>
      </c>
      <c r="AC376" t="s">
        <v>6138</v>
      </c>
      <c r="AD376" t="s">
        <v>6139</v>
      </c>
      <c r="AE376" t="s">
        <v>6140</v>
      </c>
      <c r="AF376" t="s">
        <v>74</v>
      </c>
      <c r="AG376">
        <v>77</v>
      </c>
      <c r="AH376">
        <v>6</v>
      </c>
      <c r="AI376">
        <v>7</v>
      </c>
      <c r="AJ376">
        <v>0</v>
      </c>
      <c r="AK376">
        <v>11</v>
      </c>
      <c r="AL376" t="s">
        <v>92</v>
      </c>
      <c r="AM376" t="s">
        <v>93</v>
      </c>
      <c r="AN376" t="s">
        <v>94</v>
      </c>
      <c r="AO376" t="s">
        <v>95</v>
      </c>
      <c r="AP376" t="s">
        <v>96</v>
      </c>
      <c r="AQ376" t="s">
        <v>74</v>
      </c>
      <c r="AR376" t="s">
        <v>97</v>
      </c>
      <c r="AS376" t="s">
        <v>98</v>
      </c>
      <c r="AT376" t="s">
        <v>196</v>
      </c>
      <c r="AU376">
        <v>2019</v>
      </c>
      <c r="AV376">
        <v>64</v>
      </c>
      <c r="AW376">
        <v>15</v>
      </c>
      <c r="AX376" t="s">
        <v>74</v>
      </c>
      <c r="AY376" t="s">
        <v>74</v>
      </c>
      <c r="AZ376" t="s">
        <v>74</v>
      </c>
      <c r="BA376" t="s">
        <v>74</v>
      </c>
      <c r="BB376" t="s">
        <v>74</v>
      </c>
      <c r="BC376" t="s">
        <v>74</v>
      </c>
      <c r="BD376">
        <v>155004</v>
      </c>
      <c r="BE376" t="s">
        <v>6141</v>
      </c>
      <c r="BF376" t="str">
        <f>HYPERLINK("http://dx.doi.org/10.1088/1361-6560/ab2aa6","http://dx.doi.org/10.1088/1361-6560/ab2aa6")</f>
        <v>http://dx.doi.org/10.1088/1361-6560/ab2aa6</v>
      </c>
      <c r="BG376" t="s">
        <v>74</v>
      </c>
      <c r="BH376" t="s">
        <v>74</v>
      </c>
      <c r="BI376">
        <v>15</v>
      </c>
      <c r="BJ376" t="s">
        <v>101</v>
      </c>
      <c r="BK376" t="s">
        <v>102</v>
      </c>
      <c r="BL376" t="s">
        <v>103</v>
      </c>
      <c r="BM376" t="s">
        <v>2395</v>
      </c>
      <c r="BN376">
        <v>31212260</v>
      </c>
      <c r="BO376" t="s">
        <v>74</v>
      </c>
      <c r="BP376" t="s">
        <v>74</v>
      </c>
      <c r="BQ376" t="s">
        <v>74</v>
      </c>
      <c r="BR376" t="s">
        <v>106</v>
      </c>
      <c r="BS376" t="s">
        <v>6142</v>
      </c>
      <c r="BT376" t="str">
        <f>HYPERLINK("https%3A%2F%2Fwww.webofscience.com%2Fwos%2Fwoscc%2Ffull-record%2FWOS:000478621000004","View Full Record in Web of Science")</f>
        <v>View Full Record in Web of Science</v>
      </c>
    </row>
    <row r="377" spans="1:72" x14ac:dyDescent="0.25">
      <c r="A377" t="s">
        <v>72</v>
      </c>
      <c r="B377" t="s">
        <v>6143</v>
      </c>
      <c r="C377" t="s">
        <v>74</v>
      </c>
      <c r="D377" t="s">
        <v>74</v>
      </c>
      <c r="E377" t="s">
        <v>74</v>
      </c>
      <c r="F377" t="s">
        <v>6144</v>
      </c>
      <c r="G377" t="s">
        <v>74</v>
      </c>
      <c r="H377" t="s">
        <v>74</v>
      </c>
      <c r="I377" t="s">
        <v>6145</v>
      </c>
      <c r="J377" t="s">
        <v>77</v>
      </c>
      <c r="K377" t="s">
        <v>74</v>
      </c>
      <c r="L377" t="s">
        <v>74</v>
      </c>
      <c r="M377" t="s">
        <v>78</v>
      </c>
      <c r="N377" t="s">
        <v>79</v>
      </c>
      <c r="O377" t="s">
        <v>74</v>
      </c>
      <c r="P377" t="s">
        <v>74</v>
      </c>
      <c r="Q377" t="s">
        <v>74</v>
      </c>
      <c r="R377" t="s">
        <v>74</v>
      </c>
      <c r="S377" t="s">
        <v>74</v>
      </c>
      <c r="T377" t="s">
        <v>6146</v>
      </c>
      <c r="U377" t="s">
        <v>6147</v>
      </c>
      <c r="V377" t="s">
        <v>6148</v>
      </c>
      <c r="W377" t="s">
        <v>6149</v>
      </c>
      <c r="X377" t="s">
        <v>6150</v>
      </c>
      <c r="Y377" t="s">
        <v>6151</v>
      </c>
      <c r="Z377" t="s">
        <v>6152</v>
      </c>
      <c r="AA377" t="s">
        <v>6153</v>
      </c>
      <c r="AB377" t="s">
        <v>6154</v>
      </c>
      <c r="AC377" t="s">
        <v>6155</v>
      </c>
      <c r="AD377" t="s">
        <v>6156</v>
      </c>
      <c r="AE377" t="s">
        <v>6157</v>
      </c>
      <c r="AF377" t="s">
        <v>74</v>
      </c>
      <c r="AG377">
        <v>22</v>
      </c>
      <c r="AH377">
        <v>5</v>
      </c>
      <c r="AI377">
        <v>6</v>
      </c>
      <c r="AJ377">
        <v>0</v>
      </c>
      <c r="AK377">
        <v>1</v>
      </c>
      <c r="AL377" t="s">
        <v>157</v>
      </c>
      <c r="AM377" t="s">
        <v>93</v>
      </c>
      <c r="AN377" t="s">
        <v>94</v>
      </c>
      <c r="AO377" t="s">
        <v>95</v>
      </c>
      <c r="AP377" t="s">
        <v>96</v>
      </c>
      <c r="AQ377" t="s">
        <v>74</v>
      </c>
      <c r="AR377" t="s">
        <v>97</v>
      </c>
      <c r="AS377" t="s">
        <v>98</v>
      </c>
      <c r="AT377" t="s">
        <v>214</v>
      </c>
      <c r="AU377">
        <v>2019</v>
      </c>
      <c r="AV377">
        <v>64</v>
      </c>
      <c r="AW377">
        <v>13</v>
      </c>
      <c r="AX377" t="s">
        <v>74</v>
      </c>
      <c r="AY377" t="s">
        <v>74</v>
      </c>
      <c r="AZ377" t="s">
        <v>74</v>
      </c>
      <c r="BA377" t="s">
        <v>74</v>
      </c>
      <c r="BB377" t="s">
        <v>74</v>
      </c>
      <c r="BC377" t="s">
        <v>74</v>
      </c>
      <c r="BD377">
        <v>135023</v>
      </c>
      <c r="BE377" t="s">
        <v>6158</v>
      </c>
      <c r="BF377" t="str">
        <f>HYPERLINK("http://dx.doi.org/10.1088/1361-6560/ab1bad","http://dx.doi.org/10.1088/1361-6560/ab1bad")</f>
        <v>http://dx.doi.org/10.1088/1361-6560/ab1bad</v>
      </c>
      <c r="BG377" t="s">
        <v>74</v>
      </c>
      <c r="BH377" t="s">
        <v>74</v>
      </c>
      <c r="BI377">
        <v>23</v>
      </c>
      <c r="BJ377" t="s">
        <v>101</v>
      </c>
      <c r="BK377" t="s">
        <v>102</v>
      </c>
      <c r="BL377" t="s">
        <v>103</v>
      </c>
      <c r="BM377" t="s">
        <v>1111</v>
      </c>
      <c r="BN377">
        <v>31013486</v>
      </c>
      <c r="BO377" t="s">
        <v>74</v>
      </c>
      <c r="BP377" t="s">
        <v>74</v>
      </c>
      <c r="BQ377" t="s">
        <v>74</v>
      </c>
      <c r="BR377" t="s">
        <v>106</v>
      </c>
      <c r="BS377" t="s">
        <v>6159</v>
      </c>
      <c r="BT377" t="str">
        <f>HYPERLINK("https%3A%2F%2Fwww.webofscience.com%2Fwos%2Fwoscc%2Ffull-record%2FWOS:000474396800009","View Full Record in Web of Science")</f>
        <v>View Full Record in Web of Science</v>
      </c>
    </row>
    <row r="378" spans="1:72" x14ac:dyDescent="0.25">
      <c r="A378" t="s">
        <v>72</v>
      </c>
      <c r="B378" t="s">
        <v>6160</v>
      </c>
      <c r="C378" t="s">
        <v>74</v>
      </c>
      <c r="D378" t="s">
        <v>74</v>
      </c>
      <c r="E378" t="s">
        <v>74</v>
      </c>
      <c r="F378" t="s">
        <v>6161</v>
      </c>
      <c r="G378" t="s">
        <v>74</v>
      </c>
      <c r="H378" t="s">
        <v>74</v>
      </c>
      <c r="I378" t="s">
        <v>6162</v>
      </c>
      <c r="J378" t="s">
        <v>77</v>
      </c>
      <c r="K378" t="s">
        <v>74</v>
      </c>
      <c r="L378" t="s">
        <v>74</v>
      </c>
      <c r="M378" t="s">
        <v>78</v>
      </c>
      <c r="N378" t="s">
        <v>79</v>
      </c>
      <c r="O378" t="s">
        <v>74</v>
      </c>
      <c r="P378" t="s">
        <v>74</v>
      </c>
      <c r="Q378" t="s">
        <v>74</v>
      </c>
      <c r="R378" t="s">
        <v>74</v>
      </c>
      <c r="S378" t="s">
        <v>74</v>
      </c>
      <c r="T378" t="s">
        <v>6163</v>
      </c>
      <c r="U378" t="s">
        <v>6164</v>
      </c>
      <c r="V378" t="s">
        <v>6165</v>
      </c>
      <c r="W378" t="s">
        <v>6166</v>
      </c>
      <c r="X378" t="s">
        <v>6167</v>
      </c>
      <c r="Y378" t="s">
        <v>6168</v>
      </c>
      <c r="Z378" t="s">
        <v>6169</v>
      </c>
      <c r="AA378" t="s">
        <v>6170</v>
      </c>
      <c r="AB378" t="s">
        <v>6171</v>
      </c>
      <c r="AC378" t="s">
        <v>6172</v>
      </c>
      <c r="AD378" t="s">
        <v>6173</v>
      </c>
      <c r="AE378" t="s">
        <v>6174</v>
      </c>
      <c r="AF378" t="s">
        <v>74</v>
      </c>
      <c r="AG378">
        <v>37</v>
      </c>
      <c r="AH378">
        <v>8</v>
      </c>
      <c r="AI378">
        <v>8</v>
      </c>
      <c r="AJ378">
        <v>0</v>
      </c>
      <c r="AK378">
        <v>1</v>
      </c>
      <c r="AL378" t="s">
        <v>92</v>
      </c>
      <c r="AM378" t="s">
        <v>93</v>
      </c>
      <c r="AN378" t="s">
        <v>94</v>
      </c>
      <c r="AO378" t="s">
        <v>95</v>
      </c>
      <c r="AP378" t="s">
        <v>96</v>
      </c>
      <c r="AQ378" t="s">
        <v>74</v>
      </c>
      <c r="AR378" t="s">
        <v>97</v>
      </c>
      <c r="AS378" t="s">
        <v>98</v>
      </c>
      <c r="AT378" t="s">
        <v>214</v>
      </c>
      <c r="AU378">
        <v>2019</v>
      </c>
      <c r="AV378">
        <v>64</v>
      </c>
      <c r="AW378">
        <v>14</v>
      </c>
      <c r="AX378" t="s">
        <v>74</v>
      </c>
      <c r="AY378" t="s">
        <v>74</v>
      </c>
      <c r="AZ378" t="s">
        <v>74</v>
      </c>
      <c r="BA378" t="s">
        <v>74</v>
      </c>
      <c r="BB378" t="s">
        <v>74</v>
      </c>
      <c r="BC378" t="s">
        <v>74</v>
      </c>
      <c r="BD378">
        <v>145008</v>
      </c>
      <c r="BE378" t="s">
        <v>6175</v>
      </c>
      <c r="BF378" t="str">
        <f>HYPERLINK("http://dx.doi.org/10.1088/1361-6560/ab2db4","http://dx.doi.org/10.1088/1361-6560/ab2db4")</f>
        <v>http://dx.doi.org/10.1088/1361-6560/ab2db4</v>
      </c>
      <c r="BG378" t="s">
        <v>74</v>
      </c>
      <c r="BH378" t="s">
        <v>74</v>
      </c>
      <c r="BI378">
        <v>15</v>
      </c>
      <c r="BJ378" t="s">
        <v>101</v>
      </c>
      <c r="BK378" t="s">
        <v>102</v>
      </c>
      <c r="BL378" t="s">
        <v>103</v>
      </c>
      <c r="BM378" t="s">
        <v>233</v>
      </c>
      <c r="BN378">
        <v>31252423</v>
      </c>
      <c r="BO378" t="s">
        <v>74</v>
      </c>
      <c r="BP378" t="s">
        <v>74</v>
      </c>
      <c r="BQ378" t="s">
        <v>74</v>
      </c>
      <c r="BR378" t="s">
        <v>106</v>
      </c>
      <c r="BS378" t="s">
        <v>6176</v>
      </c>
      <c r="BT378" t="str">
        <f>HYPERLINK("https%3A%2F%2Fwww.webofscience.com%2Fwos%2Fwoscc%2Ffull-record%2FWOS:000475775200001","View Full Record in Web of Science")</f>
        <v>View Full Record in Web of Science</v>
      </c>
    </row>
    <row r="379" spans="1:72" x14ac:dyDescent="0.25">
      <c r="A379" t="s">
        <v>72</v>
      </c>
      <c r="B379" t="s">
        <v>6177</v>
      </c>
      <c r="C379" t="s">
        <v>74</v>
      </c>
      <c r="D379" t="s">
        <v>74</v>
      </c>
      <c r="E379" t="s">
        <v>74</v>
      </c>
      <c r="F379" t="s">
        <v>6178</v>
      </c>
      <c r="G379" t="s">
        <v>74</v>
      </c>
      <c r="H379" t="s">
        <v>74</v>
      </c>
      <c r="I379" t="s">
        <v>6179</v>
      </c>
      <c r="J379" t="s">
        <v>77</v>
      </c>
      <c r="K379" t="s">
        <v>74</v>
      </c>
      <c r="L379" t="s">
        <v>74</v>
      </c>
      <c r="M379" t="s">
        <v>78</v>
      </c>
      <c r="N379" t="s">
        <v>79</v>
      </c>
      <c r="O379" t="s">
        <v>74</v>
      </c>
      <c r="P379" t="s">
        <v>74</v>
      </c>
      <c r="Q379" t="s">
        <v>74</v>
      </c>
      <c r="R379" t="s">
        <v>74</v>
      </c>
      <c r="S379" t="s">
        <v>74</v>
      </c>
      <c r="T379" t="s">
        <v>6180</v>
      </c>
      <c r="U379" t="s">
        <v>6181</v>
      </c>
      <c r="V379" t="s">
        <v>6182</v>
      </c>
      <c r="W379" t="s">
        <v>6183</v>
      </c>
      <c r="X379" t="s">
        <v>6184</v>
      </c>
      <c r="Y379" t="s">
        <v>6185</v>
      </c>
      <c r="Z379" t="s">
        <v>6186</v>
      </c>
      <c r="AA379" t="s">
        <v>74</v>
      </c>
      <c r="AB379" t="s">
        <v>74</v>
      </c>
      <c r="AC379" t="s">
        <v>74</v>
      </c>
      <c r="AD379" t="s">
        <v>74</v>
      </c>
      <c r="AE379" t="s">
        <v>74</v>
      </c>
      <c r="AF379" t="s">
        <v>74</v>
      </c>
      <c r="AG379">
        <v>49</v>
      </c>
      <c r="AH379">
        <v>5</v>
      </c>
      <c r="AI379">
        <v>5</v>
      </c>
      <c r="AJ379">
        <v>0</v>
      </c>
      <c r="AK379">
        <v>19</v>
      </c>
      <c r="AL379" t="s">
        <v>92</v>
      </c>
      <c r="AM379" t="s">
        <v>93</v>
      </c>
      <c r="AN379" t="s">
        <v>94</v>
      </c>
      <c r="AO379" t="s">
        <v>95</v>
      </c>
      <c r="AP379" t="s">
        <v>96</v>
      </c>
      <c r="AQ379" t="s">
        <v>74</v>
      </c>
      <c r="AR379" t="s">
        <v>97</v>
      </c>
      <c r="AS379" t="s">
        <v>98</v>
      </c>
      <c r="AT379" t="s">
        <v>250</v>
      </c>
      <c r="AU379">
        <v>2019</v>
      </c>
      <c r="AV379">
        <v>64</v>
      </c>
      <c r="AW379">
        <v>11</v>
      </c>
      <c r="AX379" t="s">
        <v>74</v>
      </c>
      <c r="AY379" t="s">
        <v>74</v>
      </c>
      <c r="AZ379" t="s">
        <v>74</v>
      </c>
      <c r="BA379" t="s">
        <v>74</v>
      </c>
      <c r="BB379" t="s">
        <v>74</v>
      </c>
      <c r="BC379" t="s">
        <v>74</v>
      </c>
      <c r="BD379">
        <v>115008</v>
      </c>
      <c r="BE379" t="s">
        <v>6187</v>
      </c>
      <c r="BF379" t="str">
        <f>HYPERLINK("http://dx.doi.org/10.1088/1361-6560/ab1bfa","http://dx.doi.org/10.1088/1361-6560/ab1bfa")</f>
        <v>http://dx.doi.org/10.1088/1361-6560/ab1bfa</v>
      </c>
      <c r="BG379" t="s">
        <v>74</v>
      </c>
      <c r="BH379" t="s">
        <v>74</v>
      </c>
      <c r="BI379">
        <v>14</v>
      </c>
      <c r="BJ379" t="s">
        <v>101</v>
      </c>
      <c r="BK379" t="s">
        <v>102</v>
      </c>
      <c r="BL379" t="s">
        <v>103</v>
      </c>
      <c r="BM379" t="s">
        <v>323</v>
      </c>
      <c r="BN379">
        <v>31018185</v>
      </c>
      <c r="BO379" t="s">
        <v>74</v>
      </c>
      <c r="BP379" t="s">
        <v>74</v>
      </c>
      <c r="BQ379" t="s">
        <v>74</v>
      </c>
      <c r="BR379" t="s">
        <v>106</v>
      </c>
      <c r="BS379" t="s">
        <v>6188</v>
      </c>
      <c r="BT379" t="str">
        <f>HYPERLINK("https%3A%2F%2Fwww.webofscience.com%2Fwos%2Fwoscc%2Ffull-record%2FWOS:000468942900008","View Full Record in Web of Science")</f>
        <v>View Full Record in Web of Science</v>
      </c>
    </row>
    <row r="380" spans="1:72" x14ac:dyDescent="0.25">
      <c r="A380" t="s">
        <v>72</v>
      </c>
      <c r="B380" t="s">
        <v>6189</v>
      </c>
      <c r="C380" t="s">
        <v>74</v>
      </c>
      <c r="D380" t="s">
        <v>74</v>
      </c>
      <c r="E380" t="s">
        <v>74</v>
      </c>
      <c r="F380" t="s">
        <v>6190</v>
      </c>
      <c r="G380" t="s">
        <v>74</v>
      </c>
      <c r="H380" t="s">
        <v>74</v>
      </c>
      <c r="I380" t="s">
        <v>6191</v>
      </c>
      <c r="J380" t="s">
        <v>77</v>
      </c>
      <c r="K380" t="s">
        <v>74</v>
      </c>
      <c r="L380" t="s">
        <v>74</v>
      </c>
      <c r="M380" t="s">
        <v>78</v>
      </c>
      <c r="N380" t="s">
        <v>79</v>
      </c>
      <c r="O380" t="s">
        <v>74</v>
      </c>
      <c r="P380" t="s">
        <v>74</v>
      </c>
      <c r="Q380" t="s">
        <v>74</v>
      </c>
      <c r="R380" t="s">
        <v>74</v>
      </c>
      <c r="S380" t="s">
        <v>74</v>
      </c>
      <c r="T380" t="s">
        <v>6192</v>
      </c>
      <c r="U380" t="s">
        <v>6193</v>
      </c>
      <c r="V380" t="s">
        <v>6194</v>
      </c>
      <c r="W380" t="s">
        <v>6195</v>
      </c>
      <c r="X380" t="s">
        <v>6196</v>
      </c>
      <c r="Y380" t="s">
        <v>6197</v>
      </c>
      <c r="Z380" t="s">
        <v>6198</v>
      </c>
      <c r="AA380" t="s">
        <v>6199</v>
      </c>
      <c r="AB380" t="s">
        <v>6200</v>
      </c>
      <c r="AC380" t="s">
        <v>6201</v>
      </c>
      <c r="AD380" t="s">
        <v>6202</v>
      </c>
      <c r="AE380" t="s">
        <v>6203</v>
      </c>
      <c r="AF380" t="s">
        <v>74</v>
      </c>
      <c r="AG380">
        <v>23</v>
      </c>
      <c r="AH380">
        <v>4</v>
      </c>
      <c r="AI380">
        <v>4</v>
      </c>
      <c r="AJ380">
        <v>0</v>
      </c>
      <c r="AK380">
        <v>4</v>
      </c>
      <c r="AL380" t="s">
        <v>92</v>
      </c>
      <c r="AM380" t="s">
        <v>93</v>
      </c>
      <c r="AN380" t="s">
        <v>94</v>
      </c>
      <c r="AO380" t="s">
        <v>95</v>
      </c>
      <c r="AP380" t="s">
        <v>96</v>
      </c>
      <c r="AQ380" t="s">
        <v>74</v>
      </c>
      <c r="AR380" t="s">
        <v>97</v>
      </c>
      <c r="AS380" t="s">
        <v>98</v>
      </c>
      <c r="AT380" t="s">
        <v>250</v>
      </c>
      <c r="AU380">
        <v>2019</v>
      </c>
      <c r="AV380">
        <v>64</v>
      </c>
      <c r="AW380">
        <v>12</v>
      </c>
      <c r="AX380" t="s">
        <v>74</v>
      </c>
      <c r="AY380" t="s">
        <v>74</v>
      </c>
      <c r="AZ380" t="s">
        <v>74</v>
      </c>
      <c r="BA380" t="s">
        <v>74</v>
      </c>
      <c r="BB380" t="s">
        <v>74</v>
      </c>
      <c r="BC380" t="s">
        <v>74</v>
      </c>
      <c r="BD380">
        <v>125014</v>
      </c>
      <c r="BE380" t="s">
        <v>6204</v>
      </c>
      <c r="BF380" t="str">
        <f>HYPERLINK("http://dx.doi.org/10.1088/1361-6560/ab246f","http://dx.doi.org/10.1088/1361-6560/ab246f")</f>
        <v>http://dx.doi.org/10.1088/1361-6560/ab246f</v>
      </c>
      <c r="BG380" t="s">
        <v>74</v>
      </c>
      <c r="BH380" t="s">
        <v>74</v>
      </c>
      <c r="BI380">
        <v>14</v>
      </c>
      <c r="BJ380" t="s">
        <v>101</v>
      </c>
      <c r="BK380" t="s">
        <v>102</v>
      </c>
      <c r="BL380" t="s">
        <v>103</v>
      </c>
      <c r="BM380" t="s">
        <v>357</v>
      </c>
      <c r="BN380">
        <v>31125980</v>
      </c>
      <c r="BO380" t="s">
        <v>74</v>
      </c>
      <c r="BP380" t="s">
        <v>74</v>
      </c>
      <c r="BQ380" t="s">
        <v>74</v>
      </c>
      <c r="BR380" t="s">
        <v>106</v>
      </c>
      <c r="BS380" t="s">
        <v>6205</v>
      </c>
      <c r="BT380" t="str">
        <f>HYPERLINK("https%3A%2F%2Fwww.webofscience.com%2Fwos%2Fwoscc%2Ffull-record%2FWOS:000518929400004","View Full Record in Web of Science")</f>
        <v>View Full Record in Web of Science</v>
      </c>
    </row>
    <row r="381" spans="1:72" x14ac:dyDescent="0.25">
      <c r="A381" t="s">
        <v>72</v>
      </c>
      <c r="B381" t="s">
        <v>6206</v>
      </c>
      <c r="C381" t="s">
        <v>74</v>
      </c>
      <c r="D381" t="s">
        <v>74</v>
      </c>
      <c r="E381" t="s">
        <v>74</v>
      </c>
      <c r="F381" t="s">
        <v>6207</v>
      </c>
      <c r="G381" t="s">
        <v>74</v>
      </c>
      <c r="H381" t="s">
        <v>74</v>
      </c>
      <c r="I381" t="s">
        <v>6208</v>
      </c>
      <c r="J381" t="s">
        <v>77</v>
      </c>
      <c r="K381" t="s">
        <v>74</v>
      </c>
      <c r="L381" t="s">
        <v>74</v>
      </c>
      <c r="M381" t="s">
        <v>78</v>
      </c>
      <c r="N381" t="s">
        <v>79</v>
      </c>
      <c r="O381" t="s">
        <v>74</v>
      </c>
      <c r="P381" t="s">
        <v>74</v>
      </c>
      <c r="Q381" t="s">
        <v>74</v>
      </c>
      <c r="R381" t="s">
        <v>74</v>
      </c>
      <c r="S381" t="s">
        <v>74</v>
      </c>
      <c r="T381" t="s">
        <v>6209</v>
      </c>
      <c r="U381" t="s">
        <v>6210</v>
      </c>
      <c r="V381" t="s">
        <v>6211</v>
      </c>
      <c r="W381" t="s">
        <v>6212</v>
      </c>
      <c r="X381" t="s">
        <v>6213</v>
      </c>
      <c r="Y381" t="s">
        <v>6214</v>
      </c>
      <c r="Z381" t="s">
        <v>6215</v>
      </c>
      <c r="AA381" t="s">
        <v>6216</v>
      </c>
      <c r="AB381" t="s">
        <v>6217</v>
      </c>
      <c r="AC381" t="s">
        <v>74</v>
      </c>
      <c r="AD381" t="s">
        <v>74</v>
      </c>
      <c r="AE381" t="s">
        <v>74</v>
      </c>
      <c r="AF381" t="s">
        <v>74</v>
      </c>
      <c r="AG381">
        <v>16</v>
      </c>
      <c r="AH381">
        <v>5</v>
      </c>
      <c r="AI381">
        <v>5</v>
      </c>
      <c r="AJ381">
        <v>0</v>
      </c>
      <c r="AK381">
        <v>1</v>
      </c>
      <c r="AL381" t="s">
        <v>92</v>
      </c>
      <c r="AM381" t="s">
        <v>93</v>
      </c>
      <c r="AN381" t="s">
        <v>94</v>
      </c>
      <c r="AO381" t="s">
        <v>95</v>
      </c>
      <c r="AP381" t="s">
        <v>96</v>
      </c>
      <c r="AQ381" t="s">
        <v>74</v>
      </c>
      <c r="AR381" t="s">
        <v>97</v>
      </c>
      <c r="AS381" t="s">
        <v>98</v>
      </c>
      <c r="AT381" t="s">
        <v>250</v>
      </c>
      <c r="AU381">
        <v>2019</v>
      </c>
      <c r="AV381">
        <v>64</v>
      </c>
      <c r="AW381">
        <v>11</v>
      </c>
      <c r="AX381" t="s">
        <v>74</v>
      </c>
      <c r="AY381" t="s">
        <v>74</v>
      </c>
      <c r="AZ381" t="s">
        <v>74</v>
      </c>
      <c r="BA381" t="s">
        <v>74</v>
      </c>
      <c r="BB381" t="s">
        <v>74</v>
      </c>
      <c r="BC381" t="s">
        <v>74</v>
      </c>
      <c r="BD381">
        <v>115010</v>
      </c>
      <c r="BE381" t="s">
        <v>6218</v>
      </c>
      <c r="BF381" t="str">
        <f>HYPERLINK("http://dx.doi.org/10.1088/1361-6560/ab1c2b","http://dx.doi.org/10.1088/1361-6560/ab1c2b")</f>
        <v>http://dx.doi.org/10.1088/1361-6560/ab1c2b</v>
      </c>
      <c r="BG381" t="s">
        <v>74</v>
      </c>
      <c r="BH381" t="s">
        <v>74</v>
      </c>
      <c r="BI381">
        <v>9</v>
      </c>
      <c r="BJ381" t="s">
        <v>101</v>
      </c>
      <c r="BK381" t="s">
        <v>102</v>
      </c>
      <c r="BL381" t="s">
        <v>103</v>
      </c>
      <c r="BM381" t="s">
        <v>287</v>
      </c>
      <c r="BN381">
        <v>31018191</v>
      </c>
      <c r="BO381" t="s">
        <v>74</v>
      </c>
      <c r="BP381" t="s">
        <v>74</v>
      </c>
      <c r="BQ381" t="s">
        <v>74</v>
      </c>
      <c r="BR381" t="s">
        <v>106</v>
      </c>
      <c r="BS381" t="s">
        <v>6219</v>
      </c>
      <c r="BT381" t="str">
        <f>HYPERLINK("https%3A%2F%2Fwww.webofscience.com%2Fwos%2Fwoscc%2Ffull-record%2FWOS:000469802000002","View Full Record in Web of Science")</f>
        <v>View Full Record in Web of Science</v>
      </c>
    </row>
    <row r="382" spans="1:72" x14ac:dyDescent="0.25">
      <c r="A382" t="s">
        <v>72</v>
      </c>
      <c r="B382" t="s">
        <v>6220</v>
      </c>
      <c r="C382" t="s">
        <v>74</v>
      </c>
      <c r="D382" t="s">
        <v>74</v>
      </c>
      <c r="E382" t="s">
        <v>74</v>
      </c>
      <c r="F382" t="s">
        <v>6221</v>
      </c>
      <c r="G382" t="s">
        <v>74</v>
      </c>
      <c r="H382" t="s">
        <v>74</v>
      </c>
      <c r="I382" t="s">
        <v>6222</v>
      </c>
      <c r="J382" t="s">
        <v>77</v>
      </c>
      <c r="K382" t="s">
        <v>74</v>
      </c>
      <c r="L382" t="s">
        <v>74</v>
      </c>
      <c r="M382" t="s">
        <v>78</v>
      </c>
      <c r="N382" t="s">
        <v>79</v>
      </c>
      <c r="O382" t="s">
        <v>74</v>
      </c>
      <c r="P382" t="s">
        <v>74</v>
      </c>
      <c r="Q382" t="s">
        <v>74</v>
      </c>
      <c r="R382" t="s">
        <v>74</v>
      </c>
      <c r="S382" t="s">
        <v>74</v>
      </c>
      <c r="T382" t="s">
        <v>6223</v>
      </c>
      <c r="U382" t="s">
        <v>6224</v>
      </c>
      <c r="V382" t="s">
        <v>6225</v>
      </c>
      <c r="W382" t="s">
        <v>6226</v>
      </c>
      <c r="X382" t="s">
        <v>6227</v>
      </c>
      <c r="Y382" t="s">
        <v>6228</v>
      </c>
      <c r="Z382" t="s">
        <v>5132</v>
      </c>
      <c r="AA382" t="s">
        <v>6229</v>
      </c>
      <c r="AB382" t="s">
        <v>74</v>
      </c>
      <c r="AC382" t="s">
        <v>6230</v>
      </c>
      <c r="AD382" t="s">
        <v>6231</v>
      </c>
      <c r="AE382" t="s">
        <v>6232</v>
      </c>
      <c r="AF382" t="s">
        <v>74</v>
      </c>
      <c r="AG382">
        <v>43</v>
      </c>
      <c r="AH382">
        <v>5</v>
      </c>
      <c r="AI382">
        <v>5</v>
      </c>
      <c r="AJ382">
        <v>0</v>
      </c>
      <c r="AK382">
        <v>10</v>
      </c>
      <c r="AL382" t="s">
        <v>92</v>
      </c>
      <c r="AM382" t="s">
        <v>93</v>
      </c>
      <c r="AN382" t="s">
        <v>94</v>
      </c>
      <c r="AO382" t="s">
        <v>95</v>
      </c>
      <c r="AP382" t="s">
        <v>96</v>
      </c>
      <c r="AQ382" t="s">
        <v>74</v>
      </c>
      <c r="AR382" t="s">
        <v>97</v>
      </c>
      <c r="AS382" t="s">
        <v>98</v>
      </c>
      <c r="AT382" t="s">
        <v>370</v>
      </c>
      <c r="AU382">
        <v>2019</v>
      </c>
      <c r="AV382">
        <v>64</v>
      </c>
      <c r="AW382">
        <v>9</v>
      </c>
      <c r="AX382" t="s">
        <v>74</v>
      </c>
      <c r="AY382" t="s">
        <v>74</v>
      </c>
      <c r="AZ382" t="s">
        <v>74</v>
      </c>
      <c r="BA382" t="s">
        <v>74</v>
      </c>
      <c r="BB382" t="s">
        <v>74</v>
      </c>
      <c r="BC382" t="s">
        <v>74</v>
      </c>
      <c r="BD382">
        <v>95029</v>
      </c>
      <c r="BE382" t="s">
        <v>6233</v>
      </c>
      <c r="BF382" t="str">
        <f>HYPERLINK("http://dx.doi.org/10.1088/1361-6560/ab0d50","http://dx.doi.org/10.1088/1361-6560/ab0d50")</f>
        <v>http://dx.doi.org/10.1088/1361-6560/ab0d50</v>
      </c>
      <c r="BG382" t="s">
        <v>74</v>
      </c>
      <c r="BH382" t="s">
        <v>74</v>
      </c>
      <c r="BI382">
        <v>15</v>
      </c>
      <c r="BJ382" t="s">
        <v>101</v>
      </c>
      <c r="BK382" t="s">
        <v>102</v>
      </c>
      <c r="BL382" t="s">
        <v>103</v>
      </c>
      <c r="BM382" t="s">
        <v>610</v>
      </c>
      <c r="BN382">
        <v>30840940</v>
      </c>
      <c r="BO382" t="s">
        <v>74</v>
      </c>
      <c r="BP382" t="s">
        <v>74</v>
      </c>
      <c r="BQ382" t="s">
        <v>74</v>
      </c>
      <c r="BR382" t="s">
        <v>106</v>
      </c>
      <c r="BS382" t="s">
        <v>6234</v>
      </c>
      <c r="BT382" t="str">
        <f>HYPERLINK("https%3A%2F%2Fwww.webofscience.com%2Fwos%2Fwoscc%2Ffull-record%2FWOS:000466862700008","View Full Record in Web of Science")</f>
        <v>View Full Record in Web of Science</v>
      </c>
    </row>
    <row r="383" spans="1:72" x14ac:dyDescent="0.25">
      <c r="A383" t="s">
        <v>72</v>
      </c>
      <c r="B383" t="s">
        <v>6235</v>
      </c>
      <c r="C383" t="s">
        <v>74</v>
      </c>
      <c r="D383" t="s">
        <v>74</v>
      </c>
      <c r="E383" t="s">
        <v>74</v>
      </c>
      <c r="F383" t="s">
        <v>6236</v>
      </c>
      <c r="G383" t="s">
        <v>74</v>
      </c>
      <c r="H383" t="s">
        <v>74</v>
      </c>
      <c r="I383" t="s">
        <v>6237</v>
      </c>
      <c r="J383" t="s">
        <v>77</v>
      </c>
      <c r="K383" t="s">
        <v>74</v>
      </c>
      <c r="L383" t="s">
        <v>74</v>
      </c>
      <c r="M383" t="s">
        <v>78</v>
      </c>
      <c r="N383" t="s">
        <v>79</v>
      </c>
      <c r="O383" t="s">
        <v>74</v>
      </c>
      <c r="P383" t="s">
        <v>74</v>
      </c>
      <c r="Q383" t="s">
        <v>74</v>
      </c>
      <c r="R383" t="s">
        <v>74</v>
      </c>
      <c r="S383" t="s">
        <v>74</v>
      </c>
      <c r="T383" t="s">
        <v>6238</v>
      </c>
      <c r="U383" t="s">
        <v>6239</v>
      </c>
      <c r="V383" t="s">
        <v>6240</v>
      </c>
      <c r="W383" t="s">
        <v>6241</v>
      </c>
      <c r="X383" t="s">
        <v>6242</v>
      </c>
      <c r="Y383" t="s">
        <v>6243</v>
      </c>
      <c r="Z383" t="s">
        <v>5493</v>
      </c>
      <c r="AA383" t="s">
        <v>6244</v>
      </c>
      <c r="AB383" t="s">
        <v>6245</v>
      </c>
      <c r="AC383" t="s">
        <v>6246</v>
      </c>
      <c r="AD383" t="s">
        <v>6247</v>
      </c>
      <c r="AE383" t="s">
        <v>6248</v>
      </c>
      <c r="AF383" t="s">
        <v>74</v>
      </c>
      <c r="AG383">
        <v>41</v>
      </c>
      <c r="AH383">
        <v>72</v>
      </c>
      <c r="AI383">
        <v>80</v>
      </c>
      <c r="AJ383">
        <v>1</v>
      </c>
      <c r="AK383">
        <v>61</v>
      </c>
      <c r="AL383" t="s">
        <v>92</v>
      </c>
      <c r="AM383" t="s">
        <v>93</v>
      </c>
      <c r="AN383" t="s">
        <v>94</v>
      </c>
      <c r="AO383" t="s">
        <v>95</v>
      </c>
      <c r="AP383" t="s">
        <v>96</v>
      </c>
      <c r="AQ383" t="s">
        <v>74</v>
      </c>
      <c r="AR383" t="s">
        <v>97</v>
      </c>
      <c r="AS383" t="s">
        <v>98</v>
      </c>
      <c r="AT383" t="s">
        <v>386</v>
      </c>
      <c r="AU383">
        <v>2019</v>
      </c>
      <c r="AV383">
        <v>64</v>
      </c>
      <c r="AW383">
        <v>7</v>
      </c>
      <c r="AX383" t="s">
        <v>74</v>
      </c>
      <c r="AY383" t="s">
        <v>74</v>
      </c>
      <c r="AZ383" t="s">
        <v>74</v>
      </c>
      <c r="BA383" t="s">
        <v>74</v>
      </c>
      <c r="BB383" t="s">
        <v>74</v>
      </c>
      <c r="BC383" t="s">
        <v>74</v>
      </c>
      <c r="BD383">
        <v>75011</v>
      </c>
      <c r="BE383" t="s">
        <v>6249</v>
      </c>
      <c r="BF383" t="str">
        <f>HYPERLINK("http://dx.doi.org/10.1088/1361-6560/ab083a","http://dx.doi.org/10.1088/1361-6560/ab083a")</f>
        <v>http://dx.doi.org/10.1088/1361-6560/ab083a</v>
      </c>
      <c r="BG383" t="s">
        <v>74</v>
      </c>
      <c r="BH383" t="s">
        <v>74</v>
      </c>
      <c r="BI383">
        <v>13</v>
      </c>
      <c r="BJ383" t="s">
        <v>101</v>
      </c>
      <c r="BK383" t="s">
        <v>102</v>
      </c>
      <c r="BL383" t="s">
        <v>103</v>
      </c>
      <c r="BM383" t="s">
        <v>2580</v>
      </c>
      <c r="BN383">
        <v>30780137</v>
      </c>
      <c r="BO383" t="s">
        <v>795</v>
      </c>
      <c r="BP383" t="s">
        <v>74</v>
      </c>
      <c r="BQ383" t="s">
        <v>74</v>
      </c>
      <c r="BR383" t="s">
        <v>106</v>
      </c>
      <c r="BS383" t="s">
        <v>6250</v>
      </c>
      <c r="BT383" t="str">
        <f>HYPERLINK("https%3A%2F%2Fwww.webofscience.com%2Fwos%2Fwoscc%2Ffull-record%2FWOS:000462887300003","View Full Record in Web of Science")</f>
        <v>View Full Record in Web of Science</v>
      </c>
    </row>
    <row r="384" spans="1:72" x14ac:dyDescent="0.25">
      <c r="A384" t="s">
        <v>72</v>
      </c>
      <c r="B384" t="s">
        <v>6251</v>
      </c>
      <c r="C384" t="s">
        <v>74</v>
      </c>
      <c r="D384" t="s">
        <v>74</v>
      </c>
      <c r="E384" t="s">
        <v>74</v>
      </c>
      <c r="F384" t="s">
        <v>6252</v>
      </c>
      <c r="G384" t="s">
        <v>74</v>
      </c>
      <c r="H384" t="s">
        <v>74</v>
      </c>
      <c r="I384" t="s">
        <v>6253</v>
      </c>
      <c r="J384" t="s">
        <v>77</v>
      </c>
      <c r="K384" t="s">
        <v>74</v>
      </c>
      <c r="L384" t="s">
        <v>74</v>
      </c>
      <c r="M384" t="s">
        <v>78</v>
      </c>
      <c r="N384" t="s">
        <v>79</v>
      </c>
      <c r="O384" t="s">
        <v>74</v>
      </c>
      <c r="P384" t="s">
        <v>74</v>
      </c>
      <c r="Q384" t="s">
        <v>74</v>
      </c>
      <c r="R384" t="s">
        <v>74</v>
      </c>
      <c r="S384" t="s">
        <v>74</v>
      </c>
      <c r="T384" t="s">
        <v>6254</v>
      </c>
      <c r="U384" t="s">
        <v>6255</v>
      </c>
      <c r="V384" t="s">
        <v>6256</v>
      </c>
      <c r="W384" t="s">
        <v>6257</v>
      </c>
      <c r="X384" t="s">
        <v>6258</v>
      </c>
      <c r="Y384" t="s">
        <v>6259</v>
      </c>
      <c r="Z384" t="s">
        <v>6260</v>
      </c>
      <c r="AA384" t="s">
        <v>6261</v>
      </c>
      <c r="AB384" t="s">
        <v>6262</v>
      </c>
      <c r="AC384" t="s">
        <v>6263</v>
      </c>
      <c r="AD384" t="s">
        <v>6264</v>
      </c>
      <c r="AE384" t="s">
        <v>6265</v>
      </c>
      <c r="AF384" t="s">
        <v>74</v>
      </c>
      <c r="AG384">
        <v>34</v>
      </c>
      <c r="AH384">
        <v>13</v>
      </c>
      <c r="AI384">
        <v>13</v>
      </c>
      <c r="AJ384">
        <v>0</v>
      </c>
      <c r="AK384">
        <v>7</v>
      </c>
      <c r="AL384" t="s">
        <v>92</v>
      </c>
      <c r="AM384" t="s">
        <v>93</v>
      </c>
      <c r="AN384" t="s">
        <v>94</v>
      </c>
      <c r="AO384" t="s">
        <v>95</v>
      </c>
      <c r="AP384" t="s">
        <v>96</v>
      </c>
      <c r="AQ384" t="s">
        <v>74</v>
      </c>
      <c r="AR384" t="s">
        <v>97</v>
      </c>
      <c r="AS384" t="s">
        <v>98</v>
      </c>
      <c r="AT384" t="s">
        <v>386</v>
      </c>
      <c r="AU384">
        <v>2019</v>
      </c>
      <c r="AV384">
        <v>64</v>
      </c>
      <c r="AW384">
        <v>8</v>
      </c>
      <c r="AX384" t="s">
        <v>74</v>
      </c>
      <c r="AY384" t="s">
        <v>74</v>
      </c>
      <c r="AZ384" t="s">
        <v>74</v>
      </c>
      <c r="BA384" t="s">
        <v>74</v>
      </c>
      <c r="BB384" t="s">
        <v>74</v>
      </c>
      <c r="BC384" t="s">
        <v>74</v>
      </c>
      <c r="BD384" t="s">
        <v>6266</v>
      </c>
      <c r="BE384" t="s">
        <v>6267</v>
      </c>
      <c r="BF384" t="str">
        <f>HYPERLINK("http://dx.doi.org/10.1088/1361-6560/ab10b2","http://dx.doi.org/10.1088/1361-6560/ab10b2")</f>
        <v>http://dx.doi.org/10.1088/1361-6560/ab10b2</v>
      </c>
      <c r="BG384" t="s">
        <v>74</v>
      </c>
      <c r="BH384" t="s">
        <v>74</v>
      </c>
      <c r="BI384">
        <v>11</v>
      </c>
      <c r="BJ384" t="s">
        <v>101</v>
      </c>
      <c r="BK384" t="s">
        <v>102</v>
      </c>
      <c r="BL384" t="s">
        <v>103</v>
      </c>
      <c r="BM384" t="s">
        <v>5362</v>
      </c>
      <c r="BN384">
        <v>30884475</v>
      </c>
      <c r="BO384" t="s">
        <v>74</v>
      </c>
      <c r="BP384" t="s">
        <v>74</v>
      </c>
      <c r="BQ384" t="s">
        <v>74</v>
      </c>
      <c r="BR384" t="s">
        <v>106</v>
      </c>
      <c r="BS384" t="s">
        <v>6268</v>
      </c>
      <c r="BT384" t="str">
        <f>HYPERLINK("https%3A%2F%2Fwww.webofscience.com%2Fwos%2Fwoscc%2Ffull-record%2FWOS:000464454600001","View Full Record in Web of Science")</f>
        <v>View Full Record in Web of Science</v>
      </c>
    </row>
    <row r="385" spans="1:72" x14ac:dyDescent="0.25">
      <c r="A385" t="s">
        <v>72</v>
      </c>
      <c r="B385" t="s">
        <v>6269</v>
      </c>
      <c r="C385" t="s">
        <v>74</v>
      </c>
      <c r="D385" t="s">
        <v>74</v>
      </c>
      <c r="E385" t="s">
        <v>74</v>
      </c>
      <c r="F385" t="s">
        <v>6270</v>
      </c>
      <c r="G385" t="s">
        <v>74</v>
      </c>
      <c r="H385" t="s">
        <v>74</v>
      </c>
      <c r="I385" t="s">
        <v>6271</v>
      </c>
      <c r="J385" t="s">
        <v>77</v>
      </c>
      <c r="K385" t="s">
        <v>74</v>
      </c>
      <c r="L385" t="s">
        <v>74</v>
      </c>
      <c r="M385" t="s">
        <v>78</v>
      </c>
      <c r="N385" t="s">
        <v>79</v>
      </c>
      <c r="O385" t="s">
        <v>74</v>
      </c>
      <c r="P385" t="s">
        <v>74</v>
      </c>
      <c r="Q385" t="s">
        <v>74</v>
      </c>
      <c r="R385" t="s">
        <v>74</v>
      </c>
      <c r="S385" t="s">
        <v>74</v>
      </c>
      <c r="T385" t="s">
        <v>6272</v>
      </c>
      <c r="U385" t="s">
        <v>6273</v>
      </c>
      <c r="V385" t="s">
        <v>6274</v>
      </c>
      <c r="W385" t="s">
        <v>6275</v>
      </c>
      <c r="X385" t="s">
        <v>6276</v>
      </c>
      <c r="Y385" t="s">
        <v>6277</v>
      </c>
      <c r="Z385" t="s">
        <v>6278</v>
      </c>
      <c r="AA385" t="s">
        <v>6279</v>
      </c>
      <c r="AB385" t="s">
        <v>6280</v>
      </c>
      <c r="AC385" t="s">
        <v>6281</v>
      </c>
      <c r="AD385" t="s">
        <v>6282</v>
      </c>
      <c r="AE385" t="s">
        <v>6283</v>
      </c>
      <c r="AF385" t="s">
        <v>74</v>
      </c>
      <c r="AG385">
        <v>28</v>
      </c>
      <c r="AH385">
        <v>23</v>
      </c>
      <c r="AI385">
        <v>24</v>
      </c>
      <c r="AJ385">
        <v>1</v>
      </c>
      <c r="AK385">
        <v>20</v>
      </c>
      <c r="AL385" t="s">
        <v>92</v>
      </c>
      <c r="AM385" t="s">
        <v>93</v>
      </c>
      <c r="AN385" t="s">
        <v>94</v>
      </c>
      <c r="AO385" t="s">
        <v>95</v>
      </c>
      <c r="AP385" t="s">
        <v>96</v>
      </c>
      <c r="AQ385" t="s">
        <v>74</v>
      </c>
      <c r="AR385" t="s">
        <v>97</v>
      </c>
      <c r="AS385" t="s">
        <v>98</v>
      </c>
      <c r="AT385" t="s">
        <v>386</v>
      </c>
      <c r="AU385">
        <v>2019</v>
      </c>
      <c r="AV385">
        <v>64</v>
      </c>
      <c r="AW385">
        <v>8</v>
      </c>
      <c r="AX385" t="s">
        <v>74</v>
      </c>
      <c r="AY385" t="s">
        <v>74</v>
      </c>
      <c r="AZ385" t="s">
        <v>74</v>
      </c>
      <c r="BA385" t="s">
        <v>74</v>
      </c>
      <c r="BB385" t="s">
        <v>74</v>
      </c>
      <c r="BC385" t="s">
        <v>74</v>
      </c>
      <c r="BD385">
        <v>85013</v>
      </c>
      <c r="BE385" t="s">
        <v>6284</v>
      </c>
      <c r="BF385" t="str">
        <f>HYPERLINK("http://dx.doi.org/10.1088/1361-6560/ab1107","http://dx.doi.org/10.1088/1361-6560/ab1107")</f>
        <v>http://dx.doi.org/10.1088/1361-6560/ab1107</v>
      </c>
      <c r="BG385" t="s">
        <v>74</v>
      </c>
      <c r="BH385" t="s">
        <v>74</v>
      </c>
      <c r="BI385">
        <v>10</v>
      </c>
      <c r="BJ385" t="s">
        <v>101</v>
      </c>
      <c r="BK385" t="s">
        <v>102</v>
      </c>
      <c r="BL385" t="s">
        <v>103</v>
      </c>
      <c r="BM385" t="s">
        <v>2159</v>
      </c>
      <c r="BN385">
        <v>30889552</v>
      </c>
      <c r="BO385" t="s">
        <v>270</v>
      </c>
      <c r="BP385" t="s">
        <v>74</v>
      </c>
      <c r="BQ385" t="s">
        <v>74</v>
      </c>
      <c r="BR385" t="s">
        <v>106</v>
      </c>
      <c r="BS385" t="s">
        <v>6285</v>
      </c>
      <c r="BT385" t="str">
        <f>HYPERLINK("https%3A%2F%2Fwww.webofscience.com%2Fwos%2Fwoscc%2Ffull-record%2FWOS:000464179400005","View Full Record in Web of Science")</f>
        <v>View Full Record in Web of Science</v>
      </c>
    </row>
    <row r="386" spans="1:72" x14ac:dyDescent="0.25">
      <c r="A386" t="s">
        <v>72</v>
      </c>
      <c r="B386" t="s">
        <v>6286</v>
      </c>
      <c r="C386" t="s">
        <v>74</v>
      </c>
      <c r="D386" t="s">
        <v>74</v>
      </c>
      <c r="E386" t="s">
        <v>74</v>
      </c>
      <c r="F386" t="s">
        <v>6287</v>
      </c>
      <c r="G386" t="s">
        <v>74</v>
      </c>
      <c r="H386" t="s">
        <v>74</v>
      </c>
      <c r="I386" t="s">
        <v>6288</v>
      </c>
      <c r="J386" t="s">
        <v>77</v>
      </c>
      <c r="K386" t="s">
        <v>74</v>
      </c>
      <c r="L386" t="s">
        <v>74</v>
      </c>
      <c r="M386" t="s">
        <v>78</v>
      </c>
      <c r="N386" t="s">
        <v>79</v>
      </c>
      <c r="O386" t="s">
        <v>74</v>
      </c>
      <c r="P386" t="s">
        <v>74</v>
      </c>
      <c r="Q386" t="s">
        <v>74</v>
      </c>
      <c r="R386" t="s">
        <v>74</v>
      </c>
      <c r="S386" t="s">
        <v>74</v>
      </c>
      <c r="T386" t="s">
        <v>6289</v>
      </c>
      <c r="U386" t="s">
        <v>6290</v>
      </c>
      <c r="V386" t="s">
        <v>6291</v>
      </c>
      <c r="W386" t="s">
        <v>6292</v>
      </c>
      <c r="X386" t="s">
        <v>6293</v>
      </c>
      <c r="Y386" t="s">
        <v>6294</v>
      </c>
      <c r="Z386" t="s">
        <v>1205</v>
      </c>
      <c r="AA386" t="s">
        <v>6295</v>
      </c>
      <c r="AB386" t="s">
        <v>6296</v>
      </c>
      <c r="AC386" t="s">
        <v>6297</v>
      </c>
      <c r="AD386" t="s">
        <v>6298</v>
      </c>
      <c r="AE386" t="s">
        <v>6299</v>
      </c>
      <c r="AF386" t="s">
        <v>74</v>
      </c>
      <c r="AG386">
        <v>35</v>
      </c>
      <c r="AH386">
        <v>20</v>
      </c>
      <c r="AI386">
        <v>23</v>
      </c>
      <c r="AJ386">
        <v>2</v>
      </c>
      <c r="AK386">
        <v>9</v>
      </c>
      <c r="AL386" t="s">
        <v>157</v>
      </c>
      <c r="AM386" t="s">
        <v>93</v>
      </c>
      <c r="AN386" t="s">
        <v>94</v>
      </c>
      <c r="AO386" t="s">
        <v>95</v>
      </c>
      <c r="AP386" t="s">
        <v>96</v>
      </c>
      <c r="AQ386" t="s">
        <v>74</v>
      </c>
      <c r="AR386" t="s">
        <v>97</v>
      </c>
      <c r="AS386" t="s">
        <v>98</v>
      </c>
      <c r="AT386" t="s">
        <v>386</v>
      </c>
      <c r="AU386">
        <v>2019</v>
      </c>
      <c r="AV386">
        <v>64</v>
      </c>
      <c r="AW386">
        <v>7</v>
      </c>
      <c r="AX386" t="s">
        <v>74</v>
      </c>
      <c r="AY386" t="s">
        <v>74</v>
      </c>
      <c r="AZ386" t="s">
        <v>74</v>
      </c>
      <c r="BA386" t="s">
        <v>74</v>
      </c>
      <c r="BB386" t="s">
        <v>74</v>
      </c>
      <c r="BC386" t="s">
        <v>74</v>
      </c>
      <c r="BD386">
        <v>75018</v>
      </c>
      <c r="BE386" t="s">
        <v>6300</v>
      </c>
      <c r="BF386" t="str">
        <f>HYPERLINK("http://dx.doi.org/10.1088/1361-6560/ab0917","http://dx.doi.org/10.1088/1361-6560/ab0917")</f>
        <v>http://dx.doi.org/10.1088/1361-6560/ab0917</v>
      </c>
      <c r="BG386" t="s">
        <v>74</v>
      </c>
      <c r="BH386" t="s">
        <v>74</v>
      </c>
      <c r="BI386">
        <v>14</v>
      </c>
      <c r="BJ386" t="s">
        <v>101</v>
      </c>
      <c r="BK386" t="s">
        <v>102</v>
      </c>
      <c r="BL386" t="s">
        <v>103</v>
      </c>
      <c r="BM386" t="s">
        <v>874</v>
      </c>
      <c r="BN386">
        <v>30790779</v>
      </c>
      <c r="BO386" t="s">
        <v>74</v>
      </c>
      <c r="BP386" t="s">
        <v>74</v>
      </c>
      <c r="BQ386" t="s">
        <v>74</v>
      </c>
      <c r="BR386" t="s">
        <v>106</v>
      </c>
      <c r="BS386" t="s">
        <v>6301</v>
      </c>
      <c r="BT386" t="str">
        <f>HYPERLINK("https%3A%2F%2Fwww.webofscience.com%2Fwos%2Fwoscc%2Ffull-record%2FWOS:000463540400006","View Full Record in Web of Science")</f>
        <v>View Full Record in Web of Science</v>
      </c>
    </row>
    <row r="387" spans="1:72" x14ac:dyDescent="0.25">
      <c r="A387" t="s">
        <v>72</v>
      </c>
      <c r="B387" t="s">
        <v>6302</v>
      </c>
      <c r="C387" t="s">
        <v>74</v>
      </c>
      <c r="D387" t="s">
        <v>74</v>
      </c>
      <c r="E387" t="s">
        <v>74</v>
      </c>
      <c r="F387" t="s">
        <v>6303</v>
      </c>
      <c r="G387" t="s">
        <v>74</v>
      </c>
      <c r="H387" t="s">
        <v>74</v>
      </c>
      <c r="I387" t="s">
        <v>6304</v>
      </c>
      <c r="J387" t="s">
        <v>77</v>
      </c>
      <c r="K387" t="s">
        <v>74</v>
      </c>
      <c r="L387" t="s">
        <v>74</v>
      </c>
      <c r="M387" t="s">
        <v>78</v>
      </c>
      <c r="N387" t="s">
        <v>79</v>
      </c>
      <c r="O387" t="s">
        <v>74</v>
      </c>
      <c r="P387" t="s">
        <v>74</v>
      </c>
      <c r="Q387" t="s">
        <v>74</v>
      </c>
      <c r="R387" t="s">
        <v>74</v>
      </c>
      <c r="S387" t="s">
        <v>74</v>
      </c>
      <c r="T387" t="s">
        <v>6305</v>
      </c>
      <c r="U387" t="s">
        <v>6306</v>
      </c>
      <c r="V387" t="s">
        <v>6307</v>
      </c>
      <c r="W387" t="s">
        <v>6308</v>
      </c>
      <c r="X387" t="s">
        <v>6309</v>
      </c>
      <c r="Y387" t="s">
        <v>6310</v>
      </c>
      <c r="Z387" t="s">
        <v>6311</v>
      </c>
      <c r="AA387" t="s">
        <v>6312</v>
      </c>
      <c r="AB387" t="s">
        <v>6313</v>
      </c>
      <c r="AC387" t="s">
        <v>6314</v>
      </c>
      <c r="AD387" t="s">
        <v>6315</v>
      </c>
      <c r="AE387" t="s">
        <v>6316</v>
      </c>
      <c r="AF387" t="s">
        <v>74</v>
      </c>
      <c r="AG387">
        <v>49</v>
      </c>
      <c r="AH387">
        <v>22</v>
      </c>
      <c r="AI387">
        <v>22</v>
      </c>
      <c r="AJ387">
        <v>0</v>
      </c>
      <c r="AK387">
        <v>6</v>
      </c>
      <c r="AL387" t="s">
        <v>92</v>
      </c>
      <c r="AM387" t="s">
        <v>93</v>
      </c>
      <c r="AN387" t="s">
        <v>94</v>
      </c>
      <c r="AO387" t="s">
        <v>95</v>
      </c>
      <c r="AP387" t="s">
        <v>96</v>
      </c>
      <c r="AQ387" t="s">
        <v>74</v>
      </c>
      <c r="AR387" t="s">
        <v>97</v>
      </c>
      <c r="AS387" t="s">
        <v>98</v>
      </c>
      <c r="AT387" t="s">
        <v>436</v>
      </c>
      <c r="AU387">
        <v>2019</v>
      </c>
      <c r="AV387">
        <v>64</v>
      </c>
      <c r="AW387">
        <v>5</v>
      </c>
      <c r="AX387" t="s">
        <v>74</v>
      </c>
      <c r="AY387" t="s">
        <v>74</v>
      </c>
      <c r="AZ387" t="s">
        <v>74</v>
      </c>
      <c r="BA387" t="s">
        <v>74</v>
      </c>
      <c r="BB387" t="s">
        <v>74</v>
      </c>
      <c r="BC387" t="s">
        <v>74</v>
      </c>
      <c r="BD387">
        <v>55016</v>
      </c>
      <c r="BE387" t="s">
        <v>6317</v>
      </c>
      <c r="BF387" t="str">
        <f>HYPERLINK("http://dx.doi.org/10.1088/1361-6560/ab00c4","http://dx.doi.org/10.1088/1361-6560/ab00c4")</f>
        <v>http://dx.doi.org/10.1088/1361-6560/ab00c4</v>
      </c>
      <c r="BG387" t="s">
        <v>74</v>
      </c>
      <c r="BH387" t="s">
        <v>74</v>
      </c>
      <c r="BI387">
        <v>12</v>
      </c>
      <c r="BJ387" t="s">
        <v>101</v>
      </c>
      <c r="BK387" t="s">
        <v>102</v>
      </c>
      <c r="BL387" t="s">
        <v>103</v>
      </c>
      <c r="BM387" t="s">
        <v>1878</v>
      </c>
      <c r="BN387">
        <v>30669121</v>
      </c>
      <c r="BO387" t="s">
        <v>270</v>
      </c>
      <c r="BP387" t="s">
        <v>74</v>
      </c>
      <c r="BQ387" t="s">
        <v>74</v>
      </c>
      <c r="BR387" t="s">
        <v>106</v>
      </c>
      <c r="BS387" t="s">
        <v>6318</v>
      </c>
      <c r="BT387" t="str">
        <f>HYPERLINK("https%3A%2F%2Fwww.webofscience.com%2Fwos%2Fwoscc%2Ffull-record%2FWOS:000460772200004","View Full Record in Web of Science")</f>
        <v>View Full Record in Web of Science</v>
      </c>
    </row>
    <row r="388" spans="1:72" x14ac:dyDescent="0.25">
      <c r="A388" t="s">
        <v>72</v>
      </c>
      <c r="B388" t="s">
        <v>6319</v>
      </c>
      <c r="C388" t="s">
        <v>74</v>
      </c>
      <c r="D388" t="s">
        <v>74</v>
      </c>
      <c r="E388" t="s">
        <v>74</v>
      </c>
      <c r="F388" t="s">
        <v>6320</v>
      </c>
      <c r="G388" t="s">
        <v>74</v>
      </c>
      <c r="H388" t="s">
        <v>74</v>
      </c>
      <c r="I388" t="s">
        <v>6321</v>
      </c>
      <c r="J388" t="s">
        <v>77</v>
      </c>
      <c r="K388" t="s">
        <v>74</v>
      </c>
      <c r="L388" t="s">
        <v>74</v>
      </c>
      <c r="M388" t="s">
        <v>78</v>
      </c>
      <c r="N388" t="s">
        <v>79</v>
      </c>
      <c r="O388" t="s">
        <v>74</v>
      </c>
      <c r="P388" t="s">
        <v>74</v>
      </c>
      <c r="Q388" t="s">
        <v>74</v>
      </c>
      <c r="R388" t="s">
        <v>74</v>
      </c>
      <c r="S388" t="s">
        <v>74</v>
      </c>
      <c r="T388" t="s">
        <v>6322</v>
      </c>
      <c r="U388" t="s">
        <v>6323</v>
      </c>
      <c r="V388" t="s">
        <v>6324</v>
      </c>
      <c r="W388" t="s">
        <v>6325</v>
      </c>
      <c r="X388" t="s">
        <v>6326</v>
      </c>
      <c r="Y388" t="s">
        <v>6327</v>
      </c>
      <c r="Z388" t="s">
        <v>6328</v>
      </c>
      <c r="AA388" t="s">
        <v>6329</v>
      </c>
      <c r="AB388" t="s">
        <v>6330</v>
      </c>
      <c r="AC388" t="s">
        <v>6331</v>
      </c>
      <c r="AD388" t="s">
        <v>6332</v>
      </c>
      <c r="AE388" t="s">
        <v>6333</v>
      </c>
      <c r="AF388" t="s">
        <v>74</v>
      </c>
      <c r="AG388">
        <v>52</v>
      </c>
      <c r="AH388">
        <v>3</v>
      </c>
      <c r="AI388">
        <v>3</v>
      </c>
      <c r="AJ388">
        <v>0</v>
      </c>
      <c r="AK388">
        <v>3</v>
      </c>
      <c r="AL388" t="s">
        <v>92</v>
      </c>
      <c r="AM388" t="s">
        <v>93</v>
      </c>
      <c r="AN388" t="s">
        <v>94</v>
      </c>
      <c r="AO388" t="s">
        <v>95</v>
      </c>
      <c r="AP388" t="s">
        <v>96</v>
      </c>
      <c r="AQ388" t="s">
        <v>74</v>
      </c>
      <c r="AR388" t="s">
        <v>97</v>
      </c>
      <c r="AS388" t="s">
        <v>98</v>
      </c>
      <c r="AT388" t="s">
        <v>646</v>
      </c>
      <c r="AU388">
        <v>2019</v>
      </c>
      <c r="AV388">
        <v>64</v>
      </c>
      <c r="AW388">
        <v>3</v>
      </c>
      <c r="AX388" t="s">
        <v>74</v>
      </c>
      <c r="AY388" t="s">
        <v>74</v>
      </c>
      <c r="AZ388" t="s">
        <v>74</v>
      </c>
      <c r="BA388" t="s">
        <v>74</v>
      </c>
      <c r="BB388" t="s">
        <v>74</v>
      </c>
      <c r="BC388" t="s">
        <v>74</v>
      </c>
      <c r="BD388">
        <v>35022</v>
      </c>
      <c r="BE388" t="s">
        <v>6334</v>
      </c>
      <c r="BF388" t="str">
        <f>HYPERLINK("http://dx.doi.org/10.1088/1361-6560/aafaaf","http://dx.doi.org/10.1088/1361-6560/aafaaf")</f>
        <v>http://dx.doi.org/10.1088/1361-6560/aafaaf</v>
      </c>
      <c r="BG388" t="s">
        <v>74</v>
      </c>
      <c r="BH388" t="s">
        <v>74</v>
      </c>
      <c r="BI388">
        <v>12</v>
      </c>
      <c r="BJ388" t="s">
        <v>101</v>
      </c>
      <c r="BK388" t="s">
        <v>102</v>
      </c>
      <c r="BL388" t="s">
        <v>103</v>
      </c>
      <c r="BM388" t="s">
        <v>4021</v>
      </c>
      <c r="BN388">
        <v>30577034</v>
      </c>
      <c r="BO388" t="s">
        <v>270</v>
      </c>
      <c r="BP388" t="s">
        <v>74</v>
      </c>
      <c r="BQ388" t="s">
        <v>74</v>
      </c>
      <c r="BR388" t="s">
        <v>106</v>
      </c>
      <c r="BS388" t="s">
        <v>6335</v>
      </c>
      <c r="BT388" t="str">
        <f>HYPERLINK("https%3A%2F%2Fwww.webofscience.com%2Fwos%2Fwoscc%2Ffull-record%2FWOS:000457721000002","View Full Record in Web of Science")</f>
        <v>View Full Record in Web of Science</v>
      </c>
    </row>
    <row r="389" spans="1:72" x14ac:dyDescent="0.25">
      <c r="A389" t="s">
        <v>72</v>
      </c>
      <c r="B389" t="s">
        <v>6336</v>
      </c>
      <c r="C389" t="s">
        <v>74</v>
      </c>
      <c r="D389" t="s">
        <v>74</v>
      </c>
      <c r="E389" t="s">
        <v>74</v>
      </c>
      <c r="F389" t="s">
        <v>6337</v>
      </c>
      <c r="G389" t="s">
        <v>74</v>
      </c>
      <c r="H389" t="s">
        <v>74</v>
      </c>
      <c r="I389" t="s">
        <v>6338</v>
      </c>
      <c r="J389" t="s">
        <v>77</v>
      </c>
      <c r="K389" t="s">
        <v>74</v>
      </c>
      <c r="L389" t="s">
        <v>74</v>
      </c>
      <c r="M389" t="s">
        <v>78</v>
      </c>
      <c r="N389" t="s">
        <v>79</v>
      </c>
      <c r="O389" t="s">
        <v>74</v>
      </c>
      <c r="P389" t="s">
        <v>74</v>
      </c>
      <c r="Q389" t="s">
        <v>74</v>
      </c>
      <c r="R389" t="s">
        <v>74</v>
      </c>
      <c r="S389" t="s">
        <v>74</v>
      </c>
      <c r="T389" t="s">
        <v>6339</v>
      </c>
      <c r="U389" t="s">
        <v>6340</v>
      </c>
      <c r="V389" t="s">
        <v>6341</v>
      </c>
      <c r="W389" t="s">
        <v>6342</v>
      </c>
      <c r="X389" t="s">
        <v>1416</v>
      </c>
      <c r="Y389" t="s">
        <v>1417</v>
      </c>
      <c r="Z389" t="s">
        <v>1418</v>
      </c>
      <c r="AA389" t="s">
        <v>74</v>
      </c>
      <c r="AB389" t="s">
        <v>6343</v>
      </c>
      <c r="AC389" t="s">
        <v>74</v>
      </c>
      <c r="AD389" t="s">
        <v>74</v>
      </c>
      <c r="AE389" t="s">
        <v>74</v>
      </c>
      <c r="AF389" t="s">
        <v>74</v>
      </c>
      <c r="AG389">
        <v>30</v>
      </c>
      <c r="AH389">
        <v>7</v>
      </c>
      <c r="AI389">
        <v>8</v>
      </c>
      <c r="AJ389">
        <v>0</v>
      </c>
      <c r="AK389">
        <v>2</v>
      </c>
      <c r="AL389" t="s">
        <v>92</v>
      </c>
      <c r="AM389" t="s">
        <v>93</v>
      </c>
      <c r="AN389" t="s">
        <v>94</v>
      </c>
      <c r="AO389" t="s">
        <v>95</v>
      </c>
      <c r="AP389" t="s">
        <v>96</v>
      </c>
      <c r="AQ389" t="s">
        <v>74</v>
      </c>
      <c r="AR389" t="s">
        <v>97</v>
      </c>
      <c r="AS389" t="s">
        <v>98</v>
      </c>
      <c r="AT389" t="s">
        <v>646</v>
      </c>
      <c r="AU389">
        <v>2019</v>
      </c>
      <c r="AV389">
        <v>64</v>
      </c>
      <c r="AW389">
        <v>3</v>
      </c>
      <c r="AX389" t="s">
        <v>74</v>
      </c>
      <c r="AY389" t="s">
        <v>74</v>
      </c>
      <c r="AZ389" t="s">
        <v>74</v>
      </c>
      <c r="BA389" t="s">
        <v>74</v>
      </c>
      <c r="BB389" t="s">
        <v>74</v>
      </c>
      <c r="BC389" t="s">
        <v>74</v>
      </c>
      <c r="BD389">
        <v>35002</v>
      </c>
      <c r="BE389" t="s">
        <v>6344</v>
      </c>
      <c r="BF389" t="str">
        <f>HYPERLINK("http://dx.doi.org/10.1088/1361-6560/aaf9fe","http://dx.doi.org/10.1088/1361-6560/aaf9fe")</f>
        <v>http://dx.doi.org/10.1088/1361-6560/aaf9fe</v>
      </c>
      <c r="BG389" t="s">
        <v>74</v>
      </c>
      <c r="BH389" t="s">
        <v>74</v>
      </c>
      <c r="BI389">
        <v>17</v>
      </c>
      <c r="BJ389" t="s">
        <v>101</v>
      </c>
      <c r="BK389" t="s">
        <v>102</v>
      </c>
      <c r="BL389" t="s">
        <v>103</v>
      </c>
      <c r="BM389" t="s">
        <v>648</v>
      </c>
      <c r="BN389">
        <v>30566906</v>
      </c>
      <c r="BO389" t="s">
        <v>74</v>
      </c>
      <c r="BP389" t="s">
        <v>74</v>
      </c>
      <c r="BQ389" t="s">
        <v>74</v>
      </c>
      <c r="BR389" t="s">
        <v>106</v>
      </c>
      <c r="BS389" t="s">
        <v>6345</v>
      </c>
      <c r="BT389" t="str">
        <f>HYPERLINK("https%3A%2F%2Fwww.webofscience.com%2Fwos%2Fwoscc%2Ffull-record%2FWOS:000456840500001","View Full Record in Web of Science")</f>
        <v>View Full Record in Web of Science</v>
      </c>
    </row>
    <row r="390" spans="1:72" x14ac:dyDescent="0.25">
      <c r="A390" t="s">
        <v>72</v>
      </c>
      <c r="B390" t="s">
        <v>6346</v>
      </c>
      <c r="C390" t="s">
        <v>74</v>
      </c>
      <c r="D390" t="s">
        <v>74</v>
      </c>
      <c r="E390" t="s">
        <v>74</v>
      </c>
      <c r="F390" t="s">
        <v>6347</v>
      </c>
      <c r="G390" t="s">
        <v>74</v>
      </c>
      <c r="H390" t="s">
        <v>74</v>
      </c>
      <c r="I390" t="s">
        <v>6348</v>
      </c>
      <c r="J390" t="s">
        <v>77</v>
      </c>
      <c r="K390" t="s">
        <v>74</v>
      </c>
      <c r="L390" t="s">
        <v>74</v>
      </c>
      <c r="M390" t="s">
        <v>78</v>
      </c>
      <c r="N390" t="s">
        <v>79</v>
      </c>
      <c r="O390" t="s">
        <v>74</v>
      </c>
      <c r="P390" t="s">
        <v>74</v>
      </c>
      <c r="Q390" t="s">
        <v>74</v>
      </c>
      <c r="R390" t="s">
        <v>74</v>
      </c>
      <c r="S390" t="s">
        <v>74</v>
      </c>
      <c r="T390" t="s">
        <v>6349</v>
      </c>
      <c r="U390" t="s">
        <v>6350</v>
      </c>
      <c r="V390" t="s">
        <v>6351</v>
      </c>
      <c r="W390" t="s">
        <v>6352</v>
      </c>
      <c r="X390" t="s">
        <v>6353</v>
      </c>
      <c r="Y390" t="s">
        <v>6354</v>
      </c>
      <c r="Z390" t="s">
        <v>6355</v>
      </c>
      <c r="AA390" t="s">
        <v>6356</v>
      </c>
      <c r="AB390" t="s">
        <v>6357</v>
      </c>
      <c r="AC390" t="s">
        <v>6358</v>
      </c>
      <c r="AD390" t="s">
        <v>6359</v>
      </c>
      <c r="AE390" t="s">
        <v>6360</v>
      </c>
      <c r="AF390" t="s">
        <v>74</v>
      </c>
      <c r="AG390">
        <v>52</v>
      </c>
      <c r="AH390">
        <v>121</v>
      </c>
      <c r="AI390">
        <v>128</v>
      </c>
      <c r="AJ390">
        <v>1</v>
      </c>
      <c r="AK390">
        <v>87</v>
      </c>
      <c r="AL390" t="s">
        <v>157</v>
      </c>
      <c r="AM390" t="s">
        <v>93</v>
      </c>
      <c r="AN390" t="s">
        <v>94</v>
      </c>
      <c r="AO390" t="s">
        <v>95</v>
      </c>
      <c r="AP390" t="s">
        <v>96</v>
      </c>
      <c r="AQ390" t="s">
        <v>74</v>
      </c>
      <c r="AR390" t="s">
        <v>97</v>
      </c>
      <c r="AS390" t="s">
        <v>98</v>
      </c>
      <c r="AT390" t="s">
        <v>471</v>
      </c>
      <c r="AU390">
        <v>2019</v>
      </c>
      <c r="AV390">
        <v>64</v>
      </c>
      <c r="AW390">
        <v>1</v>
      </c>
      <c r="AX390" t="s">
        <v>74</v>
      </c>
      <c r="AY390" t="s">
        <v>74</v>
      </c>
      <c r="AZ390" t="s">
        <v>74</v>
      </c>
      <c r="BA390" t="s">
        <v>74</v>
      </c>
      <c r="BB390" t="s">
        <v>74</v>
      </c>
      <c r="BC390" t="s">
        <v>74</v>
      </c>
      <c r="BD390">
        <v>15011</v>
      </c>
      <c r="BE390" t="s">
        <v>6361</v>
      </c>
      <c r="BF390" t="str">
        <f>HYPERLINK("http://dx.doi.org/10.1088/1361-6560/aaf44b","http://dx.doi.org/10.1088/1361-6560/aaf44b")</f>
        <v>http://dx.doi.org/10.1088/1361-6560/aaf44b</v>
      </c>
      <c r="BG390" t="s">
        <v>74</v>
      </c>
      <c r="BH390" t="s">
        <v>74</v>
      </c>
      <c r="BI390">
        <v>15</v>
      </c>
      <c r="BJ390" t="s">
        <v>101</v>
      </c>
      <c r="BK390" t="s">
        <v>102</v>
      </c>
      <c r="BL390" t="s">
        <v>103</v>
      </c>
      <c r="BM390" t="s">
        <v>1597</v>
      </c>
      <c r="BN390">
        <v>30523964</v>
      </c>
      <c r="BO390" t="s">
        <v>105</v>
      </c>
      <c r="BP390" t="s">
        <v>74</v>
      </c>
      <c r="BQ390" t="s">
        <v>74</v>
      </c>
      <c r="BR390" t="s">
        <v>106</v>
      </c>
      <c r="BS390" t="s">
        <v>6362</v>
      </c>
      <c r="BT390" t="str">
        <f>HYPERLINK("https%3A%2F%2Fwww.webofscience.com%2Fwos%2Fwoscc%2Ffull-record%2FWOS:000454239200004","View Full Record in Web of Science")</f>
        <v>View Full Record in Web of Science</v>
      </c>
    </row>
    <row r="391" spans="1:72" x14ac:dyDescent="0.25">
      <c r="A391" t="s">
        <v>72</v>
      </c>
      <c r="B391" t="s">
        <v>6363</v>
      </c>
      <c r="C391" t="s">
        <v>74</v>
      </c>
      <c r="D391" t="s">
        <v>74</v>
      </c>
      <c r="E391" t="s">
        <v>74</v>
      </c>
      <c r="F391" t="s">
        <v>6364</v>
      </c>
      <c r="G391" t="s">
        <v>74</v>
      </c>
      <c r="H391" t="s">
        <v>74</v>
      </c>
      <c r="I391" t="s">
        <v>6365</v>
      </c>
      <c r="J391" t="s">
        <v>77</v>
      </c>
      <c r="K391" t="s">
        <v>74</v>
      </c>
      <c r="L391" t="s">
        <v>74</v>
      </c>
      <c r="M391" t="s">
        <v>78</v>
      </c>
      <c r="N391" t="s">
        <v>79</v>
      </c>
      <c r="O391" t="s">
        <v>74</v>
      </c>
      <c r="P391" t="s">
        <v>74</v>
      </c>
      <c r="Q391" t="s">
        <v>74</v>
      </c>
      <c r="R391" t="s">
        <v>74</v>
      </c>
      <c r="S391" t="s">
        <v>74</v>
      </c>
      <c r="T391" t="s">
        <v>6366</v>
      </c>
      <c r="U391" t="s">
        <v>6367</v>
      </c>
      <c r="V391" t="s">
        <v>6368</v>
      </c>
      <c r="W391" t="s">
        <v>6369</v>
      </c>
      <c r="X391" t="s">
        <v>6370</v>
      </c>
      <c r="Y391" t="s">
        <v>6371</v>
      </c>
      <c r="Z391" t="s">
        <v>6372</v>
      </c>
      <c r="AA391" t="s">
        <v>74</v>
      </c>
      <c r="AB391" t="s">
        <v>74</v>
      </c>
      <c r="AC391" t="s">
        <v>6373</v>
      </c>
      <c r="AD391" t="s">
        <v>6374</v>
      </c>
      <c r="AE391" t="s">
        <v>6375</v>
      </c>
      <c r="AF391" t="s">
        <v>74</v>
      </c>
      <c r="AG391">
        <v>51</v>
      </c>
      <c r="AH391">
        <v>6</v>
      </c>
      <c r="AI391">
        <v>6</v>
      </c>
      <c r="AJ391">
        <v>0</v>
      </c>
      <c r="AK391">
        <v>9</v>
      </c>
      <c r="AL391" t="s">
        <v>92</v>
      </c>
      <c r="AM391" t="s">
        <v>93</v>
      </c>
      <c r="AN391" t="s">
        <v>94</v>
      </c>
      <c r="AO391" t="s">
        <v>95</v>
      </c>
      <c r="AP391" t="s">
        <v>96</v>
      </c>
      <c r="AQ391" t="s">
        <v>74</v>
      </c>
      <c r="AR391" t="s">
        <v>97</v>
      </c>
      <c r="AS391" t="s">
        <v>98</v>
      </c>
      <c r="AT391" t="s">
        <v>137</v>
      </c>
      <c r="AU391">
        <v>2019</v>
      </c>
      <c r="AV391">
        <v>64</v>
      </c>
      <c r="AW391">
        <v>21</v>
      </c>
      <c r="AX391" t="s">
        <v>74</v>
      </c>
      <c r="AY391" t="s">
        <v>74</v>
      </c>
      <c r="AZ391" t="s">
        <v>74</v>
      </c>
      <c r="BA391" t="s">
        <v>74</v>
      </c>
      <c r="BB391" t="s">
        <v>74</v>
      </c>
      <c r="BC391" t="s">
        <v>74</v>
      </c>
      <c r="BD391">
        <v>215002</v>
      </c>
      <c r="BE391" t="s">
        <v>6376</v>
      </c>
      <c r="BF391" t="str">
        <f>HYPERLINK("http://dx.doi.org/10.1088/1361-6560/ab3fcd","http://dx.doi.org/10.1088/1361-6560/ab3fcd")</f>
        <v>http://dx.doi.org/10.1088/1361-6560/ab3fcd</v>
      </c>
      <c r="BG391" t="s">
        <v>74</v>
      </c>
      <c r="BH391" t="s">
        <v>74</v>
      </c>
      <c r="BI391">
        <v>21</v>
      </c>
      <c r="BJ391" t="s">
        <v>101</v>
      </c>
      <c r="BK391" t="s">
        <v>102</v>
      </c>
      <c r="BL391" t="s">
        <v>103</v>
      </c>
      <c r="BM391" t="s">
        <v>708</v>
      </c>
      <c r="BN391">
        <v>31470440</v>
      </c>
      <c r="BO391" t="s">
        <v>74</v>
      </c>
      <c r="BP391" t="s">
        <v>74</v>
      </c>
      <c r="BQ391" t="s">
        <v>74</v>
      </c>
      <c r="BR391" t="s">
        <v>106</v>
      </c>
      <c r="BS391" t="s">
        <v>6377</v>
      </c>
      <c r="BT391" t="str">
        <f>HYPERLINK("https%3A%2F%2Fwww.webofscience.com%2Fwos%2Fwoscc%2Ffull-record%2FWOS:000518764400002","View Full Record in Web of Science")</f>
        <v>View Full Record in Web of Science</v>
      </c>
    </row>
    <row r="392" spans="1:72" x14ac:dyDescent="0.25">
      <c r="A392" t="s">
        <v>72</v>
      </c>
      <c r="B392" t="s">
        <v>6378</v>
      </c>
      <c r="C392" t="s">
        <v>74</v>
      </c>
      <c r="D392" t="s">
        <v>74</v>
      </c>
      <c r="E392" t="s">
        <v>74</v>
      </c>
      <c r="F392" t="s">
        <v>6379</v>
      </c>
      <c r="G392" t="s">
        <v>74</v>
      </c>
      <c r="H392" t="s">
        <v>74</v>
      </c>
      <c r="I392" t="s">
        <v>6380</v>
      </c>
      <c r="J392" t="s">
        <v>77</v>
      </c>
      <c r="K392" t="s">
        <v>74</v>
      </c>
      <c r="L392" t="s">
        <v>74</v>
      </c>
      <c r="M392" t="s">
        <v>78</v>
      </c>
      <c r="N392" t="s">
        <v>79</v>
      </c>
      <c r="O392" t="s">
        <v>74</v>
      </c>
      <c r="P392" t="s">
        <v>74</v>
      </c>
      <c r="Q392" t="s">
        <v>74</v>
      </c>
      <c r="R392" t="s">
        <v>74</v>
      </c>
      <c r="S392" t="s">
        <v>74</v>
      </c>
      <c r="T392" t="s">
        <v>6381</v>
      </c>
      <c r="U392" t="s">
        <v>6382</v>
      </c>
      <c r="V392" t="s">
        <v>6383</v>
      </c>
      <c r="W392" t="s">
        <v>6384</v>
      </c>
      <c r="X392" t="s">
        <v>6385</v>
      </c>
      <c r="Y392" t="s">
        <v>6386</v>
      </c>
      <c r="Z392" t="s">
        <v>6387</v>
      </c>
      <c r="AA392" t="s">
        <v>6388</v>
      </c>
      <c r="AB392" t="s">
        <v>6389</v>
      </c>
      <c r="AC392" t="s">
        <v>6390</v>
      </c>
      <c r="AD392" t="s">
        <v>6391</v>
      </c>
      <c r="AE392" t="s">
        <v>6392</v>
      </c>
      <c r="AF392" t="s">
        <v>74</v>
      </c>
      <c r="AG392">
        <v>30</v>
      </c>
      <c r="AH392">
        <v>6</v>
      </c>
      <c r="AI392">
        <v>7</v>
      </c>
      <c r="AJ392">
        <v>0</v>
      </c>
      <c r="AK392">
        <v>6</v>
      </c>
      <c r="AL392" t="s">
        <v>92</v>
      </c>
      <c r="AM392" t="s">
        <v>93</v>
      </c>
      <c r="AN392" t="s">
        <v>94</v>
      </c>
      <c r="AO392" t="s">
        <v>95</v>
      </c>
      <c r="AP392" t="s">
        <v>96</v>
      </c>
      <c r="AQ392" t="s">
        <v>74</v>
      </c>
      <c r="AR392" t="s">
        <v>97</v>
      </c>
      <c r="AS392" t="s">
        <v>98</v>
      </c>
      <c r="AT392" t="s">
        <v>509</v>
      </c>
      <c r="AU392">
        <v>2019</v>
      </c>
      <c r="AV392">
        <v>64</v>
      </c>
      <c r="AW392">
        <v>20</v>
      </c>
      <c r="AX392" t="s">
        <v>74</v>
      </c>
      <c r="AY392" t="s">
        <v>74</v>
      </c>
      <c r="AZ392" t="s">
        <v>74</v>
      </c>
      <c r="BA392" t="s">
        <v>74</v>
      </c>
      <c r="BB392" t="s">
        <v>74</v>
      </c>
      <c r="BC392" t="s">
        <v>74</v>
      </c>
      <c r="BD392">
        <v>205005</v>
      </c>
      <c r="BE392" t="s">
        <v>6393</v>
      </c>
      <c r="BF392" t="str">
        <f>HYPERLINK("http://dx.doi.org/10.1088/1361-6560/ab448f","http://dx.doi.org/10.1088/1361-6560/ab448f")</f>
        <v>http://dx.doi.org/10.1088/1361-6560/ab448f</v>
      </c>
      <c r="BG392" t="s">
        <v>74</v>
      </c>
      <c r="BH392" t="s">
        <v>74</v>
      </c>
      <c r="BI392">
        <v>9</v>
      </c>
      <c r="BJ392" t="s">
        <v>101</v>
      </c>
      <c r="BK392" t="s">
        <v>102</v>
      </c>
      <c r="BL392" t="s">
        <v>103</v>
      </c>
      <c r="BM392" t="s">
        <v>741</v>
      </c>
      <c r="BN392">
        <v>31519016</v>
      </c>
      <c r="BO392" t="s">
        <v>74</v>
      </c>
      <c r="BP392" t="s">
        <v>74</v>
      </c>
      <c r="BQ392" t="s">
        <v>74</v>
      </c>
      <c r="BR392" t="s">
        <v>106</v>
      </c>
      <c r="BS392" t="s">
        <v>6394</v>
      </c>
      <c r="BT392" t="str">
        <f>HYPERLINK("https%3A%2F%2Fwww.webofscience.com%2Fwos%2Fwoscc%2Ffull-record%2FWOS:000500247900005","View Full Record in Web of Science")</f>
        <v>View Full Record in Web of Science</v>
      </c>
    </row>
    <row r="393" spans="1:72" x14ac:dyDescent="0.25">
      <c r="A393" t="s">
        <v>72</v>
      </c>
      <c r="B393" t="s">
        <v>6395</v>
      </c>
      <c r="C393" t="s">
        <v>74</v>
      </c>
      <c r="D393" t="s">
        <v>74</v>
      </c>
      <c r="E393" t="s">
        <v>74</v>
      </c>
      <c r="F393" t="s">
        <v>6396</v>
      </c>
      <c r="G393" t="s">
        <v>74</v>
      </c>
      <c r="H393" t="s">
        <v>74</v>
      </c>
      <c r="I393" t="s">
        <v>6397</v>
      </c>
      <c r="J393" t="s">
        <v>77</v>
      </c>
      <c r="K393" t="s">
        <v>74</v>
      </c>
      <c r="L393" t="s">
        <v>74</v>
      </c>
      <c r="M393" t="s">
        <v>78</v>
      </c>
      <c r="N393" t="s">
        <v>79</v>
      </c>
      <c r="O393" t="s">
        <v>74</v>
      </c>
      <c r="P393" t="s">
        <v>74</v>
      </c>
      <c r="Q393" t="s">
        <v>74</v>
      </c>
      <c r="R393" t="s">
        <v>74</v>
      </c>
      <c r="S393" t="s">
        <v>74</v>
      </c>
      <c r="T393" t="s">
        <v>6398</v>
      </c>
      <c r="U393" t="s">
        <v>6399</v>
      </c>
      <c r="V393" t="s">
        <v>6400</v>
      </c>
      <c r="W393" t="s">
        <v>6401</v>
      </c>
      <c r="X393" t="s">
        <v>1645</v>
      </c>
      <c r="Y393" t="s">
        <v>6402</v>
      </c>
      <c r="Z393" t="s">
        <v>6403</v>
      </c>
      <c r="AA393" t="s">
        <v>6404</v>
      </c>
      <c r="AB393" t="s">
        <v>1649</v>
      </c>
      <c r="AC393" t="s">
        <v>6405</v>
      </c>
      <c r="AD393" t="s">
        <v>6405</v>
      </c>
      <c r="AE393" t="s">
        <v>6406</v>
      </c>
      <c r="AF393" t="s">
        <v>74</v>
      </c>
      <c r="AG393">
        <v>16</v>
      </c>
      <c r="AH393">
        <v>12</v>
      </c>
      <c r="AI393">
        <v>12</v>
      </c>
      <c r="AJ393">
        <v>0</v>
      </c>
      <c r="AK393">
        <v>4</v>
      </c>
      <c r="AL393" t="s">
        <v>92</v>
      </c>
      <c r="AM393" t="s">
        <v>93</v>
      </c>
      <c r="AN393" t="s">
        <v>94</v>
      </c>
      <c r="AO393" t="s">
        <v>95</v>
      </c>
      <c r="AP393" t="s">
        <v>96</v>
      </c>
      <c r="AQ393" t="s">
        <v>74</v>
      </c>
      <c r="AR393" t="s">
        <v>97</v>
      </c>
      <c r="AS393" t="s">
        <v>98</v>
      </c>
      <c r="AT393" t="s">
        <v>509</v>
      </c>
      <c r="AU393">
        <v>2019</v>
      </c>
      <c r="AV393">
        <v>64</v>
      </c>
      <c r="AW393">
        <v>20</v>
      </c>
      <c r="AX393" t="s">
        <v>74</v>
      </c>
      <c r="AY393" t="s">
        <v>74</v>
      </c>
      <c r="AZ393" t="s">
        <v>74</v>
      </c>
      <c r="BA393" t="s">
        <v>74</v>
      </c>
      <c r="BB393" t="s">
        <v>74</v>
      </c>
      <c r="BC393" t="s">
        <v>74</v>
      </c>
      <c r="BD393">
        <v>205018</v>
      </c>
      <c r="BE393" t="s">
        <v>6407</v>
      </c>
      <c r="BF393" t="str">
        <f>HYPERLINK("http://dx.doi.org/10.1088/1361-6560/ab4336","http://dx.doi.org/10.1088/1361-6560/ab4336")</f>
        <v>http://dx.doi.org/10.1088/1361-6560/ab4336</v>
      </c>
      <c r="BG393" t="s">
        <v>74</v>
      </c>
      <c r="BH393" t="s">
        <v>74</v>
      </c>
      <c r="BI393">
        <v>11</v>
      </c>
      <c r="BJ393" t="s">
        <v>101</v>
      </c>
      <c r="BK393" t="s">
        <v>102</v>
      </c>
      <c r="BL393" t="s">
        <v>103</v>
      </c>
      <c r="BM393" t="s">
        <v>741</v>
      </c>
      <c r="BN393">
        <v>31505481</v>
      </c>
      <c r="BO393" t="s">
        <v>74</v>
      </c>
      <c r="BP393" t="s">
        <v>74</v>
      </c>
      <c r="BQ393" t="s">
        <v>74</v>
      </c>
      <c r="BR393" t="s">
        <v>106</v>
      </c>
      <c r="BS393" t="s">
        <v>6408</v>
      </c>
      <c r="BT393" t="str">
        <f>HYPERLINK("https%3A%2F%2Fwww.webofscience.com%2Fwos%2Fwoscc%2Ffull-record%2FWOS:000500247900018","View Full Record in Web of Science")</f>
        <v>View Full Record in Web of Science</v>
      </c>
    </row>
    <row r="394" spans="1:72" x14ac:dyDescent="0.25">
      <c r="A394" t="s">
        <v>72</v>
      </c>
      <c r="B394" t="s">
        <v>6409</v>
      </c>
      <c r="C394" t="s">
        <v>74</v>
      </c>
      <c r="D394" t="s">
        <v>74</v>
      </c>
      <c r="E394" t="s">
        <v>74</v>
      </c>
      <c r="F394" t="s">
        <v>6410</v>
      </c>
      <c r="G394" t="s">
        <v>74</v>
      </c>
      <c r="H394" t="s">
        <v>74</v>
      </c>
      <c r="I394" t="s">
        <v>6411</v>
      </c>
      <c r="J394" t="s">
        <v>77</v>
      </c>
      <c r="K394" t="s">
        <v>74</v>
      </c>
      <c r="L394" t="s">
        <v>74</v>
      </c>
      <c r="M394" t="s">
        <v>78</v>
      </c>
      <c r="N394" t="s">
        <v>79</v>
      </c>
      <c r="O394" t="s">
        <v>74</v>
      </c>
      <c r="P394" t="s">
        <v>74</v>
      </c>
      <c r="Q394" t="s">
        <v>74</v>
      </c>
      <c r="R394" t="s">
        <v>74</v>
      </c>
      <c r="S394" t="s">
        <v>74</v>
      </c>
      <c r="T394" t="s">
        <v>6412</v>
      </c>
      <c r="U394" t="s">
        <v>6413</v>
      </c>
      <c r="V394" t="s">
        <v>6414</v>
      </c>
      <c r="W394" t="s">
        <v>6415</v>
      </c>
      <c r="X394" t="s">
        <v>6416</v>
      </c>
      <c r="Y394" t="s">
        <v>6417</v>
      </c>
      <c r="Z394" t="s">
        <v>6418</v>
      </c>
      <c r="AA394" t="s">
        <v>74</v>
      </c>
      <c r="AB394" t="s">
        <v>6419</v>
      </c>
      <c r="AC394" t="s">
        <v>6420</v>
      </c>
      <c r="AD394" t="s">
        <v>6420</v>
      </c>
      <c r="AE394" t="s">
        <v>6421</v>
      </c>
      <c r="AF394" t="s">
        <v>74</v>
      </c>
      <c r="AG394">
        <v>33</v>
      </c>
      <c r="AH394">
        <v>6</v>
      </c>
      <c r="AI394">
        <v>6</v>
      </c>
      <c r="AJ394">
        <v>0</v>
      </c>
      <c r="AK394">
        <v>9</v>
      </c>
      <c r="AL394" t="s">
        <v>92</v>
      </c>
      <c r="AM394" t="s">
        <v>93</v>
      </c>
      <c r="AN394" t="s">
        <v>94</v>
      </c>
      <c r="AO394" t="s">
        <v>95</v>
      </c>
      <c r="AP394" t="s">
        <v>96</v>
      </c>
      <c r="AQ394" t="s">
        <v>74</v>
      </c>
      <c r="AR394" t="s">
        <v>97</v>
      </c>
      <c r="AS394" t="s">
        <v>98</v>
      </c>
      <c r="AT394" t="s">
        <v>509</v>
      </c>
      <c r="AU394">
        <v>2019</v>
      </c>
      <c r="AV394">
        <v>64</v>
      </c>
      <c r="AW394">
        <v>19</v>
      </c>
      <c r="AX394" t="s">
        <v>74</v>
      </c>
      <c r="AY394" t="s">
        <v>74</v>
      </c>
      <c r="AZ394" t="s">
        <v>74</v>
      </c>
      <c r="BA394" t="s">
        <v>74</v>
      </c>
      <c r="BB394" t="s">
        <v>74</v>
      </c>
      <c r="BC394" t="s">
        <v>74</v>
      </c>
      <c r="BD394">
        <v>195001</v>
      </c>
      <c r="BE394" t="s">
        <v>6422</v>
      </c>
      <c r="BF394" t="str">
        <f>HYPERLINK("http://dx.doi.org/10.1088/1361-6560/ab369a","http://dx.doi.org/10.1088/1361-6560/ab369a")</f>
        <v>http://dx.doi.org/10.1088/1361-6560/ab369a</v>
      </c>
      <c r="BG394" t="s">
        <v>74</v>
      </c>
      <c r="BH394" t="s">
        <v>74</v>
      </c>
      <c r="BI394">
        <v>9</v>
      </c>
      <c r="BJ394" t="s">
        <v>101</v>
      </c>
      <c r="BK394" t="s">
        <v>102</v>
      </c>
      <c r="BL394" t="s">
        <v>103</v>
      </c>
      <c r="BM394" t="s">
        <v>511</v>
      </c>
      <c r="BN394">
        <v>31357190</v>
      </c>
      <c r="BO394" t="s">
        <v>140</v>
      </c>
      <c r="BP394" t="s">
        <v>74</v>
      </c>
      <c r="BQ394" t="s">
        <v>74</v>
      </c>
      <c r="BR394" t="s">
        <v>106</v>
      </c>
      <c r="BS394" t="s">
        <v>6423</v>
      </c>
      <c r="BT394" t="str">
        <f>HYPERLINK("https%3A%2F%2Fwww.webofscience.com%2Fwos%2Fwoscc%2Ffull-record%2FWOS:000487555100001","View Full Record in Web of Science")</f>
        <v>View Full Record in Web of Science</v>
      </c>
    </row>
    <row r="395" spans="1:72" x14ac:dyDescent="0.25">
      <c r="A395" t="s">
        <v>72</v>
      </c>
      <c r="B395" t="s">
        <v>6424</v>
      </c>
      <c r="C395" t="s">
        <v>74</v>
      </c>
      <c r="D395" t="s">
        <v>74</v>
      </c>
      <c r="E395" t="s">
        <v>74</v>
      </c>
      <c r="F395" t="s">
        <v>6425</v>
      </c>
      <c r="G395" t="s">
        <v>74</v>
      </c>
      <c r="H395" t="s">
        <v>74</v>
      </c>
      <c r="I395" t="s">
        <v>6426</v>
      </c>
      <c r="J395" t="s">
        <v>77</v>
      </c>
      <c r="K395" t="s">
        <v>74</v>
      </c>
      <c r="L395" t="s">
        <v>74</v>
      </c>
      <c r="M395" t="s">
        <v>78</v>
      </c>
      <c r="N395" t="s">
        <v>79</v>
      </c>
      <c r="O395" t="s">
        <v>74</v>
      </c>
      <c r="P395" t="s">
        <v>74</v>
      </c>
      <c r="Q395" t="s">
        <v>74</v>
      </c>
      <c r="R395" t="s">
        <v>74</v>
      </c>
      <c r="S395" t="s">
        <v>74</v>
      </c>
      <c r="T395" t="s">
        <v>6427</v>
      </c>
      <c r="U395" t="s">
        <v>6428</v>
      </c>
      <c r="V395" t="s">
        <v>6429</v>
      </c>
      <c r="W395" t="s">
        <v>6430</v>
      </c>
      <c r="X395" t="s">
        <v>6431</v>
      </c>
      <c r="Y395" t="s">
        <v>6432</v>
      </c>
      <c r="Z395" t="s">
        <v>6433</v>
      </c>
      <c r="AA395" t="s">
        <v>6434</v>
      </c>
      <c r="AB395" t="s">
        <v>6435</v>
      </c>
      <c r="AC395" t="s">
        <v>74</v>
      </c>
      <c r="AD395" t="s">
        <v>74</v>
      </c>
      <c r="AE395" t="s">
        <v>74</v>
      </c>
      <c r="AF395" t="s">
        <v>74</v>
      </c>
      <c r="AG395">
        <v>64</v>
      </c>
      <c r="AH395">
        <v>10</v>
      </c>
      <c r="AI395">
        <v>13</v>
      </c>
      <c r="AJ395">
        <v>2</v>
      </c>
      <c r="AK395">
        <v>11</v>
      </c>
      <c r="AL395" t="s">
        <v>157</v>
      </c>
      <c r="AM395" t="s">
        <v>93</v>
      </c>
      <c r="AN395" t="s">
        <v>94</v>
      </c>
      <c r="AO395" t="s">
        <v>95</v>
      </c>
      <c r="AP395" t="s">
        <v>96</v>
      </c>
      <c r="AQ395" t="s">
        <v>74</v>
      </c>
      <c r="AR395" t="s">
        <v>97</v>
      </c>
      <c r="AS395" t="s">
        <v>98</v>
      </c>
      <c r="AT395" t="s">
        <v>176</v>
      </c>
      <c r="AU395">
        <v>2019</v>
      </c>
      <c r="AV395">
        <v>64</v>
      </c>
      <c r="AW395">
        <v>18</v>
      </c>
      <c r="AX395" t="s">
        <v>74</v>
      </c>
      <c r="AY395" t="s">
        <v>74</v>
      </c>
      <c r="AZ395" t="s">
        <v>74</v>
      </c>
      <c r="BA395" t="s">
        <v>74</v>
      </c>
      <c r="BB395" t="s">
        <v>74</v>
      </c>
      <c r="BC395" t="s">
        <v>74</v>
      </c>
      <c r="BD395">
        <v>185002</v>
      </c>
      <c r="BE395" t="s">
        <v>6436</v>
      </c>
      <c r="BF395" t="str">
        <f>HYPERLINK("http://dx.doi.org/10.1088/1361-6560/ab325c","http://dx.doi.org/10.1088/1361-6560/ab325c")</f>
        <v>http://dx.doi.org/10.1088/1361-6560/ab325c</v>
      </c>
      <c r="BG395" t="s">
        <v>74</v>
      </c>
      <c r="BH395" t="s">
        <v>74</v>
      </c>
      <c r="BI395">
        <v>17</v>
      </c>
      <c r="BJ395" t="s">
        <v>101</v>
      </c>
      <c r="BK395" t="s">
        <v>102</v>
      </c>
      <c r="BL395" t="s">
        <v>103</v>
      </c>
      <c r="BM395" t="s">
        <v>2334</v>
      </c>
      <c r="BN395">
        <v>31307026</v>
      </c>
      <c r="BO395" t="s">
        <v>179</v>
      </c>
      <c r="BP395" t="s">
        <v>74</v>
      </c>
      <c r="BQ395" t="s">
        <v>74</v>
      </c>
      <c r="BR395" t="s">
        <v>106</v>
      </c>
      <c r="BS395" t="s">
        <v>6437</v>
      </c>
      <c r="BT395" t="str">
        <f>HYPERLINK("https%3A%2F%2Fwww.webofscience.com%2Fwos%2Fwoscc%2Ffull-record%2FWOS:000485720400002","View Full Record in Web of Science")</f>
        <v>View Full Record in Web of Science</v>
      </c>
    </row>
    <row r="396" spans="1:72" x14ac:dyDescent="0.25">
      <c r="A396" t="s">
        <v>72</v>
      </c>
      <c r="B396" t="s">
        <v>6438</v>
      </c>
      <c r="C396" t="s">
        <v>74</v>
      </c>
      <c r="D396" t="s">
        <v>74</v>
      </c>
      <c r="E396" t="s">
        <v>74</v>
      </c>
      <c r="F396" t="s">
        <v>6439</v>
      </c>
      <c r="G396" t="s">
        <v>74</v>
      </c>
      <c r="H396" t="s">
        <v>74</v>
      </c>
      <c r="I396" t="s">
        <v>6440</v>
      </c>
      <c r="J396" t="s">
        <v>77</v>
      </c>
      <c r="K396" t="s">
        <v>74</v>
      </c>
      <c r="L396" t="s">
        <v>74</v>
      </c>
      <c r="M396" t="s">
        <v>78</v>
      </c>
      <c r="N396" t="s">
        <v>79</v>
      </c>
      <c r="O396" t="s">
        <v>74</v>
      </c>
      <c r="P396" t="s">
        <v>74</v>
      </c>
      <c r="Q396" t="s">
        <v>74</v>
      </c>
      <c r="R396" t="s">
        <v>74</v>
      </c>
      <c r="S396" t="s">
        <v>74</v>
      </c>
      <c r="T396" t="s">
        <v>6441</v>
      </c>
      <c r="U396" t="s">
        <v>6442</v>
      </c>
      <c r="V396" t="s">
        <v>6443</v>
      </c>
      <c r="W396" t="s">
        <v>6444</v>
      </c>
      <c r="X396" t="s">
        <v>6445</v>
      </c>
      <c r="Y396" t="s">
        <v>6446</v>
      </c>
      <c r="Z396" t="s">
        <v>6447</v>
      </c>
      <c r="AA396" t="s">
        <v>6448</v>
      </c>
      <c r="AB396" t="s">
        <v>6449</v>
      </c>
      <c r="AC396" t="s">
        <v>6450</v>
      </c>
      <c r="AD396" t="s">
        <v>6451</v>
      </c>
      <c r="AE396" t="s">
        <v>6452</v>
      </c>
      <c r="AF396" t="s">
        <v>74</v>
      </c>
      <c r="AG396">
        <v>30</v>
      </c>
      <c r="AH396">
        <v>12</v>
      </c>
      <c r="AI396">
        <v>13</v>
      </c>
      <c r="AJ396">
        <v>0</v>
      </c>
      <c r="AK396">
        <v>19</v>
      </c>
      <c r="AL396" t="s">
        <v>92</v>
      </c>
      <c r="AM396" t="s">
        <v>93</v>
      </c>
      <c r="AN396" t="s">
        <v>94</v>
      </c>
      <c r="AO396" t="s">
        <v>95</v>
      </c>
      <c r="AP396" t="s">
        <v>96</v>
      </c>
      <c r="AQ396" t="s">
        <v>74</v>
      </c>
      <c r="AR396" t="s">
        <v>97</v>
      </c>
      <c r="AS396" t="s">
        <v>98</v>
      </c>
      <c r="AT396" t="s">
        <v>250</v>
      </c>
      <c r="AU396">
        <v>2019</v>
      </c>
      <c r="AV396">
        <v>64</v>
      </c>
      <c r="AW396">
        <v>12</v>
      </c>
      <c r="AX396" t="s">
        <v>74</v>
      </c>
      <c r="AY396" t="s">
        <v>74</v>
      </c>
      <c r="AZ396" t="s">
        <v>74</v>
      </c>
      <c r="BA396" t="s">
        <v>74</v>
      </c>
      <c r="BB396" t="s">
        <v>74</v>
      </c>
      <c r="BC396" t="s">
        <v>74</v>
      </c>
      <c r="BD396">
        <v>125013</v>
      </c>
      <c r="BE396" t="s">
        <v>6453</v>
      </c>
      <c r="BF396" t="str">
        <f>HYPERLINK("http://dx.doi.org/10.1088/1361-6560/ab2480","http://dx.doi.org/10.1088/1361-6560/ab2480")</f>
        <v>http://dx.doi.org/10.1088/1361-6560/ab2480</v>
      </c>
      <c r="BG396" t="s">
        <v>74</v>
      </c>
      <c r="BH396" t="s">
        <v>74</v>
      </c>
      <c r="BI396">
        <v>11</v>
      </c>
      <c r="BJ396" t="s">
        <v>101</v>
      </c>
      <c r="BK396" t="s">
        <v>102</v>
      </c>
      <c r="BL396" t="s">
        <v>103</v>
      </c>
      <c r="BM396" t="s">
        <v>357</v>
      </c>
      <c r="BN396">
        <v>31125983</v>
      </c>
      <c r="BO396" t="s">
        <v>74</v>
      </c>
      <c r="BP396" t="s">
        <v>74</v>
      </c>
      <c r="BQ396" t="s">
        <v>74</v>
      </c>
      <c r="BR396" t="s">
        <v>106</v>
      </c>
      <c r="BS396" t="s">
        <v>6454</v>
      </c>
      <c r="BT396" t="str">
        <f>HYPERLINK("https%3A%2F%2Fwww.webofscience.com%2Fwos%2Fwoscc%2Ffull-record%2FWOS:000518929400003","View Full Record in Web of Science")</f>
        <v>View Full Record in Web of Science</v>
      </c>
    </row>
    <row r="397" spans="1:72" x14ac:dyDescent="0.25">
      <c r="A397" t="s">
        <v>72</v>
      </c>
      <c r="B397" t="s">
        <v>6455</v>
      </c>
      <c r="C397" t="s">
        <v>74</v>
      </c>
      <c r="D397" t="s">
        <v>74</v>
      </c>
      <c r="E397" t="s">
        <v>74</v>
      </c>
      <c r="F397" t="s">
        <v>6456</v>
      </c>
      <c r="G397" t="s">
        <v>74</v>
      </c>
      <c r="H397" t="s">
        <v>74</v>
      </c>
      <c r="I397" t="s">
        <v>6457</v>
      </c>
      <c r="J397" t="s">
        <v>77</v>
      </c>
      <c r="K397" t="s">
        <v>74</v>
      </c>
      <c r="L397" t="s">
        <v>74</v>
      </c>
      <c r="M397" t="s">
        <v>78</v>
      </c>
      <c r="N397" t="s">
        <v>79</v>
      </c>
      <c r="O397" t="s">
        <v>74</v>
      </c>
      <c r="P397" t="s">
        <v>74</v>
      </c>
      <c r="Q397" t="s">
        <v>74</v>
      </c>
      <c r="R397" t="s">
        <v>74</v>
      </c>
      <c r="S397" t="s">
        <v>74</v>
      </c>
      <c r="T397" t="s">
        <v>6458</v>
      </c>
      <c r="U397" t="s">
        <v>6459</v>
      </c>
      <c r="V397" t="s">
        <v>6460</v>
      </c>
      <c r="W397" t="s">
        <v>6461</v>
      </c>
      <c r="X397" t="s">
        <v>2134</v>
      </c>
      <c r="Y397" t="s">
        <v>6462</v>
      </c>
      <c r="Z397" t="s">
        <v>6463</v>
      </c>
      <c r="AA397" t="s">
        <v>6464</v>
      </c>
      <c r="AB397" t="s">
        <v>6465</v>
      </c>
      <c r="AC397" t="s">
        <v>6466</v>
      </c>
      <c r="AD397" t="s">
        <v>6467</v>
      </c>
      <c r="AE397" t="s">
        <v>6468</v>
      </c>
      <c r="AF397" t="s">
        <v>74</v>
      </c>
      <c r="AG397">
        <v>21</v>
      </c>
      <c r="AH397">
        <v>208</v>
      </c>
      <c r="AI397">
        <v>224</v>
      </c>
      <c r="AJ397">
        <v>4</v>
      </c>
      <c r="AK397">
        <v>77</v>
      </c>
      <c r="AL397" t="s">
        <v>157</v>
      </c>
      <c r="AM397" t="s">
        <v>93</v>
      </c>
      <c r="AN397" t="s">
        <v>94</v>
      </c>
      <c r="AO397" t="s">
        <v>95</v>
      </c>
      <c r="AP397" t="s">
        <v>96</v>
      </c>
      <c r="AQ397" t="s">
        <v>74</v>
      </c>
      <c r="AR397" t="s">
        <v>97</v>
      </c>
      <c r="AS397" t="s">
        <v>98</v>
      </c>
      <c r="AT397" t="s">
        <v>250</v>
      </c>
      <c r="AU397">
        <v>2019</v>
      </c>
      <c r="AV397">
        <v>64</v>
      </c>
      <c r="AW397">
        <v>12</v>
      </c>
      <c r="AX397" t="s">
        <v>74</v>
      </c>
      <c r="AY397" t="s">
        <v>74</v>
      </c>
      <c r="AZ397" t="s">
        <v>74</v>
      </c>
      <c r="BA397" t="s">
        <v>74</v>
      </c>
      <c r="BB397" t="s">
        <v>74</v>
      </c>
      <c r="BC397" t="s">
        <v>74</v>
      </c>
      <c r="BD397">
        <v>125002</v>
      </c>
      <c r="BE397" t="s">
        <v>6469</v>
      </c>
      <c r="BF397" t="str">
        <f>HYPERLINK("http://dx.doi.org/10.1088/1361-6560/ab22f9","http://dx.doi.org/10.1088/1361-6560/ab22f9")</f>
        <v>http://dx.doi.org/10.1088/1361-6560/ab22f9</v>
      </c>
      <c r="BG397" t="s">
        <v>74</v>
      </c>
      <c r="BH397" t="s">
        <v>74</v>
      </c>
      <c r="BI397">
        <v>13</v>
      </c>
      <c r="BJ397" t="s">
        <v>101</v>
      </c>
      <c r="BK397" t="s">
        <v>102</v>
      </c>
      <c r="BL397" t="s">
        <v>103</v>
      </c>
      <c r="BM397" t="s">
        <v>4299</v>
      </c>
      <c r="BN397">
        <v>31108465</v>
      </c>
      <c r="BO397" t="s">
        <v>270</v>
      </c>
      <c r="BP397" t="s">
        <v>74</v>
      </c>
      <c r="BQ397" t="s">
        <v>74</v>
      </c>
      <c r="BR397" t="s">
        <v>106</v>
      </c>
      <c r="BS397" t="s">
        <v>6470</v>
      </c>
      <c r="BT397" t="str">
        <f>HYPERLINK("https%3A%2F%2Fwww.webofscience.com%2Fwos%2Fwoscc%2Ffull-record%2FWOS:000471166400002","View Full Record in Web of Science")</f>
        <v>View Full Record in Web of Science</v>
      </c>
    </row>
    <row r="398" spans="1:72" x14ac:dyDescent="0.25">
      <c r="A398" t="s">
        <v>72</v>
      </c>
      <c r="B398" t="s">
        <v>6471</v>
      </c>
      <c r="C398" t="s">
        <v>74</v>
      </c>
      <c r="D398" t="s">
        <v>74</v>
      </c>
      <c r="E398" t="s">
        <v>74</v>
      </c>
      <c r="F398" t="s">
        <v>6472</v>
      </c>
      <c r="G398" t="s">
        <v>74</v>
      </c>
      <c r="H398" t="s">
        <v>74</v>
      </c>
      <c r="I398" t="s">
        <v>6473</v>
      </c>
      <c r="J398" t="s">
        <v>77</v>
      </c>
      <c r="K398" t="s">
        <v>74</v>
      </c>
      <c r="L398" t="s">
        <v>74</v>
      </c>
      <c r="M398" t="s">
        <v>78</v>
      </c>
      <c r="N398" t="s">
        <v>79</v>
      </c>
      <c r="O398" t="s">
        <v>74</v>
      </c>
      <c r="P398" t="s">
        <v>74</v>
      </c>
      <c r="Q398" t="s">
        <v>74</v>
      </c>
      <c r="R398" t="s">
        <v>74</v>
      </c>
      <c r="S398" t="s">
        <v>74</v>
      </c>
      <c r="T398" t="s">
        <v>6474</v>
      </c>
      <c r="U398" t="s">
        <v>6475</v>
      </c>
      <c r="V398" t="s">
        <v>6476</v>
      </c>
      <c r="W398" t="s">
        <v>6477</v>
      </c>
      <c r="X398" t="s">
        <v>6385</v>
      </c>
      <c r="Y398" t="s">
        <v>3655</v>
      </c>
      <c r="Z398" t="s">
        <v>6387</v>
      </c>
      <c r="AA398" t="s">
        <v>74</v>
      </c>
      <c r="AB398" t="s">
        <v>74</v>
      </c>
      <c r="AC398" t="s">
        <v>6390</v>
      </c>
      <c r="AD398" t="s">
        <v>6391</v>
      </c>
      <c r="AE398" t="s">
        <v>6478</v>
      </c>
      <c r="AF398" t="s">
        <v>74</v>
      </c>
      <c r="AG398">
        <v>52</v>
      </c>
      <c r="AH398">
        <v>14</v>
      </c>
      <c r="AI398">
        <v>14</v>
      </c>
      <c r="AJ398">
        <v>0</v>
      </c>
      <c r="AK398">
        <v>9</v>
      </c>
      <c r="AL398" t="s">
        <v>92</v>
      </c>
      <c r="AM398" t="s">
        <v>93</v>
      </c>
      <c r="AN398" t="s">
        <v>94</v>
      </c>
      <c r="AO398" t="s">
        <v>95</v>
      </c>
      <c r="AP398" t="s">
        <v>96</v>
      </c>
      <c r="AQ398" t="s">
        <v>74</v>
      </c>
      <c r="AR398" t="s">
        <v>97</v>
      </c>
      <c r="AS398" t="s">
        <v>98</v>
      </c>
      <c r="AT398" t="s">
        <v>250</v>
      </c>
      <c r="AU398">
        <v>2019</v>
      </c>
      <c r="AV398">
        <v>64</v>
      </c>
      <c r="AW398">
        <v>11</v>
      </c>
      <c r="AX398" t="s">
        <v>74</v>
      </c>
      <c r="AY398" t="s">
        <v>74</v>
      </c>
      <c r="AZ398" t="s">
        <v>74</v>
      </c>
      <c r="BA398" t="s">
        <v>74</v>
      </c>
      <c r="BB398" t="s">
        <v>74</v>
      </c>
      <c r="BC398" t="s">
        <v>74</v>
      </c>
      <c r="BD398">
        <v>115027</v>
      </c>
      <c r="BE398" t="s">
        <v>6479</v>
      </c>
      <c r="BF398" t="str">
        <f>HYPERLINK("http://dx.doi.org/10.1088/1361-6560/ab2144","http://dx.doi.org/10.1088/1361-6560/ab2144")</f>
        <v>http://dx.doi.org/10.1088/1361-6560/ab2144</v>
      </c>
      <c r="BG398" t="s">
        <v>74</v>
      </c>
      <c r="BH398" t="s">
        <v>74</v>
      </c>
      <c r="BI398">
        <v>13</v>
      </c>
      <c r="BJ398" t="s">
        <v>101</v>
      </c>
      <c r="BK398" t="s">
        <v>102</v>
      </c>
      <c r="BL398" t="s">
        <v>103</v>
      </c>
      <c r="BM398" t="s">
        <v>2107</v>
      </c>
      <c r="BN398">
        <v>31082810</v>
      </c>
      <c r="BO398" t="s">
        <v>74</v>
      </c>
      <c r="BP398" t="s">
        <v>74</v>
      </c>
      <c r="BQ398" t="s">
        <v>74</v>
      </c>
      <c r="BR398" t="s">
        <v>106</v>
      </c>
      <c r="BS398" t="s">
        <v>6480</v>
      </c>
      <c r="BT398" t="str">
        <f>HYPERLINK("https%3A%2F%2Fwww.webofscience.com%2Fwos%2Fwoscc%2Ffull-record%2FWOS:000470808600002","View Full Record in Web of Science")</f>
        <v>View Full Record in Web of Science</v>
      </c>
    </row>
    <row r="399" spans="1:72" x14ac:dyDescent="0.25">
      <c r="A399" t="s">
        <v>72</v>
      </c>
      <c r="B399" t="s">
        <v>6481</v>
      </c>
      <c r="C399" t="s">
        <v>74</v>
      </c>
      <c r="D399" t="s">
        <v>74</v>
      </c>
      <c r="E399" t="s">
        <v>74</v>
      </c>
      <c r="F399" t="s">
        <v>6482</v>
      </c>
      <c r="G399" t="s">
        <v>74</v>
      </c>
      <c r="H399" t="s">
        <v>74</v>
      </c>
      <c r="I399" t="s">
        <v>6483</v>
      </c>
      <c r="J399" t="s">
        <v>77</v>
      </c>
      <c r="K399" t="s">
        <v>74</v>
      </c>
      <c r="L399" t="s">
        <v>74</v>
      </c>
      <c r="M399" t="s">
        <v>78</v>
      </c>
      <c r="N399" t="s">
        <v>79</v>
      </c>
      <c r="O399" t="s">
        <v>74</v>
      </c>
      <c r="P399" t="s">
        <v>74</v>
      </c>
      <c r="Q399" t="s">
        <v>74</v>
      </c>
      <c r="R399" t="s">
        <v>74</v>
      </c>
      <c r="S399" t="s">
        <v>74</v>
      </c>
      <c r="T399" t="s">
        <v>6484</v>
      </c>
      <c r="U399" t="s">
        <v>3059</v>
      </c>
      <c r="V399" t="s">
        <v>6485</v>
      </c>
      <c r="W399" t="s">
        <v>6486</v>
      </c>
      <c r="X399" t="s">
        <v>429</v>
      </c>
      <c r="Y399" t="s">
        <v>6487</v>
      </c>
      <c r="Z399" t="s">
        <v>1710</v>
      </c>
      <c r="AA399" t="s">
        <v>74</v>
      </c>
      <c r="AB399" t="s">
        <v>6488</v>
      </c>
      <c r="AC399" t="s">
        <v>6489</v>
      </c>
      <c r="AD399" t="s">
        <v>6490</v>
      </c>
      <c r="AE399" t="s">
        <v>6491</v>
      </c>
      <c r="AF399" t="s">
        <v>74</v>
      </c>
      <c r="AG399">
        <v>28</v>
      </c>
      <c r="AH399">
        <v>9</v>
      </c>
      <c r="AI399">
        <v>9</v>
      </c>
      <c r="AJ399">
        <v>0</v>
      </c>
      <c r="AK399">
        <v>4</v>
      </c>
      <c r="AL399" t="s">
        <v>92</v>
      </c>
      <c r="AM399" t="s">
        <v>93</v>
      </c>
      <c r="AN399" t="s">
        <v>94</v>
      </c>
      <c r="AO399" t="s">
        <v>95</v>
      </c>
      <c r="AP399" t="s">
        <v>96</v>
      </c>
      <c r="AQ399" t="s">
        <v>74</v>
      </c>
      <c r="AR399" t="s">
        <v>97</v>
      </c>
      <c r="AS399" t="s">
        <v>98</v>
      </c>
      <c r="AT399" t="s">
        <v>370</v>
      </c>
      <c r="AU399">
        <v>2019</v>
      </c>
      <c r="AV399">
        <v>64</v>
      </c>
      <c r="AW399">
        <v>9</v>
      </c>
      <c r="AX399" t="s">
        <v>74</v>
      </c>
      <c r="AY399" t="s">
        <v>74</v>
      </c>
      <c r="AZ399" t="s">
        <v>74</v>
      </c>
      <c r="BA399" t="s">
        <v>74</v>
      </c>
      <c r="BB399" t="s">
        <v>74</v>
      </c>
      <c r="BC399" t="s">
        <v>74</v>
      </c>
      <c r="BD399">
        <v>95004</v>
      </c>
      <c r="BE399" t="s">
        <v>6492</v>
      </c>
      <c r="BF399" t="str">
        <f>HYPERLINK("http://dx.doi.org/10.1088/1361-6560/ab13e3","http://dx.doi.org/10.1088/1361-6560/ab13e3")</f>
        <v>http://dx.doi.org/10.1088/1361-6560/ab13e3</v>
      </c>
      <c r="BG399" t="s">
        <v>74</v>
      </c>
      <c r="BH399" t="s">
        <v>74</v>
      </c>
      <c r="BI399">
        <v>9</v>
      </c>
      <c r="BJ399" t="s">
        <v>101</v>
      </c>
      <c r="BK399" t="s">
        <v>102</v>
      </c>
      <c r="BL399" t="s">
        <v>103</v>
      </c>
      <c r="BM399" t="s">
        <v>2125</v>
      </c>
      <c r="BN399">
        <v>30917353</v>
      </c>
      <c r="BO399" t="s">
        <v>74</v>
      </c>
      <c r="BP399" t="s">
        <v>74</v>
      </c>
      <c r="BQ399" t="s">
        <v>74</v>
      </c>
      <c r="BR399" t="s">
        <v>106</v>
      </c>
      <c r="BS399" t="s">
        <v>6493</v>
      </c>
      <c r="BT399" t="str">
        <f>HYPERLINK("https%3A%2F%2Fwww.webofscience.com%2Fwos%2Fwoscc%2Ffull-record%2FWOS:000465824100004","View Full Record in Web of Science")</f>
        <v>View Full Record in Web of Science</v>
      </c>
    </row>
    <row r="400" spans="1:72" x14ac:dyDescent="0.25">
      <c r="A400" t="s">
        <v>72</v>
      </c>
      <c r="B400" t="s">
        <v>6494</v>
      </c>
      <c r="C400" t="s">
        <v>74</v>
      </c>
      <c r="D400" t="s">
        <v>74</v>
      </c>
      <c r="E400" t="s">
        <v>74</v>
      </c>
      <c r="F400" t="s">
        <v>6495</v>
      </c>
      <c r="G400" t="s">
        <v>74</v>
      </c>
      <c r="H400" t="s">
        <v>74</v>
      </c>
      <c r="I400" t="s">
        <v>6496</v>
      </c>
      <c r="J400" t="s">
        <v>77</v>
      </c>
      <c r="K400" t="s">
        <v>74</v>
      </c>
      <c r="L400" t="s">
        <v>74</v>
      </c>
      <c r="M400" t="s">
        <v>78</v>
      </c>
      <c r="N400" t="s">
        <v>79</v>
      </c>
      <c r="O400" t="s">
        <v>74</v>
      </c>
      <c r="P400" t="s">
        <v>74</v>
      </c>
      <c r="Q400" t="s">
        <v>74</v>
      </c>
      <c r="R400" t="s">
        <v>74</v>
      </c>
      <c r="S400" t="s">
        <v>74</v>
      </c>
      <c r="T400" t="s">
        <v>6497</v>
      </c>
      <c r="U400" t="s">
        <v>6498</v>
      </c>
      <c r="V400" t="s">
        <v>6499</v>
      </c>
      <c r="W400" t="s">
        <v>6500</v>
      </c>
      <c r="X400" t="s">
        <v>6501</v>
      </c>
      <c r="Y400" t="s">
        <v>6502</v>
      </c>
      <c r="Z400" t="s">
        <v>6503</v>
      </c>
      <c r="AA400" t="s">
        <v>6504</v>
      </c>
      <c r="AB400" t="s">
        <v>74</v>
      </c>
      <c r="AC400" t="s">
        <v>6505</v>
      </c>
      <c r="AD400" t="s">
        <v>6506</v>
      </c>
      <c r="AE400" t="s">
        <v>6507</v>
      </c>
      <c r="AF400" t="s">
        <v>74</v>
      </c>
      <c r="AG400">
        <v>34</v>
      </c>
      <c r="AH400">
        <v>22</v>
      </c>
      <c r="AI400">
        <v>27</v>
      </c>
      <c r="AJ400">
        <v>0</v>
      </c>
      <c r="AK400">
        <v>15</v>
      </c>
      <c r="AL400" t="s">
        <v>92</v>
      </c>
      <c r="AM400" t="s">
        <v>93</v>
      </c>
      <c r="AN400" t="s">
        <v>94</v>
      </c>
      <c r="AO400" t="s">
        <v>95</v>
      </c>
      <c r="AP400" t="s">
        <v>96</v>
      </c>
      <c r="AQ400" t="s">
        <v>74</v>
      </c>
      <c r="AR400" t="s">
        <v>97</v>
      </c>
      <c r="AS400" t="s">
        <v>98</v>
      </c>
      <c r="AT400" t="s">
        <v>370</v>
      </c>
      <c r="AU400">
        <v>2019</v>
      </c>
      <c r="AV400">
        <v>64</v>
      </c>
      <c r="AW400">
        <v>9</v>
      </c>
      <c r="AX400" t="s">
        <v>74</v>
      </c>
      <c r="AY400" t="s">
        <v>74</v>
      </c>
      <c r="AZ400" t="s">
        <v>74</v>
      </c>
      <c r="BA400" t="s">
        <v>74</v>
      </c>
      <c r="BB400" t="s">
        <v>74</v>
      </c>
      <c r="BC400" t="s">
        <v>74</v>
      </c>
      <c r="BD400">
        <v>95007</v>
      </c>
      <c r="BE400" t="s">
        <v>6508</v>
      </c>
      <c r="BF400" t="str">
        <f>HYPERLINK("http://dx.doi.org/10.1088/1361-6560/ab134b","http://dx.doi.org/10.1088/1361-6560/ab134b")</f>
        <v>http://dx.doi.org/10.1088/1361-6560/ab134b</v>
      </c>
      <c r="BG400" t="s">
        <v>74</v>
      </c>
      <c r="BH400" t="s">
        <v>74</v>
      </c>
      <c r="BI400">
        <v>11</v>
      </c>
      <c r="BJ400" t="s">
        <v>101</v>
      </c>
      <c r="BK400" t="s">
        <v>102</v>
      </c>
      <c r="BL400" t="s">
        <v>103</v>
      </c>
      <c r="BM400" t="s">
        <v>592</v>
      </c>
      <c r="BN400">
        <v>30913544</v>
      </c>
      <c r="BO400" t="s">
        <v>74</v>
      </c>
      <c r="BP400" t="s">
        <v>74</v>
      </c>
      <c r="BQ400" t="s">
        <v>74</v>
      </c>
      <c r="BR400" t="s">
        <v>106</v>
      </c>
      <c r="BS400" t="s">
        <v>6509</v>
      </c>
      <c r="BT400" t="str">
        <f>HYPERLINK("https%3A%2F%2Fwww.webofscience.com%2Fwos%2Fwoscc%2Ffull-record%2FWOS:000466266200002","View Full Record in Web of Science")</f>
        <v>View Full Record in Web of Science</v>
      </c>
    </row>
    <row r="401" spans="1:72" x14ac:dyDescent="0.25">
      <c r="A401" t="s">
        <v>72</v>
      </c>
      <c r="B401" t="s">
        <v>6510</v>
      </c>
      <c r="C401" t="s">
        <v>74</v>
      </c>
      <c r="D401" t="s">
        <v>74</v>
      </c>
      <c r="E401" t="s">
        <v>74</v>
      </c>
      <c r="F401" t="s">
        <v>6511</v>
      </c>
      <c r="G401" t="s">
        <v>74</v>
      </c>
      <c r="H401" t="s">
        <v>74</v>
      </c>
      <c r="I401" t="s">
        <v>6512</v>
      </c>
      <c r="J401" t="s">
        <v>77</v>
      </c>
      <c r="K401" t="s">
        <v>74</v>
      </c>
      <c r="L401" t="s">
        <v>74</v>
      </c>
      <c r="M401" t="s">
        <v>78</v>
      </c>
      <c r="N401" t="s">
        <v>79</v>
      </c>
      <c r="O401" t="s">
        <v>74</v>
      </c>
      <c r="P401" t="s">
        <v>74</v>
      </c>
      <c r="Q401" t="s">
        <v>74</v>
      </c>
      <c r="R401" t="s">
        <v>74</v>
      </c>
      <c r="S401" t="s">
        <v>74</v>
      </c>
      <c r="T401" t="s">
        <v>6513</v>
      </c>
      <c r="U401" t="s">
        <v>6514</v>
      </c>
      <c r="V401" t="s">
        <v>6515</v>
      </c>
      <c r="W401" t="s">
        <v>6516</v>
      </c>
      <c r="X401" t="s">
        <v>6517</v>
      </c>
      <c r="Y401" t="s">
        <v>6518</v>
      </c>
      <c r="Z401" t="s">
        <v>6519</v>
      </c>
      <c r="AA401" t="s">
        <v>6520</v>
      </c>
      <c r="AB401" t="s">
        <v>6521</v>
      </c>
      <c r="AC401" t="s">
        <v>6522</v>
      </c>
      <c r="AD401" t="s">
        <v>607</v>
      </c>
      <c r="AE401" t="s">
        <v>6523</v>
      </c>
      <c r="AF401" t="s">
        <v>74</v>
      </c>
      <c r="AG401">
        <v>43</v>
      </c>
      <c r="AH401">
        <v>1</v>
      </c>
      <c r="AI401">
        <v>2</v>
      </c>
      <c r="AJ401">
        <v>1</v>
      </c>
      <c r="AK401">
        <v>19</v>
      </c>
      <c r="AL401" t="s">
        <v>92</v>
      </c>
      <c r="AM401" t="s">
        <v>93</v>
      </c>
      <c r="AN401" t="s">
        <v>94</v>
      </c>
      <c r="AO401" t="s">
        <v>95</v>
      </c>
      <c r="AP401" t="s">
        <v>96</v>
      </c>
      <c r="AQ401" t="s">
        <v>74</v>
      </c>
      <c r="AR401" t="s">
        <v>97</v>
      </c>
      <c r="AS401" t="s">
        <v>98</v>
      </c>
      <c r="AT401" t="s">
        <v>370</v>
      </c>
      <c r="AU401">
        <v>2019</v>
      </c>
      <c r="AV401">
        <v>64</v>
      </c>
      <c r="AW401">
        <v>10</v>
      </c>
      <c r="AX401" t="s">
        <v>74</v>
      </c>
      <c r="AY401" t="s">
        <v>74</v>
      </c>
      <c r="AZ401" t="s">
        <v>74</v>
      </c>
      <c r="BA401" t="s">
        <v>74</v>
      </c>
      <c r="BB401" t="s">
        <v>74</v>
      </c>
      <c r="BC401" t="s">
        <v>74</v>
      </c>
      <c r="BD401">
        <v>105019</v>
      </c>
      <c r="BE401" t="s">
        <v>6524</v>
      </c>
      <c r="BF401" t="str">
        <f>HYPERLINK("http://dx.doi.org/10.1088/1361-6560/ab160c","http://dx.doi.org/10.1088/1361-6560/ab160c")</f>
        <v>http://dx.doi.org/10.1088/1361-6560/ab160c</v>
      </c>
      <c r="BG401" t="s">
        <v>74</v>
      </c>
      <c r="BH401" t="s">
        <v>74</v>
      </c>
      <c r="BI401">
        <v>11</v>
      </c>
      <c r="BJ401" t="s">
        <v>101</v>
      </c>
      <c r="BK401" t="s">
        <v>102</v>
      </c>
      <c r="BL401" t="s">
        <v>103</v>
      </c>
      <c r="BM401" t="s">
        <v>1845</v>
      </c>
      <c r="BN401">
        <v>30947154</v>
      </c>
      <c r="BO401" t="s">
        <v>105</v>
      </c>
      <c r="BP401" t="s">
        <v>74</v>
      </c>
      <c r="BQ401" t="s">
        <v>74</v>
      </c>
      <c r="BR401" t="s">
        <v>106</v>
      </c>
      <c r="BS401" t="s">
        <v>6525</v>
      </c>
      <c r="BT401" t="str">
        <f>HYPERLINK("https%3A%2F%2Fwww.webofscience.com%2Fwos%2Fwoscc%2Ffull-record%2FWOS:000468283500004","View Full Record in Web of Science")</f>
        <v>View Full Record in Web of Science</v>
      </c>
    </row>
    <row r="402" spans="1:72" x14ac:dyDescent="0.25">
      <c r="A402" t="s">
        <v>72</v>
      </c>
      <c r="B402" t="s">
        <v>6526</v>
      </c>
      <c r="C402" t="s">
        <v>74</v>
      </c>
      <c r="D402" t="s">
        <v>74</v>
      </c>
      <c r="E402" t="s">
        <v>74</v>
      </c>
      <c r="F402" t="s">
        <v>6527</v>
      </c>
      <c r="G402" t="s">
        <v>74</v>
      </c>
      <c r="H402" t="s">
        <v>74</v>
      </c>
      <c r="I402" t="s">
        <v>6528</v>
      </c>
      <c r="J402" t="s">
        <v>77</v>
      </c>
      <c r="K402" t="s">
        <v>74</v>
      </c>
      <c r="L402" t="s">
        <v>74</v>
      </c>
      <c r="M402" t="s">
        <v>78</v>
      </c>
      <c r="N402" t="s">
        <v>79</v>
      </c>
      <c r="O402" t="s">
        <v>74</v>
      </c>
      <c r="P402" t="s">
        <v>74</v>
      </c>
      <c r="Q402" t="s">
        <v>74</v>
      </c>
      <c r="R402" t="s">
        <v>74</v>
      </c>
      <c r="S402" t="s">
        <v>74</v>
      </c>
      <c r="T402" t="s">
        <v>6529</v>
      </c>
      <c r="U402" t="s">
        <v>6530</v>
      </c>
      <c r="V402" t="s">
        <v>6531</v>
      </c>
      <c r="W402" t="s">
        <v>6532</v>
      </c>
      <c r="X402" t="s">
        <v>6533</v>
      </c>
      <c r="Y402" t="s">
        <v>6534</v>
      </c>
      <c r="Z402" t="s">
        <v>6535</v>
      </c>
      <c r="AA402" t="s">
        <v>6536</v>
      </c>
      <c r="AB402" t="s">
        <v>6537</v>
      </c>
      <c r="AC402" t="s">
        <v>6538</v>
      </c>
      <c r="AD402" t="s">
        <v>6539</v>
      </c>
      <c r="AE402" t="s">
        <v>6540</v>
      </c>
      <c r="AF402" t="s">
        <v>74</v>
      </c>
      <c r="AG402">
        <v>51</v>
      </c>
      <c r="AH402">
        <v>6</v>
      </c>
      <c r="AI402">
        <v>7</v>
      </c>
      <c r="AJ402">
        <v>0</v>
      </c>
      <c r="AK402">
        <v>9</v>
      </c>
      <c r="AL402" t="s">
        <v>92</v>
      </c>
      <c r="AM402" t="s">
        <v>93</v>
      </c>
      <c r="AN402" t="s">
        <v>94</v>
      </c>
      <c r="AO402" t="s">
        <v>95</v>
      </c>
      <c r="AP402" t="s">
        <v>96</v>
      </c>
      <c r="AQ402" t="s">
        <v>74</v>
      </c>
      <c r="AR402" t="s">
        <v>97</v>
      </c>
      <c r="AS402" t="s">
        <v>98</v>
      </c>
      <c r="AT402" t="s">
        <v>370</v>
      </c>
      <c r="AU402">
        <v>2019</v>
      </c>
      <c r="AV402">
        <v>64</v>
      </c>
      <c r="AW402">
        <v>10</v>
      </c>
      <c r="AX402" t="s">
        <v>74</v>
      </c>
      <c r="AY402" t="s">
        <v>74</v>
      </c>
      <c r="AZ402" t="s">
        <v>74</v>
      </c>
      <c r="BA402" t="s">
        <v>74</v>
      </c>
      <c r="BB402" t="s">
        <v>74</v>
      </c>
      <c r="BC402" t="s">
        <v>74</v>
      </c>
      <c r="BD402">
        <v>105010</v>
      </c>
      <c r="BE402" t="s">
        <v>6541</v>
      </c>
      <c r="BF402" t="str">
        <f>HYPERLINK("http://dx.doi.org/10.1088/1361-6560/ab171a","http://dx.doi.org/10.1088/1361-6560/ab171a")</f>
        <v>http://dx.doi.org/10.1088/1361-6560/ab171a</v>
      </c>
      <c r="BG402" t="s">
        <v>74</v>
      </c>
      <c r="BH402" t="s">
        <v>74</v>
      </c>
      <c r="BI402">
        <v>15</v>
      </c>
      <c r="BJ402" t="s">
        <v>101</v>
      </c>
      <c r="BK402" t="s">
        <v>102</v>
      </c>
      <c r="BL402" t="s">
        <v>103</v>
      </c>
      <c r="BM402" t="s">
        <v>1160</v>
      </c>
      <c r="BN402">
        <v>30959490</v>
      </c>
      <c r="BO402" t="s">
        <v>74</v>
      </c>
      <c r="BP402" t="s">
        <v>74</v>
      </c>
      <c r="BQ402" t="s">
        <v>74</v>
      </c>
      <c r="BR402" t="s">
        <v>106</v>
      </c>
      <c r="BS402" t="s">
        <v>6542</v>
      </c>
      <c r="BT402" t="str">
        <f>HYPERLINK("https%3A%2F%2Fwww.webofscience.com%2Fwos%2Fwoscc%2Ffull-record%2FWOS:000467702500005","View Full Record in Web of Science")</f>
        <v>View Full Record in Web of Science</v>
      </c>
    </row>
    <row r="403" spans="1:72" x14ac:dyDescent="0.25">
      <c r="A403" t="s">
        <v>72</v>
      </c>
      <c r="B403" t="s">
        <v>6543</v>
      </c>
      <c r="C403" t="s">
        <v>74</v>
      </c>
      <c r="D403" t="s">
        <v>74</v>
      </c>
      <c r="E403" t="s">
        <v>74</v>
      </c>
      <c r="F403" t="s">
        <v>6544</v>
      </c>
      <c r="G403" t="s">
        <v>74</v>
      </c>
      <c r="H403" t="s">
        <v>74</v>
      </c>
      <c r="I403" t="s">
        <v>6545</v>
      </c>
      <c r="J403" t="s">
        <v>77</v>
      </c>
      <c r="K403" t="s">
        <v>74</v>
      </c>
      <c r="L403" t="s">
        <v>74</v>
      </c>
      <c r="M403" t="s">
        <v>78</v>
      </c>
      <c r="N403" t="s">
        <v>79</v>
      </c>
      <c r="O403" t="s">
        <v>74</v>
      </c>
      <c r="P403" t="s">
        <v>74</v>
      </c>
      <c r="Q403" t="s">
        <v>74</v>
      </c>
      <c r="R403" t="s">
        <v>74</v>
      </c>
      <c r="S403" t="s">
        <v>74</v>
      </c>
      <c r="T403" t="s">
        <v>6546</v>
      </c>
      <c r="U403" t="s">
        <v>6547</v>
      </c>
      <c r="V403" t="s">
        <v>6548</v>
      </c>
      <c r="W403" t="s">
        <v>6549</v>
      </c>
      <c r="X403" t="s">
        <v>6550</v>
      </c>
      <c r="Y403" t="s">
        <v>6551</v>
      </c>
      <c r="Z403" t="s">
        <v>6552</v>
      </c>
      <c r="AA403" t="s">
        <v>6553</v>
      </c>
      <c r="AB403" t="s">
        <v>6554</v>
      </c>
      <c r="AC403" t="s">
        <v>6555</v>
      </c>
      <c r="AD403" t="s">
        <v>6556</v>
      </c>
      <c r="AE403" t="s">
        <v>6557</v>
      </c>
      <c r="AF403" t="s">
        <v>74</v>
      </c>
      <c r="AG403">
        <v>34</v>
      </c>
      <c r="AH403">
        <v>22</v>
      </c>
      <c r="AI403">
        <v>23</v>
      </c>
      <c r="AJ403">
        <v>2</v>
      </c>
      <c r="AK403">
        <v>29</v>
      </c>
      <c r="AL403" t="s">
        <v>92</v>
      </c>
      <c r="AM403" t="s">
        <v>93</v>
      </c>
      <c r="AN403" t="s">
        <v>94</v>
      </c>
      <c r="AO403" t="s">
        <v>95</v>
      </c>
      <c r="AP403" t="s">
        <v>96</v>
      </c>
      <c r="AQ403" t="s">
        <v>74</v>
      </c>
      <c r="AR403" t="s">
        <v>97</v>
      </c>
      <c r="AS403" t="s">
        <v>98</v>
      </c>
      <c r="AT403" t="s">
        <v>386</v>
      </c>
      <c r="AU403">
        <v>2019</v>
      </c>
      <c r="AV403">
        <v>64</v>
      </c>
      <c r="AW403">
        <v>8</v>
      </c>
      <c r="AX403" t="s">
        <v>74</v>
      </c>
      <c r="AY403" t="s">
        <v>74</v>
      </c>
      <c r="AZ403" t="s">
        <v>74</v>
      </c>
      <c r="BA403" t="s">
        <v>74</v>
      </c>
      <c r="BB403" t="s">
        <v>74</v>
      </c>
      <c r="BC403" t="s">
        <v>74</v>
      </c>
      <c r="BD403">
        <v>85015</v>
      </c>
      <c r="BE403" t="s">
        <v>6558</v>
      </c>
      <c r="BF403" t="str">
        <f>HYPERLINK("http://dx.doi.org/10.1088/1361-6560/ab135c","http://dx.doi.org/10.1088/1361-6560/ab135c")</f>
        <v>http://dx.doi.org/10.1088/1361-6560/ab135c</v>
      </c>
      <c r="BG403" t="s">
        <v>74</v>
      </c>
      <c r="BH403" t="s">
        <v>74</v>
      </c>
      <c r="BI403">
        <v>13</v>
      </c>
      <c r="BJ403" t="s">
        <v>101</v>
      </c>
      <c r="BK403" t="s">
        <v>102</v>
      </c>
      <c r="BL403" t="s">
        <v>103</v>
      </c>
      <c r="BM403" t="s">
        <v>419</v>
      </c>
      <c r="BN403">
        <v>30913547</v>
      </c>
      <c r="BO403" t="s">
        <v>74</v>
      </c>
      <c r="BP403" t="s">
        <v>74</v>
      </c>
      <c r="BQ403" t="s">
        <v>74</v>
      </c>
      <c r="BR403" t="s">
        <v>106</v>
      </c>
      <c r="BS403" t="s">
        <v>6559</v>
      </c>
      <c r="BT403" t="str">
        <f>HYPERLINK("https%3A%2F%2Fwww.webofscience.com%2Fwos%2Fwoscc%2Ffull-record%2FWOS:000464454200001","View Full Record in Web of Science")</f>
        <v>View Full Record in Web of Science</v>
      </c>
    </row>
    <row r="404" spans="1:72" x14ac:dyDescent="0.25">
      <c r="A404" t="s">
        <v>72</v>
      </c>
      <c r="B404" t="s">
        <v>6560</v>
      </c>
      <c r="C404" t="s">
        <v>74</v>
      </c>
      <c r="D404" t="s">
        <v>74</v>
      </c>
      <c r="E404" t="s">
        <v>74</v>
      </c>
      <c r="F404" t="s">
        <v>6561</v>
      </c>
      <c r="G404" t="s">
        <v>74</v>
      </c>
      <c r="H404" t="s">
        <v>74</v>
      </c>
      <c r="I404" t="s">
        <v>6562</v>
      </c>
      <c r="J404" t="s">
        <v>77</v>
      </c>
      <c r="K404" t="s">
        <v>74</v>
      </c>
      <c r="L404" t="s">
        <v>74</v>
      </c>
      <c r="M404" t="s">
        <v>78</v>
      </c>
      <c r="N404" t="s">
        <v>79</v>
      </c>
      <c r="O404" t="s">
        <v>74</v>
      </c>
      <c r="P404" t="s">
        <v>74</v>
      </c>
      <c r="Q404" t="s">
        <v>74</v>
      </c>
      <c r="R404" t="s">
        <v>74</v>
      </c>
      <c r="S404" t="s">
        <v>74</v>
      </c>
      <c r="T404" t="s">
        <v>6563</v>
      </c>
      <c r="U404" t="s">
        <v>6564</v>
      </c>
      <c r="V404" t="s">
        <v>6565</v>
      </c>
      <c r="W404" t="s">
        <v>6566</v>
      </c>
      <c r="X404" t="s">
        <v>6567</v>
      </c>
      <c r="Y404" t="s">
        <v>6568</v>
      </c>
      <c r="Z404" t="s">
        <v>6569</v>
      </c>
      <c r="AA404" t="s">
        <v>6570</v>
      </c>
      <c r="AB404" t="s">
        <v>74</v>
      </c>
      <c r="AC404" t="s">
        <v>6571</v>
      </c>
      <c r="AD404" t="s">
        <v>6572</v>
      </c>
      <c r="AE404" t="s">
        <v>6573</v>
      </c>
      <c r="AF404" t="s">
        <v>74</v>
      </c>
      <c r="AG404">
        <v>30</v>
      </c>
      <c r="AH404">
        <v>27</v>
      </c>
      <c r="AI404">
        <v>28</v>
      </c>
      <c r="AJ404">
        <v>1</v>
      </c>
      <c r="AK404">
        <v>12</v>
      </c>
      <c r="AL404" t="s">
        <v>92</v>
      </c>
      <c r="AM404" t="s">
        <v>93</v>
      </c>
      <c r="AN404" t="s">
        <v>94</v>
      </c>
      <c r="AO404" t="s">
        <v>95</v>
      </c>
      <c r="AP404" t="s">
        <v>96</v>
      </c>
      <c r="AQ404" t="s">
        <v>74</v>
      </c>
      <c r="AR404" t="s">
        <v>97</v>
      </c>
      <c r="AS404" t="s">
        <v>98</v>
      </c>
      <c r="AT404" t="s">
        <v>386</v>
      </c>
      <c r="AU404">
        <v>2019</v>
      </c>
      <c r="AV404">
        <v>64</v>
      </c>
      <c r="AW404">
        <v>7</v>
      </c>
      <c r="AX404" t="s">
        <v>74</v>
      </c>
      <c r="AY404" t="s">
        <v>74</v>
      </c>
      <c r="AZ404" t="s">
        <v>74</v>
      </c>
      <c r="BA404" t="s">
        <v>74</v>
      </c>
      <c r="BB404" t="s">
        <v>74</v>
      </c>
      <c r="BC404" t="s">
        <v>74</v>
      </c>
      <c r="BD404">
        <v>75006</v>
      </c>
      <c r="BE404" t="s">
        <v>6574</v>
      </c>
      <c r="BF404" t="str">
        <f>HYPERLINK("http://dx.doi.org/10.1088/1361-6560/ab0a7d","http://dx.doi.org/10.1088/1361-6560/ab0a7d")</f>
        <v>http://dx.doi.org/10.1088/1361-6560/ab0a7d</v>
      </c>
      <c r="BG404" t="s">
        <v>74</v>
      </c>
      <c r="BH404" t="s">
        <v>74</v>
      </c>
      <c r="BI404">
        <v>14</v>
      </c>
      <c r="BJ404" t="s">
        <v>101</v>
      </c>
      <c r="BK404" t="s">
        <v>102</v>
      </c>
      <c r="BL404" t="s">
        <v>103</v>
      </c>
      <c r="BM404" t="s">
        <v>388</v>
      </c>
      <c r="BN404">
        <v>30808018</v>
      </c>
      <c r="BO404" t="s">
        <v>74</v>
      </c>
      <c r="BP404" t="s">
        <v>74</v>
      </c>
      <c r="BQ404" t="s">
        <v>74</v>
      </c>
      <c r="BR404" t="s">
        <v>106</v>
      </c>
      <c r="BS404" t="s">
        <v>6575</v>
      </c>
      <c r="BT404" t="str">
        <f>HYPERLINK("https%3A%2F%2Fwww.webofscience.com%2Fwos%2Fwoscc%2Ffull-record%2FWOS:000462743600002","View Full Record in Web of Science")</f>
        <v>View Full Record in Web of Science</v>
      </c>
    </row>
    <row r="405" spans="1:72" x14ac:dyDescent="0.25">
      <c r="A405" t="s">
        <v>72</v>
      </c>
      <c r="B405" t="s">
        <v>6576</v>
      </c>
      <c r="C405" t="s">
        <v>74</v>
      </c>
      <c r="D405" t="s">
        <v>74</v>
      </c>
      <c r="E405" t="s">
        <v>74</v>
      </c>
      <c r="F405" t="s">
        <v>6577</v>
      </c>
      <c r="G405" t="s">
        <v>74</v>
      </c>
      <c r="H405" t="s">
        <v>74</v>
      </c>
      <c r="I405" t="s">
        <v>6578</v>
      </c>
      <c r="J405" t="s">
        <v>77</v>
      </c>
      <c r="K405" t="s">
        <v>74</v>
      </c>
      <c r="L405" t="s">
        <v>74</v>
      </c>
      <c r="M405" t="s">
        <v>78</v>
      </c>
      <c r="N405" t="s">
        <v>79</v>
      </c>
      <c r="O405" t="s">
        <v>74</v>
      </c>
      <c r="P405" t="s">
        <v>74</v>
      </c>
      <c r="Q405" t="s">
        <v>74</v>
      </c>
      <c r="R405" t="s">
        <v>74</v>
      </c>
      <c r="S405" t="s">
        <v>74</v>
      </c>
      <c r="T405" t="s">
        <v>6579</v>
      </c>
      <c r="U405" t="s">
        <v>6580</v>
      </c>
      <c r="V405" t="s">
        <v>6581</v>
      </c>
      <c r="W405" t="s">
        <v>6582</v>
      </c>
      <c r="X405" t="s">
        <v>6583</v>
      </c>
      <c r="Y405" t="s">
        <v>6584</v>
      </c>
      <c r="Z405" t="s">
        <v>6585</v>
      </c>
      <c r="AA405" t="s">
        <v>806</v>
      </c>
      <c r="AB405" t="s">
        <v>807</v>
      </c>
      <c r="AC405" t="s">
        <v>6586</v>
      </c>
      <c r="AD405" t="s">
        <v>6587</v>
      </c>
      <c r="AE405" t="s">
        <v>6588</v>
      </c>
      <c r="AF405" t="s">
        <v>74</v>
      </c>
      <c r="AG405">
        <v>25</v>
      </c>
      <c r="AH405">
        <v>3</v>
      </c>
      <c r="AI405">
        <v>3</v>
      </c>
      <c r="AJ405">
        <v>0</v>
      </c>
      <c r="AK405">
        <v>0</v>
      </c>
      <c r="AL405" t="s">
        <v>92</v>
      </c>
      <c r="AM405" t="s">
        <v>93</v>
      </c>
      <c r="AN405" t="s">
        <v>94</v>
      </c>
      <c r="AO405" t="s">
        <v>95</v>
      </c>
      <c r="AP405" t="s">
        <v>96</v>
      </c>
      <c r="AQ405" t="s">
        <v>74</v>
      </c>
      <c r="AR405" t="s">
        <v>97</v>
      </c>
      <c r="AS405" t="s">
        <v>98</v>
      </c>
      <c r="AT405" t="s">
        <v>436</v>
      </c>
      <c r="AU405">
        <v>2019</v>
      </c>
      <c r="AV405">
        <v>64</v>
      </c>
      <c r="AW405">
        <v>6</v>
      </c>
      <c r="AX405" t="s">
        <v>74</v>
      </c>
      <c r="AY405" t="s">
        <v>74</v>
      </c>
      <c r="AZ405" t="s">
        <v>74</v>
      </c>
      <c r="BA405" t="s">
        <v>74</v>
      </c>
      <c r="BB405" t="s">
        <v>74</v>
      </c>
      <c r="BC405" t="s">
        <v>74</v>
      </c>
      <c r="BD405">
        <v>65012</v>
      </c>
      <c r="BE405" t="s">
        <v>6589</v>
      </c>
      <c r="BF405" t="str">
        <f>HYPERLINK("http://dx.doi.org/10.1088/1361-6560/ab0522","http://dx.doi.org/10.1088/1361-6560/ab0522")</f>
        <v>http://dx.doi.org/10.1088/1361-6560/ab0522</v>
      </c>
      <c r="BG405" t="s">
        <v>74</v>
      </c>
      <c r="BH405" t="s">
        <v>74</v>
      </c>
      <c r="BI405">
        <v>10</v>
      </c>
      <c r="BJ405" t="s">
        <v>101</v>
      </c>
      <c r="BK405" t="s">
        <v>6590</v>
      </c>
      <c r="BL405" t="s">
        <v>103</v>
      </c>
      <c r="BM405" t="s">
        <v>3258</v>
      </c>
      <c r="BN405">
        <v>30731437</v>
      </c>
      <c r="BO405" t="s">
        <v>74</v>
      </c>
      <c r="BP405" t="s">
        <v>74</v>
      </c>
      <c r="BQ405" t="s">
        <v>74</v>
      </c>
      <c r="BR405" t="s">
        <v>106</v>
      </c>
      <c r="BS405" t="s">
        <v>6591</v>
      </c>
      <c r="BT405" t="str">
        <f>HYPERLINK("https%3A%2F%2Fwww.webofscience.com%2Fwos%2Fwoscc%2Ffull-record%2FWOS:000461426100001","View Full Record in Web of Science")</f>
        <v>View Full Record in Web of Science</v>
      </c>
    </row>
    <row r="406" spans="1:72" x14ac:dyDescent="0.25">
      <c r="A406" t="s">
        <v>72</v>
      </c>
      <c r="B406" t="s">
        <v>6592</v>
      </c>
      <c r="C406" t="s">
        <v>74</v>
      </c>
      <c r="D406" t="s">
        <v>74</v>
      </c>
      <c r="E406" t="s">
        <v>74</v>
      </c>
      <c r="F406" t="s">
        <v>6593</v>
      </c>
      <c r="G406" t="s">
        <v>74</v>
      </c>
      <c r="H406" t="s">
        <v>74</v>
      </c>
      <c r="I406" t="s">
        <v>6594</v>
      </c>
      <c r="J406" t="s">
        <v>77</v>
      </c>
      <c r="K406" t="s">
        <v>74</v>
      </c>
      <c r="L406" t="s">
        <v>74</v>
      </c>
      <c r="M406" t="s">
        <v>78</v>
      </c>
      <c r="N406" t="s">
        <v>79</v>
      </c>
      <c r="O406" t="s">
        <v>74</v>
      </c>
      <c r="P406" t="s">
        <v>74</v>
      </c>
      <c r="Q406" t="s">
        <v>74</v>
      </c>
      <c r="R406" t="s">
        <v>74</v>
      </c>
      <c r="S406" t="s">
        <v>74</v>
      </c>
      <c r="T406" t="s">
        <v>6595</v>
      </c>
      <c r="U406" t="s">
        <v>6596</v>
      </c>
      <c r="V406" t="s">
        <v>6597</v>
      </c>
      <c r="W406" t="s">
        <v>6598</v>
      </c>
      <c r="X406" t="s">
        <v>6599</v>
      </c>
      <c r="Y406" t="s">
        <v>6600</v>
      </c>
      <c r="Z406" t="s">
        <v>6601</v>
      </c>
      <c r="AA406" t="s">
        <v>6602</v>
      </c>
      <c r="AB406" t="s">
        <v>6603</v>
      </c>
      <c r="AC406" t="s">
        <v>74</v>
      </c>
      <c r="AD406" t="s">
        <v>74</v>
      </c>
      <c r="AE406" t="s">
        <v>74</v>
      </c>
      <c r="AF406" t="s">
        <v>74</v>
      </c>
      <c r="AG406">
        <v>54</v>
      </c>
      <c r="AH406">
        <v>15</v>
      </c>
      <c r="AI406">
        <v>17</v>
      </c>
      <c r="AJ406">
        <v>0</v>
      </c>
      <c r="AK406">
        <v>12</v>
      </c>
      <c r="AL406" t="s">
        <v>92</v>
      </c>
      <c r="AM406" t="s">
        <v>93</v>
      </c>
      <c r="AN406" t="s">
        <v>94</v>
      </c>
      <c r="AO406" t="s">
        <v>95</v>
      </c>
      <c r="AP406" t="s">
        <v>96</v>
      </c>
      <c r="AQ406" t="s">
        <v>74</v>
      </c>
      <c r="AR406" t="s">
        <v>97</v>
      </c>
      <c r="AS406" t="s">
        <v>98</v>
      </c>
      <c r="AT406" t="s">
        <v>471</v>
      </c>
      <c r="AU406">
        <v>2019</v>
      </c>
      <c r="AV406">
        <v>64</v>
      </c>
      <c r="AW406">
        <v>2</v>
      </c>
      <c r="AX406" t="s">
        <v>74</v>
      </c>
      <c r="AY406" t="s">
        <v>74</v>
      </c>
      <c r="AZ406" t="s">
        <v>74</v>
      </c>
      <c r="BA406" t="s">
        <v>74</v>
      </c>
      <c r="BB406" t="s">
        <v>74</v>
      </c>
      <c r="BC406" t="s">
        <v>74</v>
      </c>
      <c r="BD406">
        <v>25003</v>
      </c>
      <c r="BE406" t="s">
        <v>6604</v>
      </c>
      <c r="BF406" t="str">
        <f>HYPERLINK("http://dx.doi.org/10.1088/1361-6560/aaf58d","http://dx.doi.org/10.1088/1361-6560/aaf58d")</f>
        <v>http://dx.doi.org/10.1088/1361-6560/aaf58d</v>
      </c>
      <c r="BG406" t="s">
        <v>74</v>
      </c>
      <c r="BH406" t="s">
        <v>74</v>
      </c>
      <c r="BI406">
        <v>12</v>
      </c>
      <c r="BJ406" t="s">
        <v>101</v>
      </c>
      <c r="BK406" t="s">
        <v>102</v>
      </c>
      <c r="BL406" t="s">
        <v>103</v>
      </c>
      <c r="BM406" t="s">
        <v>473</v>
      </c>
      <c r="BN406">
        <v>30523945</v>
      </c>
      <c r="BO406" t="s">
        <v>270</v>
      </c>
      <c r="BP406" t="s">
        <v>74</v>
      </c>
      <c r="BQ406" t="s">
        <v>74</v>
      </c>
      <c r="BR406" t="s">
        <v>106</v>
      </c>
      <c r="BS406" t="s">
        <v>6605</v>
      </c>
      <c r="BT406" t="str">
        <f>HYPERLINK("https%3A%2F%2Fwww.webofscience.com%2Fwos%2Fwoscc%2Ffull-record%2FWOS:000455360700003","View Full Record in Web of Science")</f>
        <v>View Full Record in Web of Science</v>
      </c>
    </row>
    <row r="407" spans="1:72" x14ac:dyDescent="0.25">
      <c r="A407" t="s">
        <v>72</v>
      </c>
      <c r="B407" t="s">
        <v>6606</v>
      </c>
      <c r="C407" t="s">
        <v>74</v>
      </c>
      <c r="D407" t="s">
        <v>74</v>
      </c>
      <c r="E407" t="s">
        <v>74</v>
      </c>
      <c r="F407" t="s">
        <v>6607</v>
      </c>
      <c r="G407" t="s">
        <v>74</v>
      </c>
      <c r="H407" t="s">
        <v>74</v>
      </c>
      <c r="I407" t="s">
        <v>6608</v>
      </c>
      <c r="J407" t="s">
        <v>77</v>
      </c>
      <c r="K407" t="s">
        <v>74</v>
      </c>
      <c r="L407" t="s">
        <v>74</v>
      </c>
      <c r="M407" t="s">
        <v>78</v>
      </c>
      <c r="N407" t="s">
        <v>79</v>
      </c>
      <c r="O407" t="s">
        <v>74</v>
      </c>
      <c r="P407" t="s">
        <v>74</v>
      </c>
      <c r="Q407" t="s">
        <v>74</v>
      </c>
      <c r="R407" t="s">
        <v>74</v>
      </c>
      <c r="S407" t="s">
        <v>74</v>
      </c>
      <c r="T407" t="s">
        <v>6609</v>
      </c>
      <c r="U407" t="s">
        <v>6610</v>
      </c>
      <c r="V407" t="s">
        <v>6611</v>
      </c>
      <c r="W407" t="s">
        <v>6612</v>
      </c>
      <c r="X407" t="s">
        <v>6613</v>
      </c>
      <c r="Y407" t="s">
        <v>6614</v>
      </c>
      <c r="Z407" t="s">
        <v>6615</v>
      </c>
      <c r="AA407" t="s">
        <v>6616</v>
      </c>
      <c r="AB407" t="s">
        <v>6617</v>
      </c>
      <c r="AC407" t="s">
        <v>6618</v>
      </c>
      <c r="AD407" t="s">
        <v>6619</v>
      </c>
      <c r="AE407" t="s">
        <v>6620</v>
      </c>
      <c r="AF407" t="s">
        <v>74</v>
      </c>
      <c r="AG407">
        <v>37</v>
      </c>
      <c r="AH407">
        <v>24</v>
      </c>
      <c r="AI407">
        <v>27</v>
      </c>
      <c r="AJ407">
        <v>0</v>
      </c>
      <c r="AK407">
        <v>25</v>
      </c>
      <c r="AL407" t="s">
        <v>157</v>
      </c>
      <c r="AM407" t="s">
        <v>93</v>
      </c>
      <c r="AN407" t="s">
        <v>94</v>
      </c>
      <c r="AO407" t="s">
        <v>95</v>
      </c>
      <c r="AP407" t="s">
        <v>96</v>
      </c>
      <c r="AQ407" t="s">
        <v>74</v>
      </c>
      <c r="AR407" t="s">
        <v>97</v>
      </c>
      <c r="AS407" t="s">
        <v>98</v>
      </c>
      <c r="AT407" t="s">
        <v>471</v>
      </c>
      <c r="AU407">
        <v>2019</v>
      </c>
      <c r="AV407">
        <v>64</v>
      </c>
      <c r="AW407">
        <v>2</v>
      </c>
      <c r="AX407" t="s">
        <v>74</v>
      </c>
      <c r="AY407" t="s">
        <v>74</v>
      </c>
      <c r="AZ407" t="s">
        <v>74</v>
      </c>
      <c r="BA407" t="s">
        <v>74</v>
      </c>
      <c r="BB407" t="s">
        <v>74</v>
      </c>
      <c r="BC407" t="s">
        <v>74</v>
      </c>
      <c r="BD407">
        <v>25015</v>
      </c>
      <c r="BE407" t="s">
        <v>6621</v>
      </c>
      <c r="BF407" t="str">
        <f>HYPERLINK("http://dx.doi.org/10.1088/1361-6560/aaf83c","http://dx.doi.org/10.1088/1361-6560/aaf83c")</f>
        <v>http://dx.doi.org/10.1088/1361-6560/aaf83c</v>
      </c>
      <c r="BG407" t="s">
        <v>74</v>
      </c>
      <c r="BH407" t="s">
        <v>74</v>
      </c>
      <c r="BI407">
        <v>12</v>
      </c>
      <c r="BJ407" t="s">
        <v>101</v>
      </c>
      <c r="BK407" t="s">
        <v>102</v>
      </c>
      <c r="BL407" t="s">
        <v>103</v>
      </c>
      <c r="BM407" t="s">
        <v>3082</v>
      </c>
      <c r="BN407">
        <v>30540975</v>
      </c>
      <c r="BO407" t="s">
        <v>74</v>
      </c>
      <c r="BP407" t="s">
        <v>74</v>
      </c>
      <c r="BQ407" t="s">
        <v>74</v>
      </c>
      <c r="BR407" t="s">
        <v>106</v>
      </c>
      <c r="BS407" t="s">
        <v>6622</v>
      </c>
      <c r="BT407" t="str">
        <f>HYPERLINK("https%3A%2F%2Fwww.webofscience.com%2Fwos%2Fwoscc%2Ffull-record%2FWOS:000455823300012","View Full Record in Web of Science")</f>
        <v>View Full Record in Web of Science</v>
      </c>
    </row>
    <row r="408" spans="1:72" x14ac:dyDescent="0.25">
      <c r="A408" t="s">
        <v>72</v>
      </c>
      <c r="B408" t="s">
        <v>6623</v>
      </c>
      <c r="C408" t="s">
        <v>74</v>
      </c>
      <c r="D408" t="s">
        <v>74</v>
      </c>
      <c r="E408" t="s">
        <v>74</v>
      </c>
      <c r="F408" t="s">
        <v>6624</v>
      </c>
      <c r="G408" t="s">
        <v>74</v>
      </c>
      <c r="H408" t="s">
        <v>74</v>
      </c>
      <c r="I408" t="s">
        <v>6625</v>
      </c>
      <c r="J408" t="s">
        <v>77</v>
      </c>
      <c r="K408" t="s">
        <v>74</v>
      </c>
      <c r="L408" t="s">
        <v>74</v>
      </c>
      <c r="M408" t="s">
        <v>78</v>
      </c>
      <c r="N408" t="s">
        <v>79</v>
      </c>
      <c r="O408" t="s">
        <v>74</v>
      </c>
      <c r="P408" t="s">
        <v>74</v>
      </c>
      <c r="Q408" t="s">
        <v>74</v>
      </c>
      <c r="R408" t="s">
        <v>74</v>
      </c>
      <c r="S408" t="s">
        <v>74</v>
      </c>
      <c r="T408" t="s">
        <v>6626</v>
      </c>
      <c r="U408" t="s">
        <v>6627</v>
      </c>
      <c r="V408" t="s">
        <v>6628</v>
      </c>
      <c r="W408" t="s">
        <v>6629</v>
      </c>
      <c r="X408" t="s">
        <v>429</v>
      </c>
      <c r="Y408" t="s">
        <v>6630</v>
      </c>
      <c r="Z408" t="s">
        <v>6631</v>
      </c>
      <c r="AA408" t="s">
        <v>6632</v>
      </c>
      <c r="AB408" t="s">
        <v>6633</v>
      </c>
      <c r="AC408" t="s">
        <v>6634</v>
      </c>
      <c r="AD408" t="s">
        <v>6635</v>
      </c>
      <c r="AE408" t="s">
        <v>6636</v>
      </c>
      <c r="AF408" t="s">
        <v>74</v>
      </c>
      <c r="AG408">
        <v>27</v>
      </c>
      <c r="AH408">
        <v>6</v>
      </c>
      <c r="AI408">
        <v>6</v>
      </c>
      <c r="AJ408">
        <v>0</v>
      </c>
      <c r="AK408">
        <v>2</v>
      </c>
      <c r="AL408" t="s">
        <v>157</v>
      </c>
      <c r="AM408" t="s">
        <v>93</v>
      </c>
      <c r="AN408" t="s">
        <v>94</v>
      </c>
      <c r="AO408" t="s">
        <v>95</v>
      </c>
      <c r="AP408" t="s">
        <v>96</v>
      </c>
      <c r="AQ408" t="s">
        <v>74</v>
      </c>
      <c r="AR408" t="s">
        <v>97</v>
      </c>
      <c r="AS408" t="s">
        <v>98</v>
      </c>
      <c r="AT408" t="s">
        <v>99</v>
      </c>
      <c r="AU408">
        <v>2019</v>
      </c>
      <c r="AV408">
        <v>64</v>
      </c>
      <c r="AW408">
        <v>23</v>
      </c>
      <c r="AX408" t="s">
        <v>74</v>
      </c>
      <c r="AY408" t="s">
        <v>74</v>
      </c>
      <c r="AZ408" t="s">
        <v>74</v>
      </c>
      <c r="BA408" t="s">
        <v>74</v>
      </c>
      <c r="BB408" t="s">
        <v>74</v>
      </c>
      <c r="BC408" t="s">
        <v>74</v>
      </c>
      <c r="BD408">
        <v>235002</v>
      </c>
      <c r="BE408" t="s">
        <v>6637</v>
      </c>
      <c r="BF408" t="str">
        <f>HYPERLINK("http://dx.doi.org/10.1088/1361-6560/ab4e49","http://dx.doi.org/10.1088/1361-6560/ab4e49")</f>
        <v>http://dx.doi.org/10.1088/1361-6560/ab4e49</v>
      </c>
      <c r="BG408" t="s">
        <v>74</v>
      </c>
      <c r="BH408" t="s">
        <v>74</v>
      </c>
      <c r="BI408">
        <v>11</v>
      </c>
      <c r="BJ408" t="s">
        <v>101</v>
      </c>
      <c r="BK408" t="s">
        <v>102</v>
      </c>
      <c r="BL408" t="s">
        <v>103</v>
      </c>
      <c r="BM408" t="s">
        <v>6638</v>
      </c>
      <c r="BN408">
        <v>31618717</v>
      </c>
      <c r="BO408" t="s">
        <v>74</v>
      </c>
      <c r="BP408" t="s">
        <v>74</v>
      </c>
      <c r="BQ408" t="s">
        <v>74</v>
      </c>
      <c r="BR408" t="s">
        <v>106</v>
      </c>
      <c r="BS408" t="s">
        <v>6639</v>
      </c>
      <c r="BT408" t="str">
        <f>HYPERLINK("https%3A%2F%2Fwww.webofscience.com%2Fwos%2Fwoscc%2Ffull-record%2FWOS:000499357500001","View Full Record in Web of Science")</f>
        <v>View Full Record in Web of Science</v>
      </c>
    </row>
    <row r="409" spans="1:72" x14ac:dyDescent="0.25">
      <c r="A409" t="s">
        <v>72</v>
      </c>
      <c r="B409" t="s">
        <v>6640</v>
      </c>
      <c r="C409" t="s">
        <v>74</v>
      </c>
      <c r="D409" t="s">
        <v>74</v>
      </c>
      <c r="E409" t="s">
        <v>74</v>
      </c>
      <c r="F409" t="s">
        <v>6641</v>
      </c>
      <c r="G409" t="s">
        <v>74</v>
      </c>
      <c r="H409" t="s">
        <v>74</v>
      </c>
      <c r="I409" t="s">
        <v>6642</v>
      </c>
      <c r="J409" t="s">
        <v>77</v>
      </c>
      <c r="K409" t="s">
        <v>74</v>
      </c>
      <c r="L409" t="s">
        <v>74</v>
      </c>
      <c r="M409" t="s">
        <v>78</v>
      </c>
      <c r="N409" t="s">
        <v>79</v>
      </c>
      <c r="O409" t="s">
        <v>74</v>
      </c>
      <c r="P409" t="s">
        <v>74</v>
      </c>
      <c r="Q409" t="s">
        <v>74</v>
      </c>
      <c r="R409" t="s">
        <v>74</v>
      </c>
      <c r="S409" t="s">
        <v>74</v>
      </c>
      <c r="T409" t="s">
        <v>6643</v>
      </c>
      <c r="U409" t="s">
        <v>6644</v>
      </c>
      <c r="V409" t="s">
        <v>6645</v>
      </c>
      <c r="W409" t="s">
        <v>6646</v>
      </c>
      <c r="X409" t="s">
        <v>6647</v>
      </c>
      <c r="Y409" t="s">
        <v>6648</v>
      </c>
      <c r="Z409" t="s">
        <v>6649</v>
      </c>
      <c r="AA409" t="s">
        <v>6650</v>
      </c>
      <c r="AB409" t="s">
        <v>6651</v>
      </c>
      <c r="AC409" t="s">
        <v>6652</v>
      </c>
      <c r="AD409" t="s">
        <v>6653</v>
      </c>
      <c r="AE409" t="s">
        <v>6654</v>
      </c>
      <c r="AF409" t="s">
        <v>74</v>
      </c>
      <c r="AG409">
        <v>47</v>
      </c>
      <c r="AH409">
        <v>19</v>
      </c>
      <c r="AI409">
        <v>19</v>
      </c>
      <c r="AJ409">
        <v>1</v>
      </c>
      <c r="AK409">
        <v>5</v>
      </c>
      <c r="AL409" t="s">
        <v>92</v>
      </c>
      <c r="AM409" t="s">
        <v>93</v>
      </c>
      <c r="AN409" t="s">
        <v>94</v>
      </c>
      <c r="AO409" t="s">
        <v>95</v>
      </c>
      <c r="AP409" t="s">
        <v>96</v>
      </c>
      <c r="AQ409" t="s">
        <v>74</v>
      </c>
      <c r="AR409" t="s">
        <v>97</v>
      </c>
      <c r="AS409" t="s">
        <v>98</v>
      </c>
      <c r="AT409" t="s">
        <v>99</v>
      </c>
      <c r="AU409">
        <v>2019</v>
      </c>
      <c r="AV409">
        <v>64</v>
      </c>
      <c r="AW409">
        <v>24</v>
      </c>
      <c r="AX409" t="s">
        <v>74</v>
      </c>
      <c r="AY409" t="s">
        <v>74</v>
      </c>
      <c r="AZ409" t="s">
        <v>74</v>
      </c>
      <c r="BA409" t="s">
        <v>74</v>
      </c>
      <c r="BB409" t="s">
        <v>74</v>
      </c>
      <c r="BC409" t="s">
        <v>74</v>
      </c>
      <c r="BD409">
        <v>245004</v>
      </c>
      <c r="BE409" t="s">
        <v>6655</v>
      </c>
      <c r="BF409" t="str">
        <f>HYPERLINK("http://dx.doi.org/10.1088/1361-6560/ab55ac","http://dx.doi.org/10.1088/1361-6560/ab55ac")</f>
        <v>http://dx.doi.org/10.1088/1361-6560/ab55ac</v>
      </c>
      <c r="BG409" t="s">
        <v>74</v>
      </c>
      <c r="BH409" t="s">
        <v>74</v>
      </c>
      <c r="BI409">
        <v>16</v>
      </c>
      <c r="BJ409" t="s">
        <v>101</v>
      </c>
      <c r="BK409" t="s">
        <v>102</v>
      </c>
      <c r="BL409" t="s">
        <v>103</v>
      </c>
      <c r="BM409" t="s">
        <v>104</v>
      </c>
      <c r="BN409">
        <v>31703216</v>
      </c>
      <c r="BO409" t="s">
        <v>105</v>
      </c>
      <c r="BP409" t="s">
        <v>74</v>
      </c>
      <c r="BQ409" t="s">
        <v>74</v>
      </c>
      <c r="BR409" t="s">
        <v>106</v>
      </c>
      <c r="BS409" t="s">
        <v>6656</v>
      </c>
      <c r="BT409" t="str">
        <f>HYPERLINK("https%3A%2F%2Fwww.webofscience.com%2Fwos%2Fwoscc%2Ffull-record%2FWOS:000513009900004","View Full Record in Web of Science")</f>
        <v>View Full Record in Web of Science</v>
      </c>
    </row>
    <row r="410" spans="1:72" x14ac:dyDescent="0.25">
      <c r="A410" t="s">
        <v>72</v>
      </c>
      <c r="B410" t="s">
        <v>6657</v>
      </c>
      <c r="C410" t="s">
        <v>74</v>
      </c>
      <c r="D410" t="s">
        <v>74</v>
      </c>
      <c r="E410" t="s">
        <v>74</v>
      </c>
      <c r="F410" t="s">
        <v>6658</v>
      </c>
      <c r="G410" t="s">
        <v>74</v>
      </c>
      <c r="H410" t="s">
        <v>74</v>
      </c>
      <c r="I410" t="s">
        <v>6659</v>
      </c>
      <c r="J410" t="s">
        <v>77</v>
      </c>
      <c r="K410" t="s">
        <v>74</v>
      </c>
      <c r="L410" t="s">
        <v>74</v>
      </c>
      <c r="M410" t="s">
        <v>78</v>
      </c>
      <c r="N410" t="s">
        <v>79</v>
      </c>
      <c r="O410" t="s">
        <v>74</v>
      </c>
      <c r="P410" t="s">
        <v>74</v>
      </c>
      <c r="Q410" t="s">
        <v>74</v>
      </c>
      <c r="R410" t="s">
        <v>74</v>
      </c>
      <c r="S410" t="s">
        <v>74</v>
      </c>
      <c r="T410" t="s">
        <v>6660</v>
      </c>
      <c r="U410" t="s">
        <v>6661</v>
      </c>
      <c r="V410" t="s">
        <v>6662</v>
      </c>
      <c r="W410" t="s">
        <v>6663</v>
      </c>
      <c r="X410" t="s">
        <v>6664</v>
      </c>
      <c r="Y410" t="s">
        <v>6665</v>
      </c>
      <c r="Z410" t="s">
        <v>6666</v>
      </c>
      <c r="AA410" t="s">
        <v>6667</v>
      </c>
      <c r="AB410" t="s">
        <v>6668</v>
      </c>
      <c r="AC410" t="s">
        <v>6669</v>
      </c>
      <c r="AD410" t="s">
        <v>6670</v>
      </c>
      <c r="AE410" t="s">
        <v>6671</v>
      </c>
      <c r="AF410" t="s">
        <v>74</v>
      </c>
      <c r="AG410">
        <v>44</v>
      </c>
      <c r="AH410">
        <v>26</v>
      </c>
      <c r="AI410">
        <v>29</v>
      </c>
      <c r="AJ410">
        <v>0</v>
      </c>
      <c r="AK410">
        <v>25</v>
      </c>
      <c r="AL410" t="s">
        <v>92</v>
      </c>
      <c r="AM410" t="s">
        <v>93</v>
      </c>
      <c r="AN410" t="s">
        <v>94</v>
      </c>
      <c r="AO410" t="s">
        <v>95</v>
      </c>
      <c r="AP410" t="s">
        <v>96</v>
      </c>
      <c r="AQ410" t="s">
        <v>74</v>
      </c>
      <c r="AR410" t="s">
        <v>97</v>
      </c>
      <c r="AS410" t="s">
        <v>98</v>
      </c>
      <c r="AT410" t="s">
        <v>137</v>
      </c>
      <c r="AU410">
        <v>2019</v>
      </c>
      <c r="AV410">
        <v>64</v>
      </c>
      <c r="AW410">
        <v>21</v>
      </c>
      <c r="AX410" t="s">
        <v>74</v>
      </c>
      <c r="AY410" t="s">
        <v>74</v>
      </c>
      <c r="AZ410" t="s">
        <v>74</v>
      </c>
      <c r="BA410" t="s">
        <v>74</v>
      </c>
      <c r="BB410" t="s">
        <v>74</v>
      </c>
      <c r="BC410" t="s">
        <v>74</v>
      </c>
      <c r="BD410">
        <v>215001</v>
      </c>
      <c r="BE410" t="s">
        <v>6672</v>
      </c>
      <c r="BF410" t="str">
        <f>HYPERLINK("http://dx.doi.org/10.1088/1361-6560/ab3fd3","http://dx.doi.org/10.1088/1361-6560/ab3fd3")</f>
        <v>http://dx.doi.org/10.1088/1361-6560/ab3fd3</v>
      </c>
      <c r="BG410" t="s">
        <v>74</v>
      </c>
      <c r="BH410" t="s">
        <v>74</v>
      </c>
      <c r="BI410">
        <v>13</v>
      </c>
      <c r="BJ410" t="s">
        <v>101</v>
      </c>
      <c r="BK410" t="s">
        <v>102</v>
      </c>
      <c r="BL410" t="s">
        <v>103</v>
      </c>
      <c r="BM410" t="s">
        <v>708</v>
      </c>
      <c r="BN410">
        <v>31470420</v>
      </c>
      <c r="BO410" t="s">
        <v>74</v>
      </c>
      <c r="BP410" t="s">
        <v>74</v>
      </c>
      <c r="BQ410" t="s">
        <v>74</v>
      </c>
      <c r="BR410" t="s">
        <v>106</v>
      </c>
      <c r="BS410" t="s">
        <v>6673</v>
      </c>
      <c r="BT410" t="str">
        <f>HYPERLINK("https%3A%2F%2Fwww.webofscience.com%2Fwos%2Fwoscc%2Ffull-record%2FWOS:000518764400001","View Full Record in Web of Science")</f>
        <v>View Full Record in Web of Science</v>
      </c>
    </row>
    <row r="411" spans="1:72" x14ac:dyDescent="0.25">
      <c r="A411" t="s">
        <v>72</v>
      </c>
      <c r="B411" t="s">
        <v>6674</v>
      </c>
      <c r="C411" t="s">
        <v>74</v>
      </c>
      <c r="D411" t="s">
        <v>74</v>
      </c>
      <c r="E411" t="s">
        <v>74</v>
      </c>
      <c r="F411" t="s">
        <v>6675</v>
      </c>
      <c r="G411" t="s">
        <v>74</v>
      </c>
      <c r="H411" t="s">
        <v>74</v>
      </c>
      <c r="I411" t="s">
        <v>6676</v>
      </c>
      <c r="J411" t="s">
        <v>77</v>
      </c>
      <c r="K411" t="s">
        <v>74</v>
      </c>
      <c r="L411" t="s">
        <v>74</v>
      </c>
      <c r="M411" t="s">
        <v>78</v>
      </c>
      <c r="N411" t="s">
        <v>79</v>
      </c>
      <c r="O411" t="s">
        <v>74</v>
      </c>
      <c r="P411" t="s">
        <v>74</v>
      </c>
      <c r="Q411" t="s">
        <v>74</v>
      </c>
      <c r="R411" t="s">
        <v>74</v>
      </c>
      <c r="S411" t="s">
        <v>74</v>
      </c>
      <c r="T411" t="s">
        <v>6677</v>
      </c>
      <c r="U411" t="s">
        <v>6678</v>
      </c>
      <c r="V411" t="s">
        <v>6679</v>
      </c>
      <c r="W411" t="s">
        <v>6680</v>
      </c>
      <c r="X411" t="s">
        <v>6681</v>
      </c>
      <c r="Y411" t="s">
        <v>6682</v>
      </c>
      <c r="Z411" t="s">
        <v>6683</v>
      </c>
      <c r="AA411" t="s">
        <v>74</v>
      </c>
      <c r="AB411" t="s">
        <v>74</v>
      </c>
      <c r="AC411" t="s">
        <v>74</v>
      </c>
      <c r="AD411" t="s">
        <v>74</v>
      </c>
      <c r="AE411" t="s">
        <v>74</v>
      </c>
      <c r="AF411" t="s">
        <v>74</v>
      </c>
      <c r="AG411">
        <v>21</v>
      </c>
      <c r="AH411">
        <v>3</v>
      </c>
      <c r="AI411">
        <v>3</v>
      </c>
      <c r="AJ411">
        <v>0</v>
      </c>
      <c r="AK411">
        <v>1</v>
      </c>
      <c r="AL411" t="s">
        <v>92</v>
      </c>
      <c r="AM411" t="s">
        <v>93</v>
      </c>
      <c r="AN411" t="s">
        <v>94</v>
      </c>
      <c r="AO411" t="s">
        <v>95</v>
      </c>
      <c r="AP411" t="s">
        <v>96</v>
      </c>
      <c r="AQ411" t="s">
        <v>74</v>
      </c>
      <c r="AR411" t="s">
        <v>97</v>
      </c>
      <c r="AS411" t="s">
        <v>98</v>
      </c>
      <c r="AT411" t="s">
        <v>137</v>
      </c>
      <c r="AU411">
        <v>2019</v>
      </c>
      <c r="AV411">
        <v>64</v>
      </c>
      <c r="AW411">
        <v>21</v>
      </c>
      <c r="AX411" t="s">
        <v>74</v>
      </c>
      <c r="AY411" t="s">
        <v>74</v>
      </c>
      <c r="AZ411" t="s">
        <v>74</v>
      </c>
      <c r="BA411" t="s">
        <v>74</v>
      </c>
      <c r="BB411" t="s">
        <v>74</v>
      </c>
      <c r="BC411" t="s">
        <v>74</v>
      </c>
      <c r="BD411">
        <v>215011</v>
      </c>
      <c r="BE411" t="s">
        <v>6684</v>
      </c>
      <c r="BF411" t="str">
        <f>HYPERLINK("http://dx.doi.org/10.1088/1361-6560/ab47dd","http://dx.doi.org/10.1088/1361-6560/ab47dd")</f>
        <v>http://dx.doi.org/10.1088/1361-6560/ab47dd</v>
      </c>
      <c r="BG411" t="s">
        <v>74</v>
      </c>
      <c r="BH411" t="s">
        <v>74</v>
      </c>
      <c r="BI411">
        <v>10</v>
      </c>
      <c r="BJ411" t="s">
        <v>101</v>
      </c>
      <c r="BK411" t="s">
        <v>102</v>
      </c>
      <c r="BL411" t="s">
        <v>103</v>
      </c>
      <c r="BM411" t="s">
        <v>6685</v>
      </c>
      <c r="BN411">
        <v>31556402</v>
      </c>
      <c r="BO411" t="s">
        <v>74</v>
      </c>
      <c r="BP411" t="s">
        <v>74</v>
      </c>
      <c r="BQ411" t="s">
        <v>74</v>
      </c>
      <c r="BR411" t="s">
        <v>106</v>
      </c>
      <c r="BS411" t="s">
        <v>6686</v>
      </c>
      <c r="BT411" t="str">
        <f>HYPERLINK("https%3A%2F%2Fwww.webofscience.com%2Fwos%2Fwoscc%2Ffull-record%2FWOS:000494859600001","View Full Record in Web of Science")</f>
        <v>View Full Record in Web of Science</v>
      </c>
    </row>
    <row r="412" spans="1:72" x14ac:dyDescent="0.25">
      <c r="A412" t="s">
        <v>72</v>
      </c>
      <c r="B412" t="s">
        <v>6687</v>
      </c>
      <c r="C412" t="s">
        <v>74</v>
      </c>
      <c r="D412" t="s">
        <v>74</v>
      </c>
      <c r="E412" t="s">
        <v>74</v>
      </c>
      <c r="F412" t="s">
        <v>6688</v>
      </c>
      <c r="G412" t="s">
        <v>74</v>
      </c>
      <c r="H412" t="s">
        <v>74</v>
      </c>
      <c r="I412" t="s">
        <v>6689</v>
      </c>
      <c r="J412" t="s">
        <v>77</v>
      </c>
      <c r="K412" t="s">
        <v>74</v>
      </c>
      <c r="L412" t="s">
        <v>74</v>
      </c>
      <c r="M412" t="s">
        <v>78</v>
      </c>
      <c r="N412" t="s">
        <v>79</v>
      </c>
      <c r="O412" t="s">
        <v>74</v>
      </c>
      <c r="P412" t="s">
        <v>74</v>
      </c>
      <c r="Q412" t="s">
        <v>74</v>
      </c>
      <c r="R412" t="s">
        <v>74</v>
      </c>
      <c r="S412" t="s">
        <v>74</v>
      </c>
      <c r="T412" t="s">
        <v>6690</v>
      </c>
      <c r="U412" t="s">
        <v>6691</v>
      </c>
      <c r="V412" t="s">
        <v>6692</v>
      </c>
      <c r="W412" t="s">
        <v>6693</v>
      </c>
      <c r="X412" t="s">
        <v>3458</v>
      </c>
      <c r="Y412" t="s">
        <v>6694</v>
      </c>
      <c r="Z412" t="s">
        <v>6695</v>
      </c>
      <c r="AA412" t="s">
        <v>6696</v>
      </c>
      <c r="AB412" t="s">
        <v>74</v>
      </c>
      <c r="AC412" t="s">
        <v>74</v>
      </c>
      <c r="AD412" t="s">
        <v>74</v>
      </c>
      <c r="AE412" t="s">
        <v>74</v>
      </c>
      <c r="AF412" t="s">
        <v>74</v>
      </c>
      <c r="AG412">
        <v>31</v>
      </c>
      <c r="AH412">
        <v>14</v>
      </c>
      <c r="AI412">
        <v>14</v>
      </c>
      <c r="AJ412">
        <v>0</v>
      </c>
      <c r="AK412">
        <v>1</v>
      </c>
      <c r="AL412" t="s">
        <v>92</v>
      </c>
      <c r="AM412" t="s">
        <v>93</v>
      </c>
      <c r="AN412" t="s">
        <v>94</v>
      </c>
      <c r="AO412" t="s">
        <v>95</v>
      </c>
      <c r="AP412" t="s">
        <v>96</v>
      </c>
      <c r="AQ412" t="s">
        <v>74</v>
      </c>
      <c r="AR412" t="s">
        <v>97</v>
      </c>
      <c r="AS412" t="s">
        <v>98</v>
      </c>
      <c r="AT412" t="s">
        <v>509</v>
      </c>
      <c r="AU412">
        <v>2019</v>
      </c>
      <c r="AV412">
        <v>64</v>
      </c>
      <c r="AW412">
        <v>19</v>
      </c>
      <c r="AX412" t="s">
        <v>74</v>
      </c>
      <c r="AY412" t="s">
        <v>74</v>
      </c>
      <c r="AZ412" t="s">
        <v>74</v>
      </c>
      <c r="BA412" t="s">
        <v>74</v>
      </c>
      <c r="BB412" t="s">
        <v>74</v>
      </c>
      <c r="BC412" t="s">
        <v>74</v>
      </c>
      <c r="BD412">
        <v>195005</v>
      </c>
      <c r="BE412" t="s">
        <v>6697</v>
      </c>
      <c r="BF412" t="str">
        <f>HYPERLINK("http://dx.doi.org/10.1088/1361-6560/ab376e","http://dx.doi.org/10.1088/1361-6560/ab376e")</f>
        <v>http://dx.doi.org/10.1088/1361-6560/ab376e</v>
      </c>
      <c r="BG412" t="s">
        <v>74</v>
      </c>
      <c r="BH412" t="s">
        <v>74</v>
      </c>
      <c r="BI412">
        <v>15</v>
      </c>
      <c r="BJ412" t="s">
        <v>101</v>
      </c>
      <c r="BK412" t="s">
        <v>102</v>
      </c>
      <c r="BL412" t="s">
        <v>103</v>
      </c>
      <c r="BM412" t="s">
        <v>511</v>
      </c>
      <c r="BN412">
        <v>31365909</v>
      </c>
      <c r="BO412" t="s">
        <v>270</v>
      </c>
      <c r="BP412" t="s">
        <v>74</v>
      </c>
      <c r="BQ412" t="s">
        <v>74</v>
      </c>
      <c r="BR412" t="s">
        <v>106</v>
      </c>
      <c r="BS412" t="s">
        <v>6698</v>
      </c>
      <c r="BT412" t="str">
        <f>HYPERLINK("https%3A%2F%2Fwww.webofscience.com%2Fwos%2Fwoscc%2Ffull-record%2FWOS:000487555100005","View Full Record in Web of Science")</f>
        <v>View Full Record in Web of Science</v>
      </c>
    </row>
    <row r="413" spans="1:72" x14ac:dyDescent="0.25">
      <c r="A413" t="s">
        <v>72</v>
      </c>
      <c r="B413" t="s">
        <v>6699</v>
      </c>
      <c r="C413" t="s">
        <v>74</v>
      </c>
      <c r="D413" t="s">
        <v>74</v>
      </c>
      <c r="E413" t="s">
        <v>74</v>
      </c>
      <c r="F413" t="s">
        <v>6700</v>
      </c>
      <c r="G413" t="s">
        <v>74</v>
      </c>
      <c r="H413" t="s">
        <v>74</v>
      </c>
      <c r="I413" t="s">
        <v>6701</v>
      </c>
      <c r="J413" t="s">
        <v>77</v>
      </c>
      <c r="K413" t="s">
        <v>74</v>
      </c>
      <c r="L413" t="s">
        <v>74</v>
      </c>
      <c r="M413" t="s">
        <v>78</v>
      </c>
      <c r="N413" t="s">
        <v>79</v>
      </c>
      <c r="O413" t="s">
        <v>74</v>
      </c>
      <c r="P413" t="s">
        <v>74</v>
      </c>
      <c r="Q413" t="s">
        <v>74</v>
      </c>
      <c r="R413" t="s">
        <v>74</v>
      </c>
      <c r="S413" t="s">
        <v>74</v>
      </c>
      <c r="T413" t="s">
        <v>6702</v>
      </c>
      <c r="U413" t="s">
        <v>6703</v>
      </c>
      <c r="V413" t="s">
        <v>6704</v>
      </c>
      <c r="W413" t="s">
        <v>6705</v>
      </c>
      <c r="X413" t="s">
        <v>6706</v>
      </c>
      <c r="Y413" t="s">
        <v>6707</v>
      </c>
      <c r="Z413" t="s">
        <v>6708</v>
      </c>
      <c r="AA413" t="s">
        <v>6709</v>
      </c>
      <c r="AB413" t="s">
        <v>6710</v>
      </c>
      <c r="AC413" t="s">
        <v>6711</v>
      </c>
      <c r="AD413" t="s">
        <v>6712</v>
      </c>
      <c r="AE413" t="s">
        <v>6713</v>
      </c>
      <c r="AF413" t="s">
        <v>74</v>
      </c>
      <c r="AG413">
        <v>62</v>
      </c>
      <c r="AH413">
        <v>23</v>
      </c>
      <c r="AI413">
        <v>24</v>
      </c>
      <c r="AJ413">
        <v>0</v>
      </c>
      <c r="AK413">
        <v>6</v>
      </c>
      <c r="AL413" t="s">
        <v>92</v>
      </c>
      <c r="AM413" t="s">
        <v>93</v>
      </c>
      <c r="AN413" t="s">
        <v>94</v>
      </c>
      <c r="AO413" t="s">
        <v>95</v>
      </c>
      <c r="AP413" t="s">
        <v>96</v>
      </c>
      <c r="AQ413" t="s">
        <v>74</v>
      </c>
      <c r="AR413" t="s">
        <v>97</v>
      </c>
      <c r="AS413" t="s">
        <v>98</v>
      </c>
      <c r="AT413" t="s">
        <v>509</v>
      </c>
      <c r="AU413">
        <v>2019</v>
      </c>
      <c r="AV413">
        <v>64</v>
      </c>
      <c r="AW413">
        <v>20</v>
      </c>
      <c r="AX413" t="s">
        <v>74</v>
      </c>
      <c r="AY413" t="s">
        <v>74</v>
      </c>
      <c r="AZ413" t="s">
        <v>74</v>
      </c>
      <c r="BA413" t="s">
        <v>74</v>
      </c>
      <c r="BB413" t="s">
        <v>74</v>
      </c>
      <c r="BC413" t="s">
        <v>74</v>
      </c>
      <c r="BD413">
        <v>205012</v>
      </c>
      <c r="BE413" t="s">
        <v>6714</v>
      </c>
      <c r="BF413" t="str">
        <f>HYPERLINK("http://dx.doi.org/10.1088/1361-6560/ab4511","http://dx.doi.org/10.1088/1361-6560/ab4511")</f>
        <v>http://dx.doi.org/10.1088/1361-6560/ab4511</v>
      </c>
      <c r="BG413" t="s">
        <v>74</v>
      </c>
      <c r="BH413" t="s">
        <v>74</v>
      </c>
      <c r="BI413">
        <v>16</v>
      </c>
      <c r="BJ413" t="s">
        <v>101</v>
      </c>
      <c r="BK413" t="s">
        <v>102</v>
      </c>
      <c r="BL413" t="s">
        <v>103</v>
      </c>
      <c r="BM413" t="s">
        <v>741</v>
      </c>
      <c r="BN413">
        <v>31530751</v>
      </c>
      <c r="BO413" t="s">
        <v>829</v>
      </c>
      <c r="BP413" t="s">
        <v>74</v>
      </c>
      <c r="BQ413" t="s">
        <v>74</v>
      </c>
      <c r="BR413" t="s">
        <v>106</v>
      </c>
      <c r="BS413" t="s">
        <v>6715</v>
      </c>
      <c r="BT413" t="str">
        <f>HYPERLINK("https%3A%2F%2Fwww.webofscience.com%2Fwos%2Fwoscc%2Ffull-record%2FWOS:000500247900012","View Full Record in Web of Science")</f>
        <v>View Full Record in Web of Science</v>
      </c>
    </row>
    <row r="414" spans="1:72" x14ac:dyDescent="0.25">
      <c r="A414" t="s">
        <v>72</v>
      </c>
      <c r="B414" t="s">
        <v>6716</v>
      </c>
      <c r="C414" t="s">
        <v>74</v>
      </c>
      <c r="D414" t="s">
        <v>74</v>
      </c>
      <c r="E414" t="s">
        <v>74</v>
      </c>
      <c r="F414" t="s">
        <v>6717</v>
      </c>
      <c r="G414" t="s">
        <v>74</v>
      </c>
      <c r="H414" t="s">
        <v>74</v>
      </c>
      <c r="I414" t="s">
        <v>6718</v>
      </c>
      <c r="J414" t="s">
        <v>77</v>
      </c>
      <c r="K414" t="s">
        <v>74</v>
      </c>
      <c r="L414" t="s">
        <v>74</v>
      </c>
      <c r="M414" t="s">
        <v>78</v>
      </c>
      <c r="N414" t="s">
        <v>79</v>
      </c>
      <c r="O414" t="s">
        <v>74</v>
      </c>
      <c r="P414" t="s">
        <v>74</v>
      </c>
      <c r="Q414" t="s">
        <v>74</v>
      </c>
      <c r="R414" t="s">
        <v>74</v>
      </c>
      <c r="S414" t="s">
        <v>74</v>
      </c>
      <c r="T414" t="s">
        <v>6719</v>
      </c>
      <c r="U414" t="s">
        <v>6720</v>
      </c>
      <c r="V414" t="s">
        <v>6721</v>
      </c>
      <c r="W414" t="s">
        <v>6722</v>
      </c>
      <c r="X414" t="s">
        <v>6723</v>
      </c>
      <c r="Y414" t="s">
        <v>6724</v>
      </c>
      <c r="Z414" t="s">
        <v>6725</v>
      </c>
      <c r="AA414" t="s">
        <v>6726</v>
      </c>
      <c r="AB414" t="s">
        <v>6727</v>
      </c>
      <c r="AC414" t="s">
        <v>74</v>
      </c>
      <c r="AD414" t="s">
        <v>74</v>
      </c>
      <c r="AE414" t="s">
        <v>74</v>
      </c>
      <c r="AF414" t="s">
        <v>74</v>
      </c>
      <c r="AG414">
        <v>27</v>
      </c>
      <c r="AH414">
        <v>6</v>
      </c>
      <c r="AI414">
        <v>7</v>
      </c>
      <c r="AJ414">
        <v>0</v>
      </c>
      <c r="AK414">
        <v>3</v>
      </c>
      <c r="AL414" t="s">
        <v>92</v>
      </c>
      <c r="AM414" t="s">
        <v>93</v>
      </c>
      <c r="AN414" t="s">
        <v>94</v>
      </c>
      <c r="AO414" t="s">
        <v>95</v>
      </c>
      <c r="AP414" t="s">
        <v>96</v>
      </c>
      <c r="AQ414" t="s">
        <v>74</v>
      </c>
      <c r="AR414" t="s">
        <v>97</v>
      </c>
      <c r="AS414" t="s">
        <v>98</v>
      </c>
      <c r="AT414" t="s">
        <v>509</v>
      </c>
      <c r="AU414">
        <v>2019</v>
      </c>
      <c r="AV414">
        <v>64</v>
      </c>
      <c r="AW414">
        <v>20</v>
      </c>
      <c r="AX414" t="s">
        <v>74</v>
      </c>
      <c r="AY414" t="s">
        <v>74</v>
      </c>
      <c r="AZ414" t="s">
        <v>74</v>
      </c>
      <c r="BA414" t="s">
        <v>74</v>
      </c>
      <c r="BB414" t="s">
        <v>74</v>
      </c>
      <c r="BC414" t="s">
        <v>74</v>
      </c>
      <c r="BD414">
        <v>205003</v>
      </c>
      <c r="BE414" t="s">
        <v>6728</v>
      </c>
      <c r="BF414" t="str">
        <f>HYPERLINK("http://dx.doi.org/10.1088/1361-6560/ab44f8","http://dx.doi.org/10.1088/1361-6560/ab44f8")</f>
        <v>http://dx.doi.org/10.1088/1361-6560/ab44f8</v>
      </c>
      <c r="BG414" t="s">
        <v>74</v>
      </c>
      <c r="BH414" t="s">
        <v>74</v>
      </c>
      <c r="BI414">
        <v>8</v>
      </c>
      <c r="BJ414" t="s">
        <v>101</v>
      </c>
      <c r="BK414" t="s">
        <v>102</v>
      </c>
      <c r="BL414" t="s">
        <v>103</v>
      </c>
      <c r="BM414" t="s">
        <v>741</v>
      </c>
      <c r="BN414">
        <v>31530759</v>
      </c>
      <c r="BO414" t="s">
        <v>759</v>
      </c>
      <c r="BP414" t="s">
        <v>74</v>
      </c>
      <c r="BQ414" t="s">
        <v>74</v>
      </c>
      <c r="BR414" t="s">
        <v>106</v>
      </c>
      <c r="BS414" t="s">
        <v>6729</v>
      </c>
      <c r="BT414" t="str">
        <f>HYPERLINK("https%3A%2F%2Fwww.webofscience.com%2Fwos%2Fwoscc%2Ffull-record%2FWOS:000500247900003","View Full Record in Web of Science")</f>
        <v>View Full Record in Web of Science</v>
      </c>
    </row>
    <row r="415" spans="1:72" x14ac:dyDescent="0.25">
      <c r="A415" t="s">
        <v>72</v>
      </c>
      <c r="B415" t="s">
        <v>6730</v>
      </c>
      <c r="C415" t="s">
        <v>74</v>
      </c>
      <c r="D415" t="s">
        <v>74</v>
      </c>
      <c r="E415" t="s">
        <v>74</v>
      </c>
      <c r="F415" t="s">
        <v>6731</v>
      </c>
      <c r="G415" t="s">
        <v>74</v>
      </c>
      <c r="H415" t="s">
        <v>74</v>
      </c>
      <c r="I415" t="s">
        <v>6732</v>
      </c>
      <c r="J415" t="s">
        <v>77</v>
      </c>
      <c r="K415" t="s">
        <v>74</v>
      </c>
      <c r="L415" t="s">
        <v>74</v>
      </c>
      <c r="M415" t="s">
        <v>78</v>
      </c>
      <c r="N415" t="s">
        <v>79</v>
      </c>
      <c r="O415" t="s">
        <v>74</v>
      </c>
      <c r="P415" t="s">
        <v>74</v>
      </c>
      <c r="Q415" t="s">
        <v>74</v>
      </c>
      <c r="R415" t="s">
        <v>74</v>
      </c>
      <c r="S415" t="s">
        <v>74</v>
      </c>
      <c r="T415" t="s">
        <v>6733</v>
      </c>
      <c r="U415" t="s">
        <v>6734</v>
      </c>
      <c r="V415" t="s">
        <v>6735</v>
      </c>
      <c r="W415" t="s">
        <v>6736</v>
      </c>
      <c r="X415" t="s">
        <v>6737</v>
      </c>
      <c r="Y415" t="s">
        <v>6738</v>
      </c>
      <c r="Z415" t="s">
        <v>6739</v>
      </c>
      <c r="AA415" t="s">
        <v>6740</v>
      </c>
      <c r="AB415" t="s">
        <v>74</v>
      </c>
      <c r="AC415" t="s">
        <v>6741</v>
      </c>
      <c r="AD415" t="s">
        <v>6741</v>
      </c>
      <c r="AE415" t="s">
        <v>6742</v>
      </c>
      <c r="AF415" t="s">
        <v>74</v>
      </c>
      <c r="AG415">
        <v>35</v>
      </c>
      <c r="AH415">
        <v>26</v>
      </c>
      <c r="AI415">
        <v>26</v>
      </c>
      <c r="AJ415">
        <v>0</v>
      </c>
      <c r="AK415">
        <v>11</v>
      </c>
      <c r="AL415" t="s">
        <v>92</v>
      </c>
      <c r="AM415" t="s">
        <v>93</v>
      </c>
      <c r="AN415" t="s">
        <v>94</v>
      </c>
      <c r="AO415" t="s">
        <v>95</v>
      </c>
      <c r="AP415" t="s">
        <v>96</v>
      </c>
      <c r="AQ415" t="s">
        <v>74</v>
      </c>
      <c r="AR415" t="s">
        <v>97</v>
      </c>
      <c r="AS415" t="s">
        <v>98</v>
      </c>
      <c r="AT415" t="s">
        <v>509</v>
      </c>
      <c r="AU415">
        <v>2019</v>
      </c>
      <c r="AV415">
        <v>64</v>
      </c>
      <c r="AW415">
        <v>19</v>
      </c>
      <c r="AX415" t="s">
        <v>74</v>
      </c>
      <c r="AY415" t="s">
        <v>74</v>
      </c>
      <c r="AZ415" t="s">
        <v>74</v>
      </c>
      <c r="BA415" t="s">
        <v>74</v>
      </c>
      <c r="BB415" t="s">
        <v>74</v>
      </c>
      <c r="BC415" t="s">
        <v>74</v>
      </c>
      <c r="BD415">
        <v>195003</v>
      </c>
      <c r="BE415" t="s">
        <v>6743</v>
      </c>
      <c r="BF415" t="str">
        <f>HYPERLINK("http://dx.doi.org/10.1088/1361-6560/ab3b83","http://dx.doi.org/10.1088/1361-6560/ab3b83")</f>
        <v>http://dx.doi.org/10.1088/1361-6560/ab3b83</v>
      </c>
      <c r="BG415" t="s">
        <v>74</v>
      </c>
      <c r="BH415" t="s">
        <v>74</v>
      </c>
      <c r="BI415">
        <v>13</v>
      </c>
      <c r="BJ415" t="s">
        <v>101</v>
      </c>
      <c r="BK415" t="s">
        <v>102</v>
      </c>
      <c r="BL415" t="s">
        <v>103</v>
      </c>
      <c r="BM415" t="s">
        <v>511</v>
      </c>
      <c r="BN415">
        <v>31416055</v>
      </c>
      <c r="BO415" t="s">
        <v>74</v>
      </c>
      <c r="BP415" t="s">
        <v>74</v>
      </c>
      <c r="BQ415" t="s">
        <v>74</v>
      </c>
      <c r="BR415" t="s">
        <v>106</v>
      </c>
      <c r="BS415" t="s">
        <v>6744</v>
      </c>
      <c r="BT415" t="str">
        <f>HYPERLINK("https%3A%2F%2Fwww.webofscience.com%2Fwos%2Fwoscc%2Ffull-record%2FWOS:000487555100003","View Full Record in Web of Science")</f>
        <v>View Full Record in Web of Science</v>
      </c>
    </row>
    <row r="416" spans="1:72" x14ac:dyDescent="0.25">
      <c r="A416" t="s">
        <v>72</v>
      </c>
      <c r="B416" t="s">
        <v>6745</v>
      </c>
      <c r="C416" t="s">
        <v>74</v>
      </c>
      <c r="D416" t="s">
        <v>74</v>
      </c>
      <c r="E416" t="s">
        <v>74</v>
      </c>
      <c r="F416" t="s">
        <v>6746</v>
      </c>
      <c r="G416" t="s">
        <v>74</v>
      </c>
      <c r="H416" t="s">
        <v>74</v>
      </c>
      <c r="I416" t="s">
        <v>6747</v>
      </c>
      <c r="J416" t="s">
        <v>77</v>
      </c>
      <c r="K416" t="s">
        <v>74</v>
      </c>
      <c r="L416" t="s">
        <v>74</v>
      </c>
      <c r="M416" t="s">
        <v>78</v>
      </c>
      <c r="N416" t="s">
        <v>79</v>
      </c>
      <c r="O416" t="s">
        <v>74</v>
      </c>
      <c r="P416" t="s">
        <v>74</v>
      </c>
      <c r="Q416" t="s">
        <v>74</v>
      </c>
      <c r="R416" t="s">
        <v>74</v>
      </c>
      <c r="S416" t="s">
        <v>74</v>
      </c>
      <c r="T416" t="s">
        <v>6748</v>
      </c>
      <c r="U416" t="s">
        <v>6749</v>
      </c>
      <c r="V416" t="s">
        <v>6750</v>
      </c>
      <c r="W416" t="s">
        <v>6751</v>
      </c>
      <c r="X416" t="s">
        <v>6752</v>
      </c>
      <c r="Y416" t="s">
        <v>6753</v>
      </c>
      <c r="Z416" t="s">
        <v>6754</v>
      </c>
      <c r="AA416" t="s">
        <v>6755</v>
      </c>
      <c r="AB416" t="s">
        <v>74</v>
      </c>
      <c r="AC416" t="s">
        <v>6756</v>
      </c>
      <c r="AD416" t="s">
        <v>6756</v>
      </c>
      <c r="AE416" t="s">
        <v>6757</v>
      </c>
      <c r="AF416" t="s">
        <v>74</v>
      </c>
      <c r="AG416">
        <v>24</v>
      </c>
      <c r="AH416">
        <v>3</v>
      </c>
      <c r="AI416">
        <v>3</v>
      </c>
      <c r="AJ416">
        <v>0</v>
      </c>
      <c r="AK416">
        <v>10</v>
      </c>
      <c r="AL416" t="s">
        <v>92</v>
      </c>
      <c r="AM416" t="s">
        <v>93</v>
      </c>
      <c r="AN416" t="s">
        <v>94</v>
      </c>
      <c r="AO416" t="s">
        <v>95</v>
      </c>
      <c r="AP416" t="s">
        <v>96</v>
      </c>
      <c r="AQ416" t="s">
        <v>74</v>
      </c>
      <c r="AR416" t="s">
        <v>97</v>
      </c>
      <c r="AS416" t="s">
        <v>98</v>
      </c>
      <c r="AT416" t="s">
        <v>214</v>
      </c>
      <c r="AU416">
        <v>2019</v>
      </c>
      <c r="AV416">
        <v>64</v>
      </c>
      <c r="AW416">
        <v>14</v>
      </c>
      <c r="AX416" t="s">
        <v>74</v>
      </c>
      <c r="AY416" t="s">
        <v>74</v>
      </c>
      <c r="AZ416" t="s">
        <v>74</v>
      </c>
      <c r="BA416" t="s">
        <v>74</v>
      </c>
      <c r="BB416" t="s">
        <v>74</v>
      </c>
      <c r="BC416" t="s">
        <v>74</v>
      </c>
      <c r="BD416">
        <v>145002</v>
      </c>
      <c r="BE416" t="s">
        <v>6758</v>
      </c>
      <c r="BF416" t="str">
        <f>HYPERLINK("http://dx.doi.org/10.1088/1361-6560/ab259c","http://dx.doi.org/10.1088/1361-6560/ab259c")</f>
        <v>http://dx.doi.org/10.1088/1361-6560/ab259c</v>
      </c>
      <c r="BG416" t="s">
        <v>74</v>
      </c>
      <c r="BH416" t="s">
        <v>74</v>
      </c>
      <c r="BI416">
        <v>11</v>
      </c>
      <c r="BJ416" t="s">
        <v>101</v>
      </c>
      <c r="BK416" t="s">
        <v>102</v>
      </c>
      <c r="BL416" t="s">
        <v>103</v>
      </c>
      <c r="BM416" t="s">
        <v>529</v>
      </c>
      <c r="BN416">
        <v>31146274</v>
      </c>
      <c r="BO416" t="s">
        <v>74</v>
      </c>
      <c r="BP416" t="s">
        <v>74</v>
      </c>
      <c r="BQ416" t="s">
        <v>74</v>
      </c>
      <c r="BR416" t="s">
        <v>106</v>
      </c>
      <c r="BS416" t="s">
        <v>6759</v>
      </c>
      <c r="BT416" t="str">
        <f>HYPERLINK("https%3A%2F%2Fwww.webofscience.com%2Fwos%2Fwoscc%2Ffull-record%2FWOS:000475378800002","View Full Record in Web of Science")</f>
        <v>View Full Record in Web of Science</v>
      </c>
    </row>
    <row r="417" spans="1:72" x14ac:dyDescent="0.25">
      <c r="A417" t="s">
        <v>72</v>
      </c>
      <c r="B417" t="s">
        <v>6760</v>
      </c>
      <c r="C417" t="s">
        <v>74</v>
      </c>
      <c r="D417" t="s">
        <v>74</v>
      </c>
      <c r="E417" t="s">
        <v>74</v>
      </c>
      <c r="F417" t="s">
        <v>6761</v>
      </c>
      <c r="G417" t="s">
        <v>74</v>
      </c>
      <c r="H417" t="s">
        <v>74</v>
      </c>
      <c r="I417" t="s">
        <v>6762</v>
      </c>
      <c r="J417" t="s">
        <v>77</v>
      </c>
      <c r="K417" t="s">
        <v>74</v>
      </c>
      <c r="L417" t="s">
        <v>74</v>
      </c>
      <c r="M417" t="s">
        <v>78</v>
      </c>
      <c r="N417" t="s">
        <v>79</v>
      </c>
      <c r="O417" t="s">
        <v>74</v>
      </c>
      <c r="P417" t="s">
        <v>74</v>
      </c>
      <c r="Q417" t="s">
        <v>74</v>
      </c>
      <c r="R417" t="s">
        <v>74</v>
      </c>
      <c r="S417" t="s">
        <v>74</v>
      </c>
      <c r="T417" t="s">
        <v>6763</v>
      </c>
      <c r="U417" t="s">
        <v>6764</v>
      </c>
      <c r="V417" t="s">
        <v>6765</v>
      </c>
      <c r="W417" t="s">
        <v>6766</v>
      </c>
      <c r="X417" t="s">
        <v>6767</v>
      </c>
      <c r="Y417" t="s">
        <v>6768</v>
      </c>
      <c r="Z417" t="s">
        <v>6769</v>
      </c>
      <c r="AA417" t="s">
        <v>74</v>
      </c>
      <c r="AB417" t="s">
        <v>6770</v>
      </c>
      <c r="AC417" t="s">
        <v>6771</v>
      </c>
      <c r="AD417" t="s">
        <v>6772</v>
      </c>
      <c r="AE417" t="s">
        <v>6773</v>
      </c>
      <c r="AF417" t="s">
        <v>74</v>
      </c>
      <c r="AG417">
        <v>41</v>
      </c>
      <c r="AH417">
        <v>15</v>
      </c>
      <c r="AI417">
        <v>15</v>
      </c>
      <c r="AJ417">
        <v>0</v>
      </c>
      <c r="AK417">
        <v>15</v>
      </c>
      <c r="AL417" t="s">
        <v>157</v>
      </c>
      <c r="AM417" t="s">
        <v>93</v>
      </c>
      <c r="AN417" t="s">
        <v>94</v>
      </c>
      <c r="AO417" t="s">
        <v>95</v>
      </c>
      <c r="AP417" t="s">
        <v>96</v>
      </c>
      <c r="AQ417" t="s">
        <v>74</v>
      </c>
      <c r="AR417" t="s">
        <v>97</v>
      </c>
      <c r="AS417" t="s">
        <v>98</v>
      </c>
      <c r="AT417" t="s">
        <v>250</v>
      </c>
      <c r="AU417">
        <v>2019</v>
      </c>
      <c r="AV417">
        <v>64</v>
      </c>
      <c r="AW417">
        <v>11</v>
      </c>
      <c r="AX417" t="s">
        <v>74</v>
      </c>
      <c r="AY417" t="s">
        <v>74</v>
      </c>
      <c r="AZ417" t="s">
        <v>74</v>
      </c>
      <c r="BA417" t="s">
        <v>74</v>
      </c>
      <c r="BB417" t="s">
        <v>74</v>
      </c>
      <c r="BC417" t="s">
        <v>74</v>
      </c>
      <c r="BD417">
        <v>115017</v>
      </c>
      <c r="BE417" t="s">
        <v>6774</v>
      </c>
      <c r="BF417" t="str">
        <f>HYPERLINK("http://dx.doi.org/10.1088/1361-6560/ab1cee","http://dx.doi.org/10.1088/1361-6560/ab1cee")</f>
        <v>http://dx.doi.org/10.1088/1361-6560/ab1cee</v>
      </c>
      <c r="BG417" t="s">
        <v>74</v>
      </c>
      <c r="BH417" t="s">
        <v>74</v>
      </c>
      <c r="BI417">
        <v>17</v>
      </c>
      <c r="BJ417" t="s">
        <v>101</v>
      </c>
      <c r="BK417" t="s">
        <v>102</v>
      </c>
      <c r="BL417" t="s">
        <v>103</v>
      </c>
      <c r="BM417" t="s">
        <v>305</v>
      </c>
      <c r="BN417">
        <v>31026841</v>
      </c>
      <c r="BO417" t="s">
        <v>74</v>
      </c>
      <c r="BP417" t="s">
        <v>74</v>
      </c>
      <c r="BQ417" t="s">
        <v>74</v>
      </c>
      <c r="BR417" t="s">
        <v>106</v>
      </c>
      <c r="BS417" t="s">
        <v>6775</v>
      </c>
      <c r="BT417" t="str">
        <f>HYPERLINK("https%3A%2F%2Fwww.webofscience.com%2Fwos%2Fwoscc%2Ffull-record%2FWOS:000470205600001","View Full Record in Web of Science")</f>
        <v>View Full Record in Web of Science</v>
      </c>
    </row>
    <row r="418" spans="1:72" x14ac:dyDescent="0.25">
      <c r="A418" t="s">
        <v>72</v>
      </c>
      <c r="B418" t="s">
        <v>6776</v>
      </c>
      <c r="C418" t="s">
        <v>74</v>
      </c>
      <c r="D418" t="s">
        <v>74</v>
      </c>
      <c r="E418" t="s">
        <v>74</v>
      </c>
      <c r="F418" t="s">
        <v>6777</v>
      </c>
      <c r="G418" t="s">
        <v>74</v>
      </c>
      <c r="H418" t="s">
        <v>74</v>
      </c>
      <c r="I418" t="s">
        <v>6778</v>
      </c>
      <c r="J418" t="s">
        <v>77</v>
      </c>
      <c r="K418" t="s">
        <v>74</v>
      </c>
      <c r="L418" t="s">
        <v>74</v>
      </c>
      <c r="M418" t="s">
        <v>78</v>
      </c>
      <c r="N418" t="s">
        <v>79</v>
      </c>
      <c r="O418" t="s">
        <v>74</v>
      </c>
      <c r="P418" t="s">
        <v>74</v>
      </c>
      <c r="Q418" t="s">
        <v>74</v>
      </c>
      <c r="R418" t="s">
        <v>74</v>
      </c>
      <c r="S418" t="s">
        <v>74</v>
      </c>
      <c r="T418" t="s">
        <v>6779</v>
      </c>
      <c r="U418" t="s">
        <v>6780</v>
      </c>
      <c r="V418" t="s">
        <v>6781</v>
      </c>
      <c r="W418" t="s">
        <v>6782</v>
      </c>
      <c r="X418" t="s">
        <v>6783</v>
      </c>
      <c r="Y418" t="s">
        <v>6784</v>
      </c>
      <c r="Z418" t="s">
        <v>6785</v>
      </c>
      <c r="AA418" t="s">
        <v>6786</v>
      </c>
      <c r="AB418" t="s">
        <v>6787</v>
      </c>
      <c r="AC418" t="s">
        <v>6788</v>
      </c>
      <c r="AD418" t="s">
        <v>6788</v>
      </c>
      <c r="AE418" t="s">
        <v>6789</v>
      </c>
      <c r="AF418" t="s">
        <v>74</v>
      </c>
      <c r="AG418">
        <v>44</v>
      </c>
      <c r="AH418">
        <v>18</v>
      </c>
      <c r="AI418">
        <v>19</v>
      </c>
      <c r="AJ418">
        <v>2</v>
      </c>
      <c r="AK418">
        <v>17</v>
      </c>
      <c r="AL418" t="s">
        <v>92</v>
      </c>
      <c r="AM418" t="s">
        <v>93</v>
      </c>
      <c r="AN418" t="s">
        <v>94</v>
      </c>
      <c r="AO418" t="s">
        <v>95</v>
      </c>
      <c r="AP418" t="s">
        <v>96</v>
      </c>
      <c r="AQ418" t="s">
        <v>74</v>
      </c>
      <c r="AR418" t="s">
        <v>97</v>
      </c>
      <c r="AS418" t="s">
        <v>98</v>
      </c>
      <c r="AT418" t="s">
        <v>370</v>
      </c>
      <c r="AU418">
        <v>2019</v>
      </c>
      <c r="AV418">
        <v>64</v>
      </c>
      <c r="AW418">
        <v>9</v>
      </c>
      <c r="AX418" t="s">
        <v>74</v>
      </c>
      <c r="AY418" t="s">
        <v>74</v>
      </c>
      <c r="AZ418" t="s">
        <v>74</v>
      </c>
      <c r="BA418" t="s">
        <v>74</v>
      </c>
      <c r="BB418" t="s">
        <v>74</v>
      </c>
      <c r="BC418" t="s">
        <v>74</v>
      </c>
      <c r="BD418">
        <v>95013</v>
      </c>
      <c r="BE418" t="s">
        <v>6790</v>
      </c>
      <c r="BF418" t="str">
        <f>HYPERLINK("http://dx.doi.org/10.1088/1361-6560/ab07d6","http://dx.doi.org/10.1088/1361-6560/ab07d6")</f>
        <v>http://dx.doi.org/10.1088/1361-6560/ab07d6</v>
      </c>
      <c r="BG418" t="s">
        <v>74</v>
      </c>
      <c r="BH418" t="s">
        <v>74</v>
      </c>
      <c r="BI418">
        <v>14</v>
      </c>
      <c r="BJ418" t="s">
        <v>101</v>
      </c>
      <c r="BK418" t="s">
        <v>102</v>
      </c>
      <c r="BL418" t="s">
        <v>103</v>
      </c>
      <c r="BM418" t="s">
        <v>2973</v>
      </c>
      <c r="BN418">
        <v>30776788</v>
      </c>
      <c r="BO418" t="s">
        <v>74</v>
      </c>
      <c r="BP418" t="s">
        <v>74</v>
      </c>
      <c r="BQ418" t="s">
        <v>74</v>
      </c>
      <c r="BR418" t="s">
        <v>106</v>
      </c>
      <c r="BS418" t="s">
        <v>6791</v>
      </c>
      <c r="BT418" t="str">
        <f>HYPERLINK("https%3A%2F%2Fwww.webofscience.com%2Fwos%2Fwoscc%2Ffull-record%2FWOS:000466266500004","View Full Record in Web of Science")</f>
        <v>View Full Record in Web of Science</v>
      </c>
    </row>
    <row r="419" spans="1:72" x14ac:dyDescent="0.25">
      <c r="A419" t="s">
        <v>72</v>
      </c>
      <c r="B419" t="s">
        <v>6792</v>
      </c>
      <c r="C419" t="s">
        <v>74</v>
      </c>
      <c r="D419" t="s">
        <v>74</v>
      </c>
      <c r="E419" t="s">
        <v>74</v>
      </c>
      <c r="F419" t="s">
        <v>6793</v>
      </c>
      <c r="G419" t="s">
        <v>74</v>
      </c>
      <c r="H419" t="s">
        <v>74</v>
      </c>
      <c r="I419" t="s">
        <v>6794</v>
      </c>
      <c r="J419" t="s">
        <v>77</v>
      </c>
      <c r="K419" t="s">
        <v>74</v>
      </c>
      <c r="L419" t="s">
        <v>74</v>
      </c>
      <c r="M419" t="s">
        <v>78</v>
      </c>
      <c r="N419" t="s">
        <v>79</v>
      </c>
      <c r="O419" t="s">
        <v>74</v>
      </c>
      <c r="P419" t="s">
        <v>74</v>
      </c>
      <c r="Q419" t="s">
        <v>74</v>
      </c>
      <c r="R419" t="s">
        <v>74</v>
      </c>
      <c r="S419" t="s">
        <v>74</v>
      </c>
      <c r="T419" t="s">
        <v>6795</v>
      </c>
      <c r="U419" t="s">
        <v>6796</v>
      </c>
      <c r="V419" t="s">
        <v>6797</v>
      </c>
      <c r="W419" t="s">
        <v>6798</v>
      </c>
      <c r="X419" t="s">
        <v>6799</v>
      </c>
      <c r="Y419" t="s">
        <v>6800</v>
      </c>
      <c r="Z419" t="s">
        <v>6801</v>
      </c>
      <c r="AA419" t="s">
        <v>74</v>
      </c>
      <c r="AB419" t="s">
        <v>6802</v>
      </c>
      <c r="AC419" t="s">
        <v>74</v>
      </c>
      <c r="AD419" t="s">
        <v>74</v>
      </c>
      <c r="AE419" t="s">
        <v>74</v>
      </c>
      <c r="AF419" t="s">
        <v>74</v>
      </c>
      <c r="AG419">
        <v>13</v>
      </c>
      <c r="AH419">
        <v>15</v>
      </c>
      <c r="AI419">
        <v>16</v>
      </c>
      <c r="AJ419">
        <v>0</v>
      </c>
      <c r="AK419">
        <v>3</v>
      </c>
      <c r="AL419" t="s">
        <v>92</v>
      </c>
      <c r="AM419" t="s">
        <v>93</v>
      </c>
      <c r="AN419" t="s">
        <v>94</v>
      </c>
      <c r="AO419" t="s">
        <v>95</v>
      </c>
      <c r="AP419" t="s">
        <v>96</v>
      </c>
      <c r="AQ419" t="s">
        <v>74</v>
      </c>
      <c r="AR419" t="s">
        <v>97</v>
      </c>
      <c r="AS419" t="s">
        <v>98</v>
      </c>
      <c r="AT419" t="s">
        <v>370</v>
      </c>
      <c r="AU419">
        <v>2019</v>
      </c>
      <c r="AV419">
        <v>64</v>
      </c>
      <c r="AW419">
        <v>10</v>
      </c>
      <c r="AX419" t="s">
        <v>74</v>
      </c>
      <c r="AY419" t="s">
        <v>74</v>
      </c>
      <c r="AZ419" t="s">
        <v>74</v>
      </c>
      <c r="BA419" t="s">
        <v>74</v>
      </c>
      <c r="BB419" t="s">
        <v>74</v>
      </c>
      <c r="BC419" t="s">
        <v>74</v>
      </c>
      <c r="BD419">
        <v>105008</v>
      </c>
      <c r="BE419" t="s">
        <v>6803</v>
      </c>
      <c r="BF419" t="str">
        <f>HYPERLINK("http://dx.doi.org/10.1088/1361-6560/ab1766","http://dx.doi.org/10.1088/1361-6560/ab1766")</f>
        <v>http://dx.doi.org/10.1088/1361-6560/ab1766</v>
      </c>
      <c r="BG419" t="s">
        <v>74</v>
      </c>
      <c r="BH419" t="s">
        <v>74</v>
      </c>
      <c r="BI419">
        <v>14</v>
      </c>
      <c r="BJ419" t="s">
        <v>101</v>
      </c>
      <c r="BK419" t="s">
        <v>102</v>
      </c>
      <c r="BL419" t="s">
        <v>103</v>
      </c>
      <c r="BM419" t="s">
        <v>1160</v>
      </c>
      <c r="BN419">
        <v>30965298</v>
      </c>
      <c r="BO419" t="s">
        <v>74</v>
      </c>
      <c r="BP419" t="s">
        <v>74</v>
      </c>
      <c r="BQ419" t="s">
        <v>74</v>
      </c>
      <c r="BR419" t="s">
        <v>106</v>
      </c>
      <c r="BS419" t="s">
        <v>6804</v>
      </c>
      <c r="BT419" t="str">
        <f>HYPERLINK("https%3A%2F%2Fwww.webofscience.com%2Fwos%2Fwoscc%2Ffull-record%2FWOS:000467702500003","View Full Record in Web of Science")</f>
        <v>View Full Record in Web of Science</v>
      </c>
    </row>
    <row r="420" spans="1:72" x14ac:dyDescent="0.25">
      <c r="A420" t="s">
        <v>72</v>
      </c>
      <c r="B420" t="s">
        <v>6805</v>
      </c>
      <c r="C420" t="s">
        <v>74</v>
      </c>
      <c r="D420" t="s">
        <v>74</v>
      </c>
      <c r="E420" t="s">
        <v>74</v>
      </c>
      <c r="F420" t="s">
        <v>6806</v>
      </c>
      <c r="G420" t="s">
        <v>74</v>
      </c>
      <c r="H420" t="s">
        <v>74</v>
      </c>
      <c r="I420" t="s">
        <v>6807</v>
      </c>
      <c r="J420" t="s">
        <v>77</v>
      </c>
      <c r="K420" t="s">
        <v>74</v>
      </c>
      <c r="L420" t="s">
        <v>74</v>
      </c>
      <c r="M420" t="s">
        <v>78</v>
      </c>
      <c r="N420" t="s">
        <v>79</v>
      </c>
      <c r="O420" t="s">
        <v>74</v>
      </c>
      <c r="P420" t="s">
        <v>74</v>
      </c>
      <c r="Q420" t="s">
        <v>74</v>
      </c>
      <c r="R420" t="s">
        <v>74</v>
      </c>
      <c r="S420" t="s">
        <v>74</v>
      </c>
      <c r="T420" t="s">
        <v>6808</v>
      </c>
      <c r="U420" t="s">
        <v>6809</v>
      </c>
      <c r="V420" t="s">
        <v>6810</v>
      </c>
      <c r="W420" t="s">
        <v>6811</v>
      </c>
      <c r="X420" t="s">
        <v>6812</v>
      </c>
      <c r="Y420" t="s">
        <v>6813</v>
      </c>
      <c r="Z420" t="s">
        <v>6814</v>
      </c>
      <c r="AA420" t="s">
        <v>6815</v>
      </c>
      <c r="AB420" t="s">
        <v>6816</v>
      </c>
      <c r="AC420" t="s">
        <v>6817</v>
      </c>
      <c r="AD420" t="s">
        <v>6817</v>
      </c>
      <c r="AE420" t="s">
        <v>6818</v>
      </c>
      <c r="AF420" t="s">
        <v>74</v>
      </c>
      <c r="AG420">
        <v>18</v>
      </c>
      <c r="AH420">
        <v>11</v>
      </c>
      <c r="AI420">
        <v>12</v>
      </c>
      <c r="AJ420">
        <v>0</v>
      </c>
      <c r="AK420">
        <v>4</v>
      </c>
      <c r="AL420" t="s">
        <v>157</v>
      </c>
      <c r="AM420" t="s">
        <v>93</v>
      </c>
      <c r="AN420" t="s">
        <v>94</v>
      </c>
      <c r="AO420" t="s">
        <v>95</v>
      </c>
      <c r="AP420" t="s">
        <v>96</v>
      </c>
      <c r="AQ420" t="s">
        <v>74</v>
      </c>
      <c r="AR420" t="s">
        <v>97</v>
      </c>
      <c r="AS420" t="s">
        <v>98</v>
      </c>
      <c r="AT420" t="s">
        <v>386</v>
      </c>
      <c r="AU420">
        <v>2019</v>
      </c>
      <c r="AV420">
        <v>64</v>
      </c>
      <c r="AW420">
        <v>8</v>
      </c>
      <c r="AX420" t="s">
        <v>74</v>
      </c>
      <c r="AY420" t="s">
        <v>74</v>
      </c>
      <c r="AZ420" t="s">
        <v>74</v>
      </c>
      <c r="BA420" t="s">
        <v>74</v>
      </c>
      <c r="BB420" t="s">
        <v>74</v>
      </c>
      <c r="BC420" t="s">
        <v>74</v>
      </c>
      <c r="BD420">
        <v>85004</v>
      </c>
      <c r="BE420" t="s">
        <v>6819</v>
      </c>
      <c r="BF420" t="str">
        <f>HYPERLINK("http://dx.doi.org/10.1088/1361-6560/ab056d","http://dx.doi.org/10.1088/1361-6560/ab056d")</f>
        <v>http://dx.doi.org/10.1088/1361-6560/ab056d</v>
      </c>
      <c r="BG420" t="s">
        <v>74</v>
      </c>
      <c r="BH420" t="s">
        <v>74</v>
      </c>
      <c r="BI420">
        <v>10</v>
      </c>
      <c r="BJ420" t="s">
        <v>101</v>
      </c>
      <c r="BK420" t="s">
        <v>102</v>
      </c>
      <c r="BL420" t="s">
        <v>103</v>
      </c>
      <c r="BM420" t="s">
        <v>3036</v>
      </c>
      <c r="BN420">
        <v>30736026</v>
      </c>
      <c r="BO420" t="s">
        <v>105</v>
      </c>
      <c r="BP420" t="s">
        <v>74</v>
      </c>
      <c r="BQ420" t="s">
        <v>74</v>
      </c>
      <c r="BR420" t="s">
        <v>106</v>
      </c>
      <c r="BS420" t="s">
        <v>6820</v>
      </c>
      <c r="BT420" t="str">
        <f>HYPERLINK("https%3A%2F%2Fwww.webofscience.com%2Fwos%2Fwoscc%2Ffull-record%2FWOS:000518923400004","View Full Record in Web of Science")</f>
        <v>View Full Record in Web of Science</v>
      </c>
    </row>
    <row r="421" spans="1:72" x14ac:dyDescent="0.25">
      <c r="A421" t="s">
        <v>72</v>
      </c>
      <c r="B421" t="s">
        <v>6821</v>
      </c>
      <c r="C421" t="s">
        <v>74</v>
      </c>
      <c r="D421" t="s">
        <v>74</v>
      </c>
      <c r="E421" t="s">
        <v>74</v>
      </c>
      <c r="F421" t="s">
        <v>6822</v>
      </c>
      <c r="G421" t="s">
        <v>74</v>
      </c>
      <c r="H421" t="s">
        <v>74</v>
      </c>
      <c r="I421" t="s">
        <v>6823</v>
      </c>
      <c r="J421" t="s">
        <v>77</v>
      </c>
      <c r="K421" t="s">
        <v>74</v>
      </c>
      <c r="L421" t="s">
        <v>74</v>
      </c>
      <c r="M421" t="s">
        <v>78</v>
      </c>
      <c r="N421" t="s">
        <v>79</v>
      </c>
      <c r="O421" t="s">
        <v>74</v>
      </c>
      <c r="P421" t="s">
        <v>74</v>
      </c>
      <c r="Q421" t="s">
        <v>74</v>
      </c>
      <c r="R421" t="s">
        <v>74</v>
      </c>
      <c r="S421" t="s">
        <v>74</v>
      </c>
      <c r="T421" t="s">
        <v>6824</v>
      </c>
      <c r="U421" t="s">
        <v>6825</v>
      </c>
      <c r="V421" t="s">
        <v>6826</v>
      </c>
      <c r="W421" t="s">
        <v>6827</v>
      </c>
      <c r="X421" t="s">
        <v>2134</v>
      </c>
      <c r="Y421" t="s">
        <v>6828</v>
      </c>
      <c r="Z421" t="s">
        <v>6829</v>
      </c>
      <c r="AA421" t="s">
        <v>6830</v>
      </c>
      <c r="AB421" t="s">
        <v>6831</v>
      </c>
      <c r="AC421" t="s">
        <v>6832</v>
      </c>
      <c r="AD421" t="s">
        <v>6467</v>
      </c>
      <c r="AE421" t="s">
        <v>6833</v>
      </c>
      <c r="AF421" t="s">
        <v>74</v>
      </c>
      <c r="AG421">
        <v>70</v>
      </c>
      <c r="AH421">
        <v>260</v>
      </c>
      <c r="AI421">
        <v>283</v>
      </c>
      <c r="AJ421">
        <v>5</v>
      </c>
      <c r="AK421">
        <v>65</v>
      </c>
      <c r="AL421" t="s">
        <v>157</v>
      </c>
      <c r="AM421" t="s">
        <v>93</v>
      </c>
      <c r="AN421" t="s">
        <v>94</v>
      </c>
      <c r="AO421" t="s">
        <v>95</v>
      </c>
      <c r="AP421" t="s">
        <v>96</v>
      </c>
      <c r="AQ421" t="s">
        <v>74</v>
      </c>
      <c r="AR421" t="s">
        <v>97</v>
      </c>
      <c r="AS421" t="s">
        <v>98</v>
      </c>
      <c r="AT421" t="s">
        <v>436</v>
      </c>
      <c r="AU421">
        <v>2019</v>
      </c>
      <c r="AV421">
        <v>64</v>
      </c>
      <c r="AW421">
        <v>6</v>
      </c>
      <c r="AX421" t="s">
        <v>74</v>
      </c>
      <c r="AY421" t="s">
        <v>74</v>
      </c>
      <c r="AZ421" t="s">
        <v>74</v>
      </c>
      <c r="BA421" t="s">
        <v>74</v>
      </c>
      <c r="BB421" t="s">
        <v>74</v>
      </c>
      <c r="BC421" t="s">
        <v>74</v>
      </c>
      <c r="BD421">
        <v>65020</v>
      </c>
      <c r="BE421" t="s">
        <v>6834</v>
      </c>
      <c r="BF421" t="str">
        <f>HYPERLINK("http://dx.doi.org/10.1088/1361-6560/ab039b","http://dx.doi.org/10.1088/1361-6560/ab039b")</f>
        <v>http://dx.doi.org/10.1088/1361-6560/ab039b</v>
      </c>
      <c r="BG421" t="s">
        <v>74</v>
      </c>
      <c r="BH421" t="s">
        <v>74</v>
      </c>
      <c r="BI421">
        <v>15</v>
      </c>
      <c r="BJ421" t="s">
        <v>101</v>
      </c>
      <c r="BK421" t="s">
        <v>102</v>
      </c>
      <c r="BL421" t="s">
        <v>103</v>
      </c>
      <c r="BM421" t="s">
        <v>3435</v>
      </c>
      <c r="BN421">
        <v>30703760</v>
      </c>
      <c r="BO421" t="s">
        <v>270</v>
      </c>
      <c r="BP421" t="s">
        <v>74</v>
      </c>
      <c r="BQ421" t="s">
        <v>74</v>
      </c>
      <c r="BR421" t="s">
        <v>106</v>
      </c>
      <c r="BS421" t="s">
        <v>6835</v>
      </c>
      <c r="BT421" t="str">
        <f>HYPERLINK("https%3A%2F%2Fwww.webofscience.com%2Fwos%2Fwoscc%2Ffull-record%2FWOS:000461636100001","View Full Record in Web of Science")</f>
        <v>View Full Record in Web of Science</v>
      </c>
    </row>
    <row r="422" spans="1:72" x14ac:dyDescent="0.25">
      <c r="A422" t="s">
        <v>72</v>
      </c>
      <c r="B422" t="s">
        <v>6836</v>
      </c>
      <c r="C422" t="s">
        <v>74</v>
      </c>
      <c r="D422" t="s">
        <v>74</v>
      </c>
      <c r="E422" t="s">
        <v>74</v>
      </c>
      <c r="F422" t="s">
        <v>6837</v>
      </c>
      <c r="G422" t="s">
        <v>74</v>
      </c>
      <c r="H422" t="s">
        <v>74</v>
      </c>
      <c r="I422" t="s">
        <v>6838</v>
      </c>
      <c r="J422" t="s">
        <v>77</v>
      </c>
      <c r="K422" t="s">
        <v>74</v>
      </c>
      <c r="L422" t="s">
        <v>74</v>
      </c>
      <c r="M422" t="s">
        <v>78</v>
      </c>
      <c r="N422" t="s">
        <v>79</v>
      </c>
      <c r="O422" t="s">
        <v>74</v>
      </c>
      <c r="P422" t="s">
        <v>74</v>
      </c>
      <c r="Q422" t="s">
        <v>74</v>
      </c>
      <c r="R422" t="s">
        <v>74</v>
      </c>
      <c r="S422" t="s">
        <v>74</v>
      </c>
      <c r="T422" t="s">
        <v>6839</v>
      </c>
      <c r="U422" t="s">
        <v>6840</v>
      </c>
      <c r="V422" t="s">
        <v>6841</v>
      </c>
      <c r="W422" t="s">
        <v>6842</v>
      </c>
      <c r="X422" t="s">
        <v>6843</v>
      </c>
      <c r="Y422" t="s">
        <v>6844</v>
      </c>
      <c r="Z422" t="s">
        <v>6845</v>
      </c>
      <c r="AA422" t="s">
        <v>6846</v>
      </c>
      <c r="AB422" t="s">
        <v>6847</v>
      </c>
      <c r="AC422" t="s">
        <v>6848</v>
      </c>
      <c r="AD422" t="s">
        <v>6848</v>
      </c>
      <c r="AE422" t="s">
        <v>6849</v>
      </c>
      <c r="AF422" t="s">
        <v>74</v>
      </c>
      <c r="AG422">
        <v>37</v>
      </c>
      <c r="AH422">
        <v>33</v>
      </c>
      <c r="AI422">
        <v>33</v>
      </c>
      <c r="AJ422">
        <v>0</v>
      </c>
      <c r="AK422">
        <v>16</v>
      </c>
      <c r="AL422" t="s">
        <v>92</v>
      </c>
      <c r="AM422" t="s">
        <v>93</v>
      </c>
      <c r="AN422" t="s">
        <v>94</v>
      </c>
      <c r="AO422" t="s">
        <v>95</v>
      </c>
      <c r="AP422" t="s">
        <v>96</v>
      </c>
      <c r="AQ422" t="s">
        <v>74</v>
      </c>
      <c r="AR422" t="s">
        <v>97</v>
      </c>
      <c r="AS422" t="s">
        <v>98</v>
      </c>
      <c r="AT422" t="s">
        <v>436</v>
      </c>
      <c r="AU422">
        <v>2019</v>
      </c>
      <c r="AV422">
        <v>64</v>
      </c>
      <c r="AW422">
        <v>5</v>
      </c>
      <c r="AX422" t="s">
        <v>74</v>
      </c>
      <c r="AY422" t="s">
        <v>74</v>
      </c>
      <c r="AZ422" t="s">
        <v>74</v>
      </c>
      <c r="BA422" t="s">
        <v>74</v>
      </c>
      <c r="BB422" t="s">
        <v>74</v>
      </c>
      <c r="BC422" t="s">
        <v>74</v>
      </c>
      <c r="BD422">
        <v>55003</v>
      </c>
      <c r="BE422" t="s">
        <v>6850</v>
      </c>
      <c r="BF422" t="str">
        <f>HYPERLINK("http://dx.doi.org/10.1088/1361-6560/ab00b2","http://dx.doi.org/10.1088/1361-6560/ab00b2")</f>
        <v>http://dx.doi.org/10.1088/1361-6560/ab00b2</v>
      </c>
      <c r="BG422" t="s">
        <v>74</v>
      </c>
      <c r="BH422" t="s">
        <v>74</v>
      </c>
      <c r="BI422">
        <v>7</v>
      </c>
      <c r="BJ422" t="s">
        <v>101</v>
      </c>
      <c r="BK422" t="s">
        <v>102</v>
      </c>
      <c r="BL422" t="s">
        <v>103</v>
      </c>
      <c r="BM422" t="s">
        <v>5088</v>
      </c>
      <c r="BN422">
        <v>30669125</v>
      </c>
      <c r="BO422" t="s">
        <v>74</v>
      </c>
      <c r="BP422" t="s">
        <v>74</v>
      </c>
      <c r="BQ422" t="s">
        <v>74</v>
      </c>
      <c r="BR422" t="s">
        <v>106</v>
      </c>
      <c r="BS422" t="s">
        <v>6851</v>
      </c>
      <c r="BT422" t="str">
        <f>HYPERLINK("https%3A%2F%2Fwww.webofscience.com%2Fwos%2Fwoscc%2Ffull-record%2FWOS:000459325000003","View Full Record in Web of Science")</f>
        <v>View Full Record in Web of Science</v>
      </c>
    </row>
    <row r="423" spans="1:72" x14ac:dyDescent="0.25">
      <c r="A423" t="s">
        <v>72</v>
      </c>
      <c r="B423" t="s">
        <v>6852</v>
      </c>
      <c r="C423" t="s">
        <v>74</v>
      </c>
      <c r="D423" t="s">
        <v>74</v>
      </c>
      <c r="E423" t="s">
        <v>74</v>
      </c>
      <c r="F423" t="s">
        <v>6853</v>
      </c>
      <c r="G423" t="s">
        <v>74</v>
      </c>
      <c r="H423" t="s">
        <v>74</v>
      </c>
      <c r="I423" t="s">
        <v>6854</v>
      </c>
      <c r="J423" t="s">
        <v>77</v>
      </c>
      <c r="K423" t="s">
        <v>74</v>
      </c>
      <c r="L423" t="s">
        <v>74</v>
      </c>
      <c r="M423" t="s">
        <v>78</v>
      </c>
      <c r="N423" t="s">
        <v>79</v>
      </c>
      <c r="O423" t="s">
        <v>74</v>
      </c>
      <c r="P423" t="s">
        <v>74</v>
      </c>
      <c r="Q423" t="s">
        <v>74</v>
      </c>
      <c r="R423" t="s">
        <v>74</v>
      </c>
      <c r="S423" t="s">
        <v>74</v>
      </c>
      <c r="T423" t="s">
        <v>6855</v>
      </c>
      <c r="U423" t="s">
        <v>6856</v>
      </c>
      <c r="V423" t="s">
        <v>6857</v>
      </c>
      <c r="W423" t="s">
        <v>6858</v>
      </c>
      <c r="X423" t="s">
        <v>5924</v>
      </c>
      <c r="Y423" t="s">
        <v>6859</v>
      </c>
      <c r="Z423" t="s">
        <v>6860</v>
      </c>
      <c r="AA423" t="s">
        <v>74</v>
      </c>
      <c r="AB423" t="s">
        <v>74</v>
      </c>
      <c r="AC423" t="s">
        <v>6861</v>
      </c>
      <c r="AD423" t="s">
        <v>607</v>
      </c>
      <c r="AE423" t="s">
        <v>6862</v>
      </c>
      <c r="AF423" t="s">
        <v>74</v>
      </c>
      <c r="AG423">
        <v>53</v>
      </c>
      <c r="AH423">
        <v>9</v>
      </c>
      <c r="AI423">
        <v>11</v>
      </c>
      <c r="AJ423">
        <v>0</v>
      </c>
      <c r="AK423">
        <v>10</v>
      </c>
      <c r="AL423" t="s">
        <v>92</v>
      </c>
      <c r="AM423" t="s">
        <v>93</v>
      </c>
      <c r="AN423" t="s">
        <v>94</v>
      </c>
      <c r="AO423" t="s">
        <v>95</v>
      </c>
      <c r="AP423" t="s">
        <v>96</v>
      </c>
      <c r="AQ423" t="s">
        <v>74</v>
      </c>
      <c r="AR423" t="s">
        <v>97</v>
      </c>
      <c r="AS423" t="s">
        <v>98</v>
      </c>
      <c r="AT423" t="s">
        <v>436</v>
      </c>
      <c r="AU423">
        <v>2019</v>
      </c>
      <c r="AV423">
        <v>64</v>
      </c>
      <c r="AW423">
        <v>6</v>
      </c>
      <c r="AX423" t="s">
        <v>74</v>
      </c>
      <c r="AY423" t="s">
        <v>74</v>
      </c>
      <c r="AZ423" t="s">
        <v>74</v>
      </c>
      <c r="BA423" t="s">
        <v>74</v>
      </c>
      <c r="BB423" t="s">
        <v>74</v>
      </c>
      <c r="BC423" t="s">
        <v>74</v>
      </c>
      <c r="BD423">
        <v>65010</v>
      </c>
      <c r="BE423" t="s">
        <v>6863</v>
      </c>
      <c r="BF423" t="str">
        <f>HYPERLINK("http://dx.doi.org/10.1088/1361-6560/ab0290","http://dx.doi.org/10.1088/1361-6560/ab0290")</f>
        <v>http://dx.doi.org/10.1088/1361-6560/ab0290</v>
      </c>
      <c r="BG423" t="s">
        <v>74</v>
      </c>
      <c r="BH423" t="s">
        <v>74</v>
      </c>
      <c r="BI423">
        <v>14</v>
      </c>
      <c r="BJ423" t="s">
        <v>101</v>
      </c>
      <c r="BK423" t="s">
        <v>102</v>
      </c>
      <c r="BL423" t="s">
        <v>103</v>
      </c>
      <c r="BM423" t="s">
        <v>6864</v>
      </c>
      <c r="BN423">
        <v>30695755</v>
      </c>
      <c r="BO423" t="s">
        <v>74</v>
      </c>
      <c r="BP423" t="s">
        <v>74</v>
      </c>
      <c r="BQ423" t="s">
        <v>74</v>
      </c>
      <c r="BR423" t="s">
        <v>106</v>
      </c>
      <c r="BS423" t="s">
        <v>6865</v>
      </c>
      <c r="BT423" t="str">
        <f>HYPERLINK("https%3A%2F%2Fwww.webofscience.com%2Fwos%2Fwoscc%2Ffull-record%2FWOS:000461060600004","View Full Record in Web of Science")</f>
        <v>View Full Record in Web of Science</v>
      </c>
    </row>
    <row r="424" spans="1:72" x14ac:dyDescent="0.25">
      <c r="A424" t="s">
        <v>72</v>
      </c>
      <c r="B424" t="s">
        <v>6866</v>
      </c>
      <c r="C424" t="s">
        <v>74</v>
      </c>
      <c r="D424" t="s">
        <v>74</v>
      </c>
      <c r="E424" t="s">
        <v>74</v>
      </c>
      <c r="F424" t="s">
        <v>6867</v>
      </c>
      <c r="G424" t="s">
        <v>74</v>
      </c>
      <c r="H424" t="s">
        <v>74</v>
      </c>
      <c r="I424" t="s">
        <v>6868</v>
      </c>
      <c r="J424" t="s">
        <v>77</v>
      </c>
      <c r="K424" t="s">
        <v>74</v>
      </c>
      <c r="L424" t="s">
        <v>74</v>
      </c>
      <c r="M424" t="s">
        <v>78</v>
      </c>
      <c r="N424" t="s">
        <v>79</v>
      </c>
      <c r="O424" t="s">
        <v>74</v>
      </c>
      <c r="P424" t="s">
        <v>74</v>
      </c>
      <c r="Q424" t="s">
        <v>74</v>
      </c>
      <c r="R424" t="s">
        <v>74</v>
      </c>
      <c r="S424" t="s">
        <v>74</v>
      </c>
      <c r="T424" t="s">
        <v>6869</v>
      </c>
      <c r="U424" t="s">
        <v>6870</v>
      </c>
      <c r="V424" t="s">
        <v>6871</v>
      </c>
      <c r="W424" t="s">
        <v>6872</v>
      </c>
      <c r="X424" t="s">
        <v>6873</v>
      </c>
      <c r="Y424" t="s">
        <v>6874</v>
      </c>
      <c r="Z424" t="s">
        <v>6875</v>
      </c>
      <c r="AA424" t="s">
        <v>6876</v>
      </c>
      <c r="AB424" t="s">
        <v>6877</v>
      </c>
      <c r="AC424" t="s">
        <v>6878</v>
      </c>
      <c r="AD424" t="s">
        <v>6879</v>
      </c>
      <c r="AE424" t="s">
        <v>6880</v>
      </c>
      <c r="AF424" t="s">
        <v>74</v>
      </c>
      <c r="AG424">
        <v>21</v>
      </c>
      <c r="AH424">
        <v>1</v>
      </c>
      <c r="AI424">
        <v>1</v>
      </c>
      <c r="AJ424">
        <v>0</v>
      </c>
      <c r="AK424">
        <v>7</v>
      </c>
      <c r="AL424" t="s">
        <v>92</v>
      </c>
      <c r="AM424" t="s">
        <v>93</v>
      </c>
      <c r="AN424" t="s">
        <v>94</v>
      </c>
      <c r="AO424" t="s">
        <v>95</v>
      </c>
      <c r="AP424" t="s">
        <v>96</v>
      </c>
      <c r="AQ424" t="s">
        <v>74</v>
      </c>
      <c r="AR424" t="s">
        <v>97</v>
      </c>
      <c r="AS424" t="s">
        <v>98</v>
      </c>
      <c r="AT424" t="s">
        <v>436</v>
      </c>
      <c r="AU424">
        <v>2019</v>
      </c>
      <c r="AV424">
        <v>64</v>
      </c>
      <c r="AW424">
        <v>5</v>
      </c>
      <c r="AX424" t="s">
        <v>74</v>
      </c>
      <c r="AY424" t="s">
        <v>74</v>
      </c>
      <c r="AZ424" t="s">
        <v>74</v>
      </c>
      <c r="BA424" t="s">
        <v>74</v>
      </c>
      <c r="BB424" t="s">
        <v>74</v>
      </c>
      <c r="BC424" t="s">
        <v>74</v>
      </c>
      <c r="BD424">
        <v>55008</v>
      </c>
      <c r="BE424" t="s">
        <v>6881</v>
      </c>
      <c r="BF424" t="str">
        <f>HYPERLINK("http://dx.doi.org/10.1088/1361-6560/ab00bc","http://dx.doi.org/10.1088/1361-6560/ab00bc")</f>
        <v>http://dx.doi.org/10.1088/1361-6560/ab00bc</v>
      </c>
      <c r="BG424" t="s">
        <v>74</v>
      </c>
      <c r="BH424" t="s">
        <v>74</v>
      </c>
      <c r="BI424">
        <v>12</v>
      </c>
      <c r="BJ424" t="s">
        <v>101</v>
      </c>
      <c r="BK424" t="s">
        <v>102</v>
      </c>
      <c r="BL424" t="s">
        <v>103</v>
      </c>
      <c r="BM424" t="s">
        <v>2208</v>
      </c>
      <c r="BN424">
        <v>30669132</v>
      </c>
      <c r="BO424" t="s">
        <v>74</v>
      </c>
      <c r="BP424" t="s">
        <v>74</v>
      </c>
      <c r="BQ424" t="s">
        <v>74</v>
      </c>
      <c r="BR424" t="s">
        <v>106</v>
      </c>
      <c r="BS424" t="s">
        <v>6882</v>
      </c>
      <c r="BT424" t="str">
        <f>HYPERLINK("https%3A%2F%2Fwww.webofscience.com%2Fwos%2Fwoscc%2Ffull-record%2FWOS:000459740600002","View Full Record in Web of Science")</f>
        <v>View Full Record in Web of Science</v>
      </c>
    </row>
    <row r="425" spans="1:72" x14ac:dyDescent="0.25">
      <c r="A425" t="s">
        <v>72</v>
      </c>
      <c r="B425" t="s">
        <v>6883</v>
      </c>
      <c r="C425" t="s">
        <v>74</v>
      </c>
      <c r="D425" t="s">
        <v>74</v>
      </c>
      <c r="E425" t="s">
        <v>74</v>
      </c>
      <c r="F425" t="s">
        <v>6884</v>
      </c>
      <c r="G425" t="s">
        <v>74</v>
      </c>
      <c r="H425" t="s">
        <v>74</v>
      </c>
      <c r="I425" t="s">
        <v>6885</v>
      </c>
      <c r="J425" t="s">
        <v>77</v>
      </c>
      <c r="K425" t="s">
        <v>74</v>
      </c>
      <c r="L425" t="s">
        <v>74</v>
      </c>
      <c r="M425" t="s">
        <v>78</v>
      </c>
      <c r="N425" t="s">
        <v>79</v>
      </c>
      <c r="O425" t="s">
        <v>74</v>
      </c>
      <c r="P425" t="s">
        <v>74</v>
      </c>
      <c r="Q425" t="s">
        <v>74</v>
      </c>
      <c r="R425" t="s">
        <v>74</v>
      </c>
      <c r="S425" t="s">
        <v>74</v>
      </c>
      <c r="T425" t="s">
        <v>6886</v>
      </c>
      <c r="U425" t="s">
        <v>6887</v>
      </c>
      <c r="V425" t="s">
        <v>6888</v>
      </c>
      <c r="W425" t="s">
        <v>6889</v>
      </c>
      <c r="X425" t="s">
        <v>6890</v>
      </c>
      <c r="Y425" t="s">
        <v>6891</v>
      </c>
      <c r="Z425" t="s">
        <v>6892</v>
      </c>
      <c r="AA425" t="s">
        <v>6893</v>
      </c>
      <c r="AB425" t="s">
        <v>6894</v>
      </c>
      <c r="AC425" t="s">
        <v>6895</v>
      </c>
      <c r="AD425" t="s">
        <v>6896</v>
      </c>
      <c r="AE425" t="s">
        <v>6897</v>
      </c>
      <c r="AF425" t="s">
        <v>74</v>
      </c>
      <c r="AG425">
        <v>32</v>
      </c>
      <c r="AH425">
        <v>7</v>
      </c>
      <c r="AI425">
        <v>7</v>
      </c>
      <c r="AJ425">
        <v>0</v>
      </c>
      <c r="AK425">
        <v>5</v>
      </c>
      <c r="AL425" t="s">
        <v>92</v>
      </c>
      <c r="AM425" t="s">
        <v>93</v>
      </c>
      <c r="AN425" t="s">
        <v>94</v>
      </c>
      <c r="AO425" t="s">
        <v>95</v>
      </c>
      <c r="AP425" t="s">
        <v>96</v>
      </c>
      <c r="AQ425" t="s">
        <v>74</v>
      </c>
      <c r="AR425" t="s">
        <v>97</v>
      </c>
      <c r="AS425" t="s">
        <v>98</v>
      </c>
      <c r="AT425" t="s">
        <v>646</v>
      </c>
      <c r="AU425">
        <v>2019</v>
      </c>
      <c r="AV425">
        <v>64</v>
      </c>
      <c r="AW425">
        <v>3</v>
      </c>
      <c r="AX425" t="s">
        <v>74</v>
      </c>
      <c r="AY425" t="s">
        <v>74</v>
      </c>
      <c r="AZ425" t="s">
        <v>74</v>
      </c>
      <c r="BA425" t="s">
        <v>74</v>
      </c>
      <c r="BB425" t="s">
        <v>74</v>
      </c>
      <c r="BC425" t="s">
        <v>74</v>
      </c>
      <c r="BD425">
        <v>35001</v>
      </c>
      <c r="BE425" t="s">
        <v>6898</v>
      </c>
      <c r="BF425" t="str">
        <f>HYPERLINK("http://dx.doi.org/10.1088/1361-6560/aafa28","http://dx.doi.org/10.1088/1361-6560/aafa28")</f>
        <v>http://dx.doi.org/10.1088/1361-6560/aafa28</v>
      </c>
      <c r="BG425" t="s">
        <v>74</v>
      </c>
      <c r="BH425" t="s">
        <v>74</v>
      </c>
      <c r="BI425">
        <v>10</v>
      </c>
      <c r="BJ425" t="s">
        <v>101</v>
      </c>
      <c r="BK425" t="s">
        <v>102</v>
      </c>
      <c r="BL425" t="s">
        <v>103</v>
      </c>
      <c r="BM425" t="s">
        <v>6899</v>
      </c>
      <c r="BN425">
        <v>30572320</v>
      </c>
      <c r="BO425" t="s">
        <v>270</v>
      </c>
      <c r="BP425" t="s">
        <v>74</v>
      </c>
      <c r="BQ425" t="s">
        <v>74</v>
      </c>
      <c r="BR425" t="s">
        <v>106</v>
      </c>
      <c r="BS425" t="s">
        <v>6900</v>
      </c>
      <c r="BT425" t="str">
        <f>HYPERLINK("https%3A%2F%2Fwww.webofscience.com%2Fwos%2Fwoscc%2Ffull-record%2FWOS:000456324800001","View Full Record in Web of Science")</f>
        <v>View Full Record in Web of Science</v>
      </c>
    </row>
    <row r="426" spans="1:72" x14ac:dyDescent="0.25">
      <c r="A426" t="s">
        <v>72</v>
      </c>
      <c r="B426" t="s">
        <v>6901</v>
      </c>
      <c r="C426" t="s">
        <v>74</v>
      </c>
      <c r="D426" t="s">
        <v>74</v>
      </c>
      <c r="E426" t="s">
        <v>74</v>
      </c>
      <c r="F426" t="s">
        <v>6902</v>
      </c>
      <c r="G426" t="s">
        <v>74</v>
      </c>
      <c r="H426" t="s">
        <v>74</v>
      </c>
      <c r="I426" t="s">
        <v>6903</v>
      </c>
      <c r="J426" t="s">
        <v>77</v>
      </c>
      <c r="K426" t="s">
        <v>74</v>
      </c>
      <c r="L426" t="s">
        <v>74</v>
      </c>
      <c r="M426" t="s">
        <v>78</v>
      </c>
      <c r="N426" t="s">
        <v>79</v>
      </c>
      <c r="O426" t="s">
        <v>74</v>
      </c>
      <c r="P426" t="s">
        <v>74</v>
      </c>
      <c r="Q426" t="s">
        <v>74</v>
      </c>
      <c r="R426" t="s">
        <v>74</v>
      </c>
      <c r="S426" t="s">
        <v>74</v>
      </c>
      <c r="T426" t="s">
        <v>6904</v>
      </c>
      <c r="U426" t="s">
        <v>6905</v>
      </c>
      <c r="V426" t="s">
        <v>6906</v>
      </c>
      <c r="W426" t="s">
        <v>6907</v>
      </c>
      <c r="X426" t="s">
        <v>6908</v>
      </c>
      <c r="Y426" t="s">
        <v>6909</v>
      </c>
      <c r="Z426" t="s">
        <v>6910</v>
      </c>
      <c r="AA426" t="s">
        <v>6911</v>
      </c>
      <c r="AB426" t="s">
        <v>74</v>
      </c>
      <c r="AC426" t="s">
        <v>74</v>
      </c>
      <c r="AD426" t="s">
        <v>74</v>
      </c>
      <c r="AE426" t="s">
        <v>74</v>
      </c>
      <c r="AF426" t="s">
        <v>74</v>
      </c>
      <c r="AG426">
        <v>20</v>
      </c>
      <c r="AH426">
        <v>3</v>
      </c>
      <c r="AI426">
        <v>3</v>
      </c>
      <c r="AJ426">
        <v>0</v>
      </c>
      <c r="AK426">
        <v>5</v>
      </c>
      <c r="AL426" t="s">
        <v>92</v>
      </c>
      <c r="AM426" t="s">
        <v>93</v>
      </c>
      <c r="AN426" t="s">
        <v>94</v>
      </c>
      <c r="AO426" t="s">
        <v>95</v>
      </c>
      <c r="AP426" t="s">
        <v>96</v>
      </c>
      <c r="AQ426" t="s">
        <v>74</v>
      </c>
      <c r="AR426" t="s">
        <v>97</v>
      </c>
      <c r="AS426" t="s">
        <v>98</v>
      </c>
      <c r="AT426" t="s">
        <v>646</v>
      </c>
      <c r="AU426">
        <v>2019</v>
      </c>
      <c r="AV426">
        <v>64</v>
      </c>
      <c r="AW426">
        <v>4</v>
      </c>
      <c r="AX426" t="s">
        <v>74</v>
      </c>
      <c r="AY426" t="s">
        <v>74</v>
      </c>
      <c r="AZ426" t="s">
        <v>74</v>
      </c>
      <c r="BA426" t="s">
        <v>74</v>
      </c>
      <c r="BB426" t="s">
        <v>74</v>
      </c>
      <c r="BC426" t="s">
        <v>74</v>
      </c>
      <c r="BD426" t="s">
        <v>6912</v>
      </c>
      <c r="BE426" t="s">
        <v>6913</v>
      </c>
      <c r="BF426" t="str">
        <f>HYPERLINK("http://dx.doi.org/10.1088/1361-6560/aafd75","http://dx.doi.org/10.1088/1361-6560/aafd75")</f>
        <v>http://dx.doi.org/10.1088/1361-6560/aafd75</v>
      </c>
      <c r="BG426" t="s">
        <v>74</v>
      </c>
      <c r="BH426" t="s">
        <v>74</v>
      </c>
      <c r="BI426">
        <v>6</v>
      </c>
      <c r="BJ426" t="s">
        <v>101</v>
      </c>
      <c r="BK426" t="s">
        <v>102</v>
      </c>
      <c r="BL426" t="s">
        <v>103</v>
      </c>
      <c r="BM426" t="s">
        <v>5685</v>
      </c>
      <c r="BN426">
        <v>30630135</v>
      </c>
      <c r="BO426" t="s">
        <v>74</v>
      </c>
      <c r="BP426" t="s">
        <v>74</v>
      </c>
      <c r="BQ426" t="s">
        <v>74</v>
      </c>
      <c r="BR426" t="s">
        <v>106</v>
      </c>
      <c r="BS426" t="s">
        <v>6914</v>
      </c>
      <c r="BT426" t="str">
        <f>HYPERLINK("https%3A%2F%2Fwww.webofscience.com%2Fwos%2Fwoscc%2Ffull-record%2FWOS:000458205800003","View Full Record in Web of Science")</f>
        <v>View Full Record in Web of Science</v>
      </c>
    </row>
    <row r="427" spans="1:72" x14ac:dyDescent="0.25">
      <c r="A427" t="s">
        <v>72</v>
      </c>
      <c r="B427" t="s">
        <v>6915</v>
      </c>
      <c r="C427" t="s">
        <v>74</v>
      </c>
      <c r="D427" t="s">
        <v>74</v>
      </c>
      <c r="E427" t="s">
        <v>74</v>
      </c>
      <c r="F427" t="s">
        <v>6916</v>
      </c>
      <c r="G427" t="s">
        <v>74</v>
      </c>
      <c r="H427" t="s">
        <v>74</v>
      </c>
      <c r="I427" t="s">
        <v>6917</v>
      </c>
      <c r="J427" t="s">
        <v>77</v>
      </c>
      <c r="K427" t="s">
        <v>74</v>
      </c>
      <c r="L427" t="s">
        <v>74</v>
      </c>
      <c r="M427" t="s">
        <v>78</v>
      </c>
      <c r="N427" t="s">
        <v>79</v>
      </c>
      <c r="O427" t="s">
        <v>74</v>
      </c>
      <c r="P427" t="s">
        <v>74</v>
      </c>
      <c r="Q427" t="s">
        <v>74</v>
      </c>
      <c r="R427" t="s">
        <v>74</v>
      </c>
      <c r="S427" t="s">
        <v>74</v>
      </c>
      <c r="T427" t="s">
        <v>6918</v>
      </c>
      <c r="U427" t="s">
        <v>6919</v>
      </c>
      <c r="V427" t="s">
        <v>6920</v>
      </c>
      <c r="W427" t="s">
        <v>6921</v>
      </c>
      <c r="X427" t="s">
        <v>6922</v>
      </c>
      <c r="Y427" t="s">
        <v>6923</v>
      </c>
      <c r="Z427" t="s">
        <v>6924</v>
      </c>
      <c r="AA427" t="s">
        <v>6925</v>
      </c>
      <c r="AB427" t="s">
        <v>6926</v>
      </c>
      <c r="AC427" t="s">
        <v>6927</v>
      </c>
      <c r="AD427" t="s">
        <v>6927</v>
      </c>
      <c r="AE427" t="s">
        <v>6928</v>
      </c>
      <c r="AF427" t="s">
        <v>74</v>
      </c>
      <c r="AG427">
        <v>51</v>
      </c>
      <c r="AH427">
        <v>14</v>
      </c>
      <c r="AI427">
        <v>15</v>
      </c>
      <c r="AJ427">
        <v>0</v>
      </c>
      <c r="AK427">
        <v>12</v>
      </c>
      <c r="AL427" t="s">
        <v>92</v>
      </c>
      <c r="AM427" t="s">
        <v>93</v>
      </c>
      <c r="AN427" t="s">
        <v>94</v>
      </c>
      <c r="AO427" t="s">
        <v>95</v>
      </c>
      <c r="AP427" t="s">
        <v>96</v>
      </c>
      <c r="AQ427" t="s">
        <v>74</v>
      </c>
      <c r="AR427" t="s">
        <v>97</v>
      </c>
      <c r="AS427" t="s">
        <v>98</v>
      </c>
      <c r="AT427" t="s">
        <v>646</v>
      </c>
      <c r="AU427">
        <v>2019</v>
      </c>
      <c r="AV427">
        <v>64</v>
      </c>
      <c r="AW427">
        <v>3</v>
      </c>
      <c r="AX427" t="s">
        <v>74</v>
      </c>
      <c r="AY427" t="s">
        <v>74</v>
      </c>
      <c r="AZ427" t="s">
        <v>74</v>
      </c>
      <c r="BA427" t="s">
        <v>74</v>
      </c>
      <c r="BB427" t="s">
        <v>74</v>
      </c>
      <c r="BC427" t="s">
        <v>74</v>
      </c>
      <c r="BD427">
        <v>34001</v>
      </c>
      <c r="BE427" t="s">
        <v>6929</v>
      </c>
      <c r="BF427" t="str">
        <f>HYPERLINK("http://dx.doi.org/10.1088/1361-6560/aaf4a2","http://dx.doi.org/10.1088/1361-6560/aaf4a2")</f>
        <v>http://dx.doi.org/10.1088/1361-6560/aaf4a2</v>
      </c>
      <c r="BG427" t="s">
        <v>74</v>
      </c>
      <c r="BH427" t="s">
        <v>74</v>
      </c>
      <c r="BI427">
        <v>14</v>
      </c>
      <c r="BJ427" t="s">
        <v>101</v>
      </c>
      <c r="BK427" t="s">
        <v>102</v>
      </c>
      <c r="BL427" t="s">
        <v>103</v>
      </c>
      <c r="BM427" t="s">
        <v>6930</v>
      </c>
      <c r="BN427">
        <v>30523821</v>
      </c>
      <c r="BO427" t="s">
        <v>759</v>
      </c>
      <c r="BP427" t="s">
        <v>74</v>
      </c>
      <c r="BQ427" t="s">
        <v>74</v>
      </c>
      <c r="BR427" t="s">
        <v>106</v>
      </c>
      <c r="BS427" t="s">
        <v>6931</v>
      </c>
      <c r="BT427" t="str">
        <f>HYPERLINK("https%3A%2F%2Fwww.webofscience.com%2Fwos%2Fwoscc%2Ffull-record%2FWOS:000457182200001","View Full Record in Web of Science")</f>
        <v>View Full Record in Web of Science</v>
      </c>
    </row>
    <row r="428" spans="1:72" x14ac:dyDescent="0.25">
      <c r="A428" t="s">
        <v>72</v>
      </c>
      <c r="B428" t="s">
        <v>6932</v>
      </c>
      <c r="C428" t="s">
        <v>74</v>
      </c>
      <c r="D428" t="s">
        <v>74</v>
      </c>
      <c r="E428" t="s">
        <v>74</v>
      </c>
      <c r="F428" t="s">
        <v>6933</v>
      </c>
      <c r="G428" t="s">
        <v>74</v>
      </c>
      <c r="H428" t="s">
        <v>74</v>
      </c>
      <c r="I428" t="s">
        <v>6934</v>
      </c>
      <c r="J428" t="s">
        <v>77</v>
      </c>
      <c r="K428" t="s">
        <v>74</v>
      </c>
      <c r="L428" t="s">
        <v>74</v>
      </c>
      <c r="M428" t="s">
        <v>78</v>
      </c>
      <c r="N428" t="s">
        <v>79</v>
      </c>
      <c r="O428" t="s">
        <v>74</v>
      </c>
      <c r="P428" t="s">
        <v>74</v>
      </c>
      <c r="Q428" t="s">
        <v>74</v>
      </c>
      <c r="R428" t="s">
        <v>74</v>
      </c>
      <c r="S428" t="s">
        <v>74</v>
      </c>
      <c r="T428" t="s">
        <v>6935</v>
      </c>
      <c r="U428" t="s">
        <v>6936</v>
      </c>
      <c r="V428" t="s">
        <v>6937</v>
      </c>
      <c r="W428" t="s">
        <v>6938</v>
      </c>
      <c r="X428" t="s">
        <v>6939</v>
      </c>
      <c r="Y428" t="s">
        <v>6940</v>
      </c>
      <c r="Z428" t="s">
        <v>6941</v>
      </c>
      <c r="AA428" t="s">
        <v>6942</v>
      </c>
      <c r="AB428" t="s">
        <v>6943</v>
      </c>
      <c r="AC428" t="s">
        <v>6390</v>
      </c>
      <c r="AD428" t="s">
        <v>6391</v>
      </c>
      <c r="AE428" t="s">
        <v>6944</v>
      </c>
      <c r="AF428" t="s">
        <v>74</v>
      </c>
      <c r="AG428">
        <v>46</v>
      </c>
      <c r="AH428">
        <v>55</v>
      </c>
      <c r="AI428">
        <v>56</v>
      </c>
      <c r="AJ428">
        <v>0</v>
      </c>
      <c r="AK428">
        <v>11</v>
      </c>
      <c r="AL428" t="s">
        <v>92</v>
      </c>
      <c r="AM428" t="s">
        <v>93</v>
      </c>
      <c r="AN428" t="s">
        <v>94</v>
      </c>
      <c r="AO428" t="s">
        <v>95</v>
      </c>
      <c r="AP428" t="s">
        <v>96</v>
      </c>
      <c r="AQ428" t="s">
        <v>74</v>
      </c>
      <c r="AR428" t="s">
        <v>97</v>
      </c>
      <c r="AS428" t="s">
        <v>98</v>
      </c>
      <c r="AT428" t="s">
        <v>471</v>
      </c>
      <c r="AU428">
        <v>2019</v>
      </c>
      <c r="AV428">
        <v>64</v>
      </c>
      <c r="AW428">
        <v>1</v>
      </c>
      <c r="AX428" t="s">
        <v>74</v>
      </c>
      <c r="AY428" t="s">
        <v>74</v>
      </c>
      <c r="AZ428" t="s">
        <v>74</v>
      </c>
      <c r="BA428" t="s">
        <v>74</v>
      </c>
      <c r="BB428" t="s">
        <v>74</v>
      </c>
      <c r="BC428" t="s">
        <v>74</v>
      </c>
      <c r="BD428">
        <v>15004</v>
      </c>
      <c r="BE428" t="s">
        <v>6945</v>
      </c>
      <c r="BF428" t="str">
        <f>HYPERLINK("http://dx.doi.org/10.1088/1361-6560/aaf30b","http://dx.doi.org/10.1088/1361-6560/aaf30b")</f>
        <v>http://dx.doi.org/10.1088/1361-6560/aaf30b</v>
      </c>
      <c r="BG428" t="s">
        <v>74</v>
      </c>
      <c r="BH428" t="s">
        <v>74</v>
      </c>
      <c r="BI428">
        <v>18</v>
      </c>
      <c r="BJ428" t="s">
        <v>101</v>
      </c>
      <c r="BK428" t="s">
        <v>102</v>
      </c>
      <c r="BL428" t="s">
        <v>103</v>
      </c>
      <c r="BM428" t="s">
        <v>666</v>
      </c>
      <c r="BN428">
        <v>30524097</v>
      </c>
      <c r="BO428" t="s">
        <v>74</v>
      </c>
      <c r="BP428" t="s">
        <v>74</v>
      </c>
      <c r="BQ428" t="s">
        <v>74</v>
      </c>
      <c r="BR428" t="s">
        <v>106</v>
      </c>
      <c r="BS428" t="s">
        <v>6946</v>
      </c>
      <c r="BT428" t="str">
        <f>HYPERLINK("https%3A%2F%2Fwww.webofscience.com%2Fwos%2Fwoscc%2Ffull-record%2FWOS:000454078500002","View Full Record in Web of Science")</f>
        <v>View Full Record in Web of Science</v>
      </c>
    </row>
    <row r="429" spans="1:72" x14ac:dyDescent="0.25">
      <c r="A429" t="s">
        <v>72</v>
      </c>
      <c r="B429" t="s">
        <v>6947</v>
      </c>
      <c r="C429" t="s">
        <v>74</v>
      </c>
      <c r="D429" t="s">
        <v>74</v>
      </c>
      <c r="E429" t="s">
        <v>74</v>
      </c>
      <c r="F429" t="s">
        <v>6948</v>
      </c>
      <c r="G429" t="s">
        <v>74</v>
      </c>
      <c r="H429" t="s">
        <v>74</v>
      </c>
      <c r="I429" t="s">
        <v>6949</v>
      </c>
      <c r="J429" t="s">
        <v>77</v>
      </c>
      <c r="K429" t="s">
        <v>74</v>
      </c>
      <c r="L429" t="s">
        <v>74</v>
      </c>
      <c r="M429" t="s">
        <v>78</v>
      </c>
      <c r="N429" t="s">
        <v>79</v>
      </c>
      <c r="O429" t="s">
        <v>74</v>
      </c>
      <c r="P429" t="s">
        <v>74</v>
      </c>
      <c r="Q429" t="s">
        <v>74</v>
      </c>
      <c r="R429" t="s">
        <v>74</v>
      </c>
      <c r="S429" t="s">
        <v>74</v>
      </c>
      <c r="T429" t="s">
        <v>6950</v>
      </c>
      <c r="U429" t="s">
        <v>6951</v>
      </c>
      <c r="V429" t="s">
        <v>6952</v>
      </c>
      <c r="W429" t="s">
        <v>6953</v>
      </c>
      <c r="X429" t="s">
        <v>6954</v>
      </c>
      <c r="Y429" t="s">
        <v>6955</v>
      </c>
      <c r="Z429" t="s">
        <v>6956</v>
      </c>
      <c r="AA429" t="s">
        <v>6957</v>
      </c>
      <c r="AB429" t="s">
        <v>6958</v>
      </c>
      <c r="AC429" t="s">
        <v>6959</v>
      </c>
      <c r="AD429" t="s">
        <v>6960</v>
      </c>
      <c r="AE429" t="s">
        <v>6961</v>
      </c>
      <c r="AF429" t="s">
        <v>74</v>
      </c>
      <c r="AG429">
        <v>25</v>
      </c>
      <c r="AH429">
        <v>0</v>
      </c>
      <c r="AI429">
        <v>0</v>
      </c>
      <c r="AJ429">
        <v>0</v>
      </c>
      <c r="AK429">
        <v>6</v>
      </c>
      <c r="AL429" t="s">
        <v>92</v>
      </c>
      <c r="AM429" t="s">
        <v>93</v>
      </c>
      <c r="AN429" t="s">
        <v>94</v>
      </c>
      <c r="AO429" t="s">
        <v>95</v>
      </c>
      <c r="AP429" t="s">
        <v>96</v>
      </c>
      <c r="AQ429" t="s">
        <v>74</v>
      </c>
      <c r="AR429" t="s">
        <v>97</v>
      </c>
      <c r="AS429" t="s">
        <v>98</v>
      </c>
      <c r="AT429" t="s">
        <v>471</v>
      </c>
      <c r="AU429">
        <v>2019</v>
      </c>
      <c r="AV429">
        <v>64</v>
      </c>
      <c r="AW429">
        <v>2</v>
      </c>
      <c r="AX429" t="s">
        <v>74</v>
      </c>
      <c r="AY429" t="s">
        <v>74</v>
      </c>
      <c r="AZ429" t="s">
        <v>74</v>
      </c>
      <c r="BA429" t="s">
        <v>74</v>
      </c>
      <c r="BB429" t="s">
        <v>74</v>
      </c>
      <c r="BC429" t="s">
        <v>74</v>
      </c>
      <c r="BD429" t="s">
        <v>6962</v>
      </c>
      <c r="BE429" t="s">
        <v>6963</v>
      </c>
      <c r="BF429" t="str">
        <f>HYPERLINK("http://dx.doi.org/10.1088/1361-6560/aaf7be","http://dx.doi.org/10.1088/1361-6560/aaf7be")</f>
        <v>http://dx.doi.org/10.1088/1361-6560/aaf7be</v>
      </c>
      <c r="BG429" t="s">
        <v>74</v>
      </c>
      <c r="BH429" t="s">
        <v>74</v>
      </c>
      <c r="BI429">
        <v>11</v>
      </c>
      <c r="BJ429" t="s">
        <v>101</v>
      </c>
      <c r="BK429" t="s">
        <v>102</v>
      </c>
      <c r="BL429" t="s">
        <v>103</v>
      </c>
      <c r="BM429" t="s">
        <v>5466</v>
      </c>
      <c r="BN429">
        <v>30537691</v>
      </c>
      <c r="BO429" t="s">
        <v>74</v>
      </c>
      <c r="BP429" t="s">
        <v>74</v>
      </c>
      <c r="BQ429" t="s">
        <v>74</v>
      </c>
      <c r="BR429" t="s">
        <v>106</v>
      </c>
      <c r="BS429" t="s">
        <v>6964</v>
      </c>
      <c r="BT429" t="str">
        <f>HYPERLINK("https%3A%2F%2Fwww.webofscience.com%2Fwos%2Fwoscc%2Ffull-record%2FWOS:000455823500002","View Full Record in Web of Science")</f>
        <v>View Full Record in Web of Science</v>
      </c>
    </row>
    <row r="430" spans="1:72" x14ac:dyDescent="0.25">
      <c r="A430" t="s">
        <v>72</v>
      </c>
      <c r="B430" t="s">
        <v>6965</v>
      </c>
      <c r="C430" t="s">
        <v>74</v>
      </c>
      <c r="D430" t="s">
        <v>74</v>
      </c>
      <c r="E430" t="s">
        <v>74</v>
      </c>
      <c r="F430" t="s">
        <v>6966</v>
      </c>
      <c r="G430" t="s">
        <v>74</v>
      </c>
      <c r="H430" t="s">
        <v>74</v>
      </c>
      <c r="I430" t="s">
        <v>6967</v>
      </c>
      <c r="J430" t="s">
        <v>77</v>
      </c>
      <c r="K430" t="s">
        <v>74</v>
      </c>
      <c r="L430" t="s">
        <v>74</v>
      </c>
      <c r="M430" t="s">
        <v>78</v>
      </c>
      <c r="N430" t="s">
        <v>79</v>
      </c>
      <c r="O430" t="s">
        <v>74</v>
      </c>
      <c r="P430" t="s">
        <v>74</v>
      </c>
      <c r="Q430" t="s">
        <v>74</v>
      </c>
      <c r="R430" t="s">
        <v>74</v>
      </c>
      <c r="S430" t="s">
        <v>74</v>
      </c>
      <c r="T430" t="s">
        <v>6968</v>
      </c>
      <c r="U430" t="s">
        <v>6969</v>
      </c>
      <c r="V430" t="s">
        <v>6970</v>
      </c>
      <c r="W430" t="s">
        <v>6971</v>
      </c>
      <c r="X430" t="s">
        <v>5433</v>
      </c>
      <c r="Y430" t="s">
        <v>6972</v>
      </c>
      <c r="Z430" t="s">
        <v>6973</v>
      </c>
      <c r="AA430" t="s">
        <v>74</v>
      </c>
      <c r="AB430" t="s">
        <v>6974</v>
      </c>
      <c r="AC430" t="s">
        <v>6975</v>
      </c>
      <c r="AD430" t="s">
        <v>4521</v>
      </c>
      <c r="AE430" t="s">
        <v>6976</v>
      </c>
      <c r="AF430" t="s">
        <v>74</v>
      </c>
      <c r="AG430">
        <v>39</v>
      </c>
      <c r="AH430">
        <v>23</v>
      </c>
      <c r="AI430">
        <v>23</v>
      </c>
      <c r="AJ430">
        <v>0</v>
      </c>
      <c r="AK430">
        <v>13</v>
      </c>
      <c r="AL430" t="s">
        <v>92</v>
      </c>
      <c r="AM430" t="s">
        <v>93</v>
      </c>
      <c r="AN430" t="s">
        <v>94</v>
      </c>
      <c r="AO430" t="s">
        <v>95</v>
      </c>
      <c r="AP430" t="s">
        <v>96</v>
      </c>
      <c r="AQ430" t="s">
        <v>74</v>
      </c>
      <c r="AR430" t="s">
        <v>97</v>
      </c>
      <c r="AS430" t="s">
        <v>98</v>
      </c>
      <c r="AT430" t="s">
        <v>99</v>
      </c>
      <c r="AU430">
        <v>2019</v>
      </c>
      <c r="AV430">
        <v>64</v>
      </c>
      <c r="AW430">
        <v>24</v>
      </c>
      <c r="AX430" t="s">
        <v>74</v>
      </c>
      <c r="AY430" t="s">
        <v>74</v>
      </c>
      <c r="AZ430" t="s">
        <v>74</v>
      </c>
      <c r="BA430" t="s">
        <v>74</v>
      </c>
      <c r="BB430" t="s">
        <v>74</v>
      </c>
      <c r="BC430" t="s">
        <v>74</v>
      </c>
      <c r="BD430">
        <v>245015</v>
      </c>
      <c r="BE430" t="s">
        <v>6977</v>
      </c>
      <c r="BF430" t="str">
        <f>HYPERLINK("http://dx.doi.org/10.1088/1361-6560/ab5879","http://dx.doi.org/10.1088/1361-6560/ab5879")</f>
        <v>http://dx.doi.org/10.1088/1361-6560/ab5879</v>
      </c>
      <c r="BG430" t="s">
        <v>74</v>
      </c>
      <c r="BH430" t="s">
        <v>74</v>
      </c>
      <c r="BI430">
        <v>22</v>
      </c>
      <c r="BJ430" t="s">
        <v>101</v>
      </c>
      <c r="BK430" t="s">
        <v>102</v>
      </c>
      <c r="BL430" t="s">
        <v>103</v>
      </c>
      <c r="BM430" t="s">
        <v>1612</v>
      </c>
      <c r="BN430">
        <v>31855574</v>
      </c>
      <c r="BO430" t="s">
        <v>4069</v>
      </c>
      <c r="BP430" t="s">
        <v>74</v>
      </c>
      <c r="BQ430" t="s">
        <v>74</v>
      </c>
      <c r="BR430" t="s">
        <v>106</v>
      </c>
      <c r="BS430" t="s">
        <v>6978</v>
      </c>
      <c r="BT430" t="str">
        <f>HYPERLINK("https%3A%2F%2Fwww.webofscience.com%2Fwos%2Fwoscc%2Ffull-record%2FWOS:000513010200002","View Full Record in Web of Science")</f>
        <v>View Full Record in Web of Science</v>
      </c>
    </row>
    <row r="431" spans="1:72" x14ac:dyDescent="0.25">
      <c r="A431" t="s">
        <v>72</v>
      </c>
      <c r="B431" t="s">
        <v>6979</v>
      </c>
      <c r="C431" t="s">
        <v>74</v>
      </c>
      <c r="D431" t="s">
        <v>74</v>
      </c>
      <c r="E431" t="s">
        <v>74</v>
      </c>
      <c r="F431" t="s">
        <v>6980</v>
      </c>
      <c r="G431" t="s">
        <v>74</v>
      </c>
      <c r="H431" t="s">
        <v>74</v>
      </c>
      <c r="I431" t="s">
        <v>6981</v>
      </c>
      <c r="J431" t="s">
        <v>77</v>
      </c>
      <c r="K431" t="s">
        <v>74</v>
      </c>
      <c r="L431" t="s">
        <v>74</v>
      </c>
      <c r="M431" t="s">
        <v>78</v>
      </c>
      <c r="N431" t="s">
        <v>79</v>
      </c>
      <c r="O431" t="s">
        <v>74</v>
      </c>
      <c r="P431" t="s">
        <v>74</v>
      </c>
      <c r="Q431" t="s">
        <v>74</v>
      </c>
      <c r="R431" t="s">
        <v>74</v>
      </c>
      <c r="S431" t="s">
        <v>74</v>
      </c>
      <c r="T431" t="s">
        <v>6982</v>
      </c>
      <c r="U431" t="s">
        <v>6983</v>
      </c>
      <c r="V431" t="s">
        <v>6984</v>
      </c>
      <c r="W431" t="s">
        <v>6985</v>
      </c>
      <c r="X431" t="s">
        <v>6986</v>
      </c>
      <c r="Y431" t="s">
        <v>6987</v>
      </c>
      <c r="Z431" t="s">
        <v>6988</v>
      </c>
      <c r="AA431" t="s">
        <v>6989</v>
      </c>
      <c r="AB431" t="s">
        <v>6990</v>
      </c>
      <c r="AC431" t="s">
        <v>6991</v>
      </c>
      <c r="AD431" t="s">
        <v>6992</v>
      </c>
      <c r="AE431" t="s">
        <v>6993</v>
      </c>
      <c r="AF431" t="s">
        <v>74</v>
      </c>
      <c r="AG431">
        <v>31</v>
      </c>
      <c r="AH431">
        <v>20</v>
      </c>
      <c r="AI431">
        <v>22</v>
      </c>
      <c r="AJ431">
        <v>0</v>
      </c>
      <c r="AK431">
        <v>19</v>
      </c>
      <c r="AL431" t="s">
        <v>92</v>
      </c>
      <c r="AM431" t="s">
        <v>93</v>
      </c>
      <c r="AN431" t="s">
        <v>94</v>
      </c>
      <c r="AO431" t="s">
        <v>95</v>
      </c>
      <c r="AP431" t="s">
        <v>96</v>
      </c>
      <c r="AQ431" t="s">
        <v>74</v>
      </c>
      <c r="AR431" t="s">
        <v>97</v>
      </c>
      <c r="AS431" t="s">
        <v>98</v>
      </c>
      <c r="AT431" t="s">
        <v>99</v>
      </c>
      <c r="AU431">
        <v>2019</v>
      </c>
      <c r="AV431">
        <v>64</v>
      </c>
      <c r="AW431">
        <v>24</v>
      </c>
      <c r="AX431" t="s">
        <v>74</v>
      </c>
      <c r="AY431" t="s">
        <v>74</v>
      </c>
      <c r="AZ431" t="s">
        <v>74</v>
      </c>
      <c r="BA431" t="s">
        <v>74</v>
      </c>
      <c r="BB431" t="s">
        <v>74</v>
      </c>
      <c r="BC431" t="s">
        <v>74</v>
      </c>
      <c r="BD431">
        <v>245010</v>
      </c>
      <c r="BE431" t="s">
        <v>6994</v>
      </c>
      <c r="BF431" t="str">
        <f>HYPERLINK("http://dx.doi.org/10.1088/1361-6560/ab5bb4","http://dx.doi.org/10.1088/1361-6560/ab5bb4")</f>
        <v>http://dx.doi.org/10.1088/1361-6560/ab5bb4</v>
      </c>
      <c r="BG431" t="s">
        <v>74</v>
      </c>
      <c r="BH431" t="s">
        <v>74</v>
      </c>
      <c r="BI431">
        <v>10</v>
      </c>
      <c r="BJ431" t="s">
        <v>101</v>
      </c>
      <c r="BK431" t="s">
        <v>102</v>
      </c>
      <c r="BL431" t="s">
        <v>103</v>
      </c>
      <c r="BM431" t="s">
        <v>104</v>
      </c>
      <c r="BN431">
        <v>31770734</v>
      </c>
      <c r="BO431" t="s">
        <v>140</v>
      </c>
      <c r="BP431" t="s">
        <v>74</v>
      </c>
      <c r="BQ431" t="s">
        <v>74</v>
      </c>
      <c r="BR431" t="s">
        <v>106</v>
      </c>
      <c r="BS431" t="s">
        <v>6995</v>
      </c>
      <c r="BT431" t="str">
        <f>HYPERLINK("https%3A%2F%2Fwww.webofscience.com%2Fwos%2Fwoscc%2Ffull-record%2FWOS:000513009900010","View Full Record in Web of Science")</f>
        <v>View Full Record in Web of Science</v>
      </c>
    </row>
    <row r="432" spans="1:72" x14ac:dyDescent="0.25">
      <c r="A432" t="s">
        <v>72</v>
      </c>
      <c r="B432" t="s">
        <v>6996</v>
      </c>
      <c r="C432" t="s">
        <v>74</v>
      </c>
      <c r="D432" t="s">
        <v>74</v>
      </c>
      <c r="E432" t="s">
        <v>74</v>
      </c>
      <c r="F432" t="s">
        <v>6997</v>
      </c>
      <c r="G432" t="s">
        <v>74</v>
      </c>
      <c r="H432" t="s">
        <v>74</v>
      </c>
      <c r="I432" t="s">
        <v>6998</v>
      </c>
      <c r="J432" t="s">
        <v>77</v>
      </c>
      <c r="K432" t="s">
        <v>74</v>
      </c>
      <c r="L432" t="s">
        <v>74</v>
      </c>
      <c r="M432" t="s">
        <v>78</v>
      </c>
      <c r="N432" t="s">
        <v>79</v>
      </c>
      <c r="O432" t="s">
        <v>74</v>
      </c>
      <c r="P432" t="s">
        <v>74</v>
      </c>
      <c r="Q432" t="s">
        <v>74</v>
      </c>
      <c r="R432" t="s">
        <v>74</v>
      </c>
      <c r="S432" t="s">
        <v>74</v>
      </c>
      <c r="T432" t="s">
        <v>6999</v>
      </c>
      <c r="U432" t="s">
        <v>7000</v>
      </c>
      <c r="V432" t="s">
        <v>7001</v>
      </c>
      <c r="W432" t="s">
        <v>7002</v>
      </c>
      <c r="X432" t="s">
        <v>7003</v>
      </c>
      <c r="Y432" t="s">
        <v>7004</v>
      </c>
      <c r="Z432" t="s">
        <v>7005</v>
      </c>
      <c r="AA432" t="s">
        <v>7006</v>
      </c>
      <c r="AB432" t="s">
        <v>7007</v>
      </c>
      <c r="AC432" t="s">
        <v>7008</v>
      </c>
      <c r="AD432" t="s">
        <v>3870</v>
      </c>
      <c r="AE432" t="s">
        <v>7009</v>
      </c>
      <c r="AF432" t="s">
        <v>74</v>
      </c>
      <c r="AG432">
        <v>45</v>
      </c>
      <c r="AH432">
        <v>11</v>
      </c>
      <c r="AI432">
        <v>11</v>
      </c>
      <c r="AJ432">
        <v>0</v>
      </c>
      <c r="AK432">
        <v>4</v>
      </c>
      <c r="AL432" t="s">
        <v>92</v>
      </c>
      <c r="AM432" t="s">
        <v>93</v>
      </c>
      <c r="AN432" t="s">
        <v>94</v>
      </c>
      <c r="AO432" t="s">
        <v>95</v>
      </c>
      <c r="AP432" t="s">
        <v>96</v>
      </c>
      <c r="AQ432" t="s">
        <v>74</v>
      </c>
      <c r="AR432" t="s">
        <v>97</v>
      </c>
      <c r="AS432" t="s">
        <v>98</v>
      </c>
      <c r="AT432" t="s">
        <v>137</v>
      </c>
      <c r="AU432">
        <v>2019</v>
      </c>
      <c r="AV432">
        <v>64</v>
      </c>
      <c r="AW432">
        <v>21</v>
      </c>
      <c r="AX432" t="s">
        <v>74</v>
      </c>
      <c r="AY432" t="s">
        <v>74</v>
      </c>
      <c r="AZ432" t="s">
        <v>74</v>
      </c>
      <c r="BA432" t="s">
        <v>74</v>
      </c>
      <c r="BB432" t="s">
        <v>74</v>
      </c>
      <c r="BC432" t="s">
        <v>74</v>
      </c>
      <c r="BD432">
        <v>215018</v>
      </c>
      <c r="BE432" t="s">
        <v>7010</v>
      </c>
      <c r="BF432" t="str">
        <f>HYPERLINK("http://dx.doi.org/10.1088/1361-6560/ab47cc","http://dx.doi.org/10.1088/1361-6560/ab47cc")</f>
        <v>http://dx.doi.org/10.1088/1361-6560/ab47cc</v>
      </c>
      <c r="BG432" t="s">
        <v>74</v>
      </c>
      <c r="BH432" t="s">
        <v>74</v>
      </c>
      <c r="BI432">
        <v>13</v>
      </c>
      <c r="BJ432" t="s">
        <v>101</v>
      </c>
      <c r="BK432" t="s">
        <v>102</v>
      </c>
      <c r="BL432" t="s">
        <v>103</v>
      </c>
      <c r="BM432" t="s">
        <v>1625</v>
      </c>
      <c r="BN432">
        <v>31553958</v>
      </c>
      <c r="BO432" t="s">
        <v>105</v>
      </c>
      <c r="BP432" t="s">
        <v>74</v>
      </c>
      <c r="BQ432" t="s">
        <v>74</v>
      </c>
      <c r="BR432" t="s">
        <v>106</v>
      </c>
      <c r="BS432" t="s">
        <v>7011</v>
      </c>
      <c r="BT432" t="str">
        <f>HYPERLINK("https%3A%2F%2Fwww.webofscience.com%2Fwos%2Fwoscc%2Ffull-record%2FWOS:000494858500004","View Full Record in Web of Science")</f>
        <v>View Full Record in Web of Science</v>
      </c>
    </row>
    <row r="433" spans="1:72" x14ac:dyDescent="0.25">
      <c r="A433" t="s">
        <v>72</v>
      </c>
      <c r="B433" t="s">
        <v>7012</v>
      </c>
      <c r="C433" t="s">
        <v>74</v>
      </c>
      <c r="D433" t="s">
        <v>74</v>
      </c>
      <c r="E433" t="s">
        <v>74</v>
      </c>
      <c r="F433" t="s">
        <v>7013</v>
      </c>
      <c r="G433" t="s">
        <v>74</v>
      </c>
      <c r="H433" t="s">
        <v>74</v>
      </c>
      <c r="I433" t="s">
        <v>7014</v>
      </c>
      <c r="J433" t="s">
        <v>77</v>
      </c>
      <c r="K433" t="s">
        <v>74</v>
      </c>
      <c r="L433" t="s">
        <v>74</v>
      </c>
      <c r="M433" t="s">
        <v>78</v>
      </c>
      <c r="N433" t="s">
        <v>79</v>
      </c>
      <c r="O433" t="s">
        <v>74</v>
      </c>
      <c r="P433" t="s">
        <v>74</v>
      </c>
      <c r="Q433" t="s">
        <v>74</v>
      </c>
      <c r="R433" t="s">
        <v>74</v>
      </c>
      <c r="S433" t="s">
        <v>74</v>
      </c>
      <c r="T433" t="s">
        <v>7015</v>
      </c>
      <c r="U433" t="s">
        <v>7016</v>
      </c>
      <c r="V433" t="s">
        <v>7017</v>
      </c>
      <c r="W433" t="s">
        <v>7018</v>
      </c>
      <c r="X433" t="s">
        <v>7019</v>
      </c>
      <c r="Y433" t="s">
        <v>7020</v>
      </c>
      <c r="Z433" t="s">
        <v>7021</v>
      </c>
      <c r="AA433" t="s">
        <v>7022</v>
      </c>
      <c r="AB433" t="s">
        <v>7023</v>
      </c>
      <c r="AC433" t="s">
        <v>74</v>
      </c>
      <c r="AD433" t="s">
        <v>74</v>
      </c>
      <c r="AE433" t="s">
        <v>74</v>
      </c>
      <c r="AF433" t="s">
        <v>74</v>
      </c>
      <c r="AG433">
        <v>18</v>
      </c>
      <c r="AH433">
        <v>12</v>
      </c>
      <c r="AI433">
        <v>13</v>
      </c>
      <c r="AJ433">
        <v>0</v>
      </c>
      <c r="AK433">
        <v>7</v>
      </c>
      <c r="AL433" t="s">
        <v>92</v>
      </c>
      <c r="AM433" t="s">
        <v>93</v>
      </c>
      <c r="AN433" t="s">
        <v>94</v>
      </c>
      <c r="AO433" t="s">
        <v>95</v>
      </c>
      <c r="AP433" t="s">
        <v>96</v>
      </c>
      <c r="AQ433" t="s">
        <v>74</v>
      </c>
      <c r="AR433" t="s">
        <v>97</v>
      </c>
      <c r="AS433" t="s">
        <v>98</v>
      </c>
      <c r="AT433" t="s">
        <v>137</v>
      </c>
      <c r="AU433">
        <v>2019</v>
      </c>
      <c r="AV433">
        <v>64</v>
      </c>
      <c r="AW433">
        <v>21</v>
      </c>
      <c r="AX433" t="s">
        <v>74</v>
      </c>
      <c r="AY433" t="s">
        <v>74</v>
      </c>
      <c r="AZ433" t="s">
        <v>74</v>
      </c>
      <c r="BA433" t="s">
        <v>74</v>
      </c>
      <c r="BB433" t="s">
        <v>74</v>
      </c>
      <c r="BC433" t="s">
        <v>74</v>
      </c>
      <c r="BD433">
        <v>215006</v>
      </c>
      <c r="BE433" t="s">
        <v>7024</v>
      </c>
      <c r="BF433" t="str">
        <f>HYPERLINK("http://dx.doi.org/10.1088/1361-6560/ab3eaa","http://dx.doi.org/10.1088/1361-6560/ab3eaa")</f>
        <v>http://dx.doi.org/10.1088/1361-6560/ab3eaa</v>
      </c>
      <c r="BG433" t="s">
        <v>74</v>
      </c>
      <c r="BH433" t="s">
        <v>74</v>
      </c>
      <c r="BI433">
        <v>9</v>
      </c>
      <c r="BJ433" t="s">
        <v>101</v>
      </c>
      <c r="BK433" t="s">
        <v>102</v>
      </c>
      <c r="BL433" t="s">
        <v>103</v>
      </c>
      <c r="BM433" t="s">
        <v>708</v>
      </c>
      <c r="BN433">
        <v>31461411</v>
      </c>
      <c r="BO433" t="s">
        <v>74</v>
      </c>
      <c r="BP433" t="s">
        <v>74</v>
      </c>
      <c r="BQ433" t="s">
        <v>74</v>
      </c>
      <c r="BR433" t="s">
        <v>106</v>
      </c>
      <c r="BS433" t="s">
        <v>7025</v>
      </c>
      <c r="BT433" t="str">
        <f>HYPERLINK("https%3A%2F%2Fwww.webofscience.com%2Fwos%2Fwoscc%2Ffull-record%2FWOS:000518764400006","View Full Record in Web of Science")</f>
        <v>View Full Record in Web of Science</v>
      </c>
    </row>
    <row r="434" spans="1:72" x14ac:dyDescent="0.25">
      <c r="A434" t="s">
        <v>72</v>
      </c>
      <c r="B434" t="s">
        <v>7026</v>
      </c>
      <c r="C434" t="s">
        <v>74</v>
      </c>
      <c r="D434" t="s">
        <v>74</v>
      </c>
      <c r="E434" t="s">
        <v>74</v>
      </c>
      <c r="F434" t="s">
        <v>7027</v>
      </c>
      <c r="G434" t="s">
        <v>74</v>
      </c>
      <c r="H434" t="s">
        <v>74</v>
      </c>
      <c r="I434" t="s">
        <v>7028</v>
      </c>
      <c r="J434" t="s">
        <v>77</v>
      </c>
      <c r="K434" t="s">
        <v>74</v>
      </c>
      <c r="L434" t="s">
        <v>74</v>
      </c>
      <c r="M434" t="s">
        <v>78</v>
      </c>
      <c r="N434" t="s">
        <v>79</v>
      </c>
      <c r="O434" t="s">
        <v>74</v>
      </c>
      <c r="P434" t="s">
        <v>74</v>
      </c>
      <c r="Q434" t="s">
        <v>74</v>
      </c>
      <c r="R434" t="s">
        <v>74</v>
      </c>
      <c r="S434" t="s">
        <v>74</v>
      </c>
      <c r="T434" t="s">
        <v>7029</v>
      </c>
      <c r="U434" t="s">
        <v>7030</v>
      </c>
      <c r="V434" t="s">
        <v>7031</v>
      </c>
      <c r="W434" t="s">
        <v>7032</v>
      </c>
      <c r="X434" t="s">
        <v>7033</v>
      </c>
      <c r="Y434" t="s">
        <v>7034</v>
      </c>
      <c r="Z434" t="s">
        <v>7035</v>
      </c>
      <c r="AA434" t="s">
        <v>7036</v>
      </c>
      <c r="AB434" t="s">
        <v>7037</v>
      </c>
      <c r="AC434" t="s">
        <v>7038</v>
      </c>
      <c r="AD434" t="s">
        <v>7039</v>
      </c>
      <c r="AE434" t="s">
        <v>7040</v>
      </c>
      <c r="AF434" t="s">
        <v>74</v>
      </c>
      <c r="AG434">
        <v>47</v>
      </c>
      <c r="AH434">
        <v>8</v>
      </c>
      <c r="AI434">
        <v>9</v>
      </c>
      <c r="AJ434">
        <v>1</v>
      </c>
      <c r="AK434">
        <v>24</v>
      </c>
      <c r="AL434" t="s">
        <v>92</v>
      </c>
      <c r="AM434" t="s">
        <v>93</v>
      </c>
      <c r="AN434" t="s">
        <v>94</v>
      </c>
      <c r="AO434" t="s">
        <v>95</v>
      </c>
      <c r="AP434" t="s">
        <v>96</v>
      </c>
      <c r="AQ434" t="s">
        <v>74</v>
      </c>
      <c r="AR434" t="s">
        <v>97</v>
      </c>
      <c r="AS434" t="s">
        <v>98</v>
      </c>
      <c r="AT434" t="s">
        <v>509</v>
      </c>
      <c r="AU434">
        <v>2019</v>
      </c>
      <c r="AV434">
        <v>64</v>
      </c>
      <c r="AW434">
        <v>19</v>
      </c>
      <c r="AX434" t="s">
        <v>74</v>
      </c>
      <c r="AY434" t="s">
        <v>74</v>
      </c>
      <c r="AZ434" t="s">
        <v>74</v>
      </c>
      <c r="BA434" t="s">
        <v>74</v>
      </c>
      <c r="BB434" t="s">
        <v>74</v>
      </c>
      <c r="BC434" t="s">
        <v>74</v>
      </c>
      <c r="BD434">
        <v>195012</v>
      </c>
      <c r="BE434" t="s">
        <v>7041</v>
      </c>
      <c r="BF434" t="str">
        <f>HYPERLINK("http://dx.doi.org/10.1088/1361-6560/ab3bfb","http://dx.doi.org/10.1088/1361-6560/ab3bfb")</f>
        <v>http://dx.doi.org/10.1088/1361-6560/ab3bfb</v>
      </c>
      <c r="BG434" t="s">
        <v>74</v>
      </c>
      <c r="BH434" t="s">
        <v>74</v>
      </c>
      <c r="BI434">
        <v>16</v>
      </c>
      <c r="BJ434" t="s">
        <v>101</v>
      </c>
      <c r="BK434" t="s">
        <v>102</v>
      </c>
      <c r="BL434" t="s">
        <v>103</v>
      </c>
      <c r="BM434" t="s">
        <v>4199</v>
      </c>
      <c r="BN434">
        <v>31422960</v>
      </c>
      <c r="BO434" t="s">
        <v>4891</v>
      </c>
      <c r="BP434" t="s">
        <v>74</v>
      </c>
      <c r="BQ434" t="s">
        <v>74</v>
      </c>
      <c r="BR434" t="s">
        <v>106</v>
      </c>
      <c r="BS434" t="s">
        <v>7042</v>
      </c>
      <c r="BT434" t="str">
        <f>HYPERLINK("https%3A%2F%2Fwww.webofscience.com%2Fwos%2Fwoscc%2Ffull-record%2FWOS:000505954300002","View Full Record in Web of Science")</f>
        <v>View Full Record in Web of Science</v>
      </c>
    </row>
    <row r="435" spans="1:72" x14ac:dyDescent="0.25">
      <c r="A435" t="s">
        <v>72</v>
      </c>
      <c r="B435" t="s">
        <v>7043</v>
      </c>
      <c r="C435" t="s">
        <v>74</v>
      </c>
      <c r="D435" t="s">
        <v>74</v>
      </c>
      <c r="E435" t="s">
        <v>74</v>
      </c>
      <c r="F435" t="s">
        <v>7044</v>
      </c>
      <c r="G435" t="s">
        <v>74</v>
      </c>
      <c r="H435" t="s">
        <v>74</v>
      </c>
      <c r="I435" t="s">
        <v>7045</v>
      </c>
      <c r="J435" t="s">
        <v>77</v>
      </c>
      <c r="K435" t="s">
        <v>74</v>
      </c>
      <c r="L435" t="s">
        <v>74</v>
      </c>
      <c r="M435" t="s">
        <v>78</v>
      </c>
      <c r="N435" t="s">
        <v>79</v>
      </c>
      <c r="O435" t="s">
        <v>74</v>
      </c>
      <c r="P435" t="s">
        <v>74</v>
      </c>
      <c r="Q435" t="s">
        <v>74</v>
      </c>
      <c r="R435" t="s">
        <v>74</v>
      </c>
      <c r="S435" t="s">
        <v>74</v>
      </c>
      <c r="T435" t="s">
        <v>7046</v>
      </c>
      <c r="U435" t="s">
        <v>7047</v>
      </c>
      <c r="V435" t="s">
        <v>7048</v>
      </c>
      <c r="W435" t="s">
        <v>7049</v>
      </c>
      <c r="X435" t="s">
        <v>7050</v>
      </c>
      <c r="Y435" t="s">
        <v>7051</v>
      </c>
      <c r="Z435" t="s">
        <v>7052</v>
      </c>
      <c r="AA435" t="s">
        <v>2005</v>
      </c>
      <c r="AB435" t="s">
        <v>7053</v>
      </c>
      <c r="AC435" t="s">
        <v>2007</v>
      </c>
      <c r="AD435" t="s">
        <v>2008</v>
      </c>
      <c r="AE435" t="s">
        <v>7054</v>
      </c>
      <c r="AF435" t="s">
        <v>74</v>
      </c>
      <c r="AG435">
        <v>34</v>
      </c>
      <c r="AH435">
        <v>8</v>
      </c>
      <c r="AI435">
        <v>9</v>
      </c>
      <c r="AJ435">
        <v>0</v>
      </c>
      <c r="AK435">
        <v>8</v>
      </c>
      <c r="AL435" t="s">
        <v>92</v>
      </c>
      <c r="AM435" t="s">
        <v>93</v>
      </c>
      <c r="AN435" t="s">
        <v>94</v>
      </c>
      <c r="AO435" t="s">
        <v>95</v>
      </c>
      <c r="AP435" t="s">
        <v>96</v>
      </c>
      <c r="AQ435" t="s">
        <v>74</v>
      </c>
      <c r="AR435" t="s">
        <v>97</v>
      </c>
      <c r="AS435" t="s">
        <v>98</v>
      </c>
      <c r="AT435" t="s">
        <v>176</v>
      </c>
      <c r="AU435">
        <v>2019</v>
      </c>
      <c r="AV435">
        <v>64</v>
      </c>
      <c r="AW435">
        <v>17</v>
      </c>
      <c r="AX435" t="s">
        <v>74</v>
      </c>
      <c r="AY435" t="s">
        <v>74</v>
      </c>
      <c r="AZ435" t="s">
        <v>74</v>
      </c>
      <c r="BA435" t="s">
        <v>74</v>
      </c>
      <c r="BB435" t="s">
        <v>74</v>
      </c>
      <c r="BC435" t="s">
        <v>74</v>
      </c>
      <c r="BD435">
        <v>175004</v>
      </c>
      <c r="BE435" t="s">
        <v>7055</v>
      </c>
      <c r="BF435" t="str">
        <f>HYPERLINK("http://dx.doi.org/10.1088/1361-6560/ab32a1","http://dx.doi.org/10.1088/1361-6560/ab32a1")</f>
        <v>http://dx.doi.org/10.1088/1361-6560/ab32a1</v>
      </c>
      <c r="BG435" t="s">
        <v>74</v>
      </c>
      <c r="BH435" t="s">
        <v>74</v>
      </c>
      <c r="BI435">
        <v>13</v>
      </c>
      <c r="BJ435" t="s">
        <v>101</v>
      </c>
      <c r="BK435" t="s">
        <v>102</v>
      </c>
      <c r="BL435" t="s">
        <v>103</v>
      </c>
      <c r="BM435" t="s">
        <v>776</v>
      </c>
      <c r="BN435">
        <v>31456584</v>
      </c>
      <c r="BO435" t="s">
        <v>74</v>
      </c>
      <c r="BP435" t="s">
        <v>74</v>
      </c>
      <c r="BQ435" t="s">
        <v>74</v>
      </c>
      <c r="BR435" t="s">
        <v>106</v>
      </c>
      <c r="BS435" t="s">
        <v>7056</v>
      </c>
      <c r="BT435" t="str">
        <f>HYPERLINK("https%3A%2F%2Fwww.webofscience.com%2Fwos%2Fwoscc%2Ffull-record%2FWOS:000483095200004","View Full Record in Web of Science")</f>
        <v>View Full Record in Web of Science</v>
      </c>
    </row>
    <row r="436" spans="1:72" x14ac:dyDescent="0.25">
      <c r="A436" t="s">
        <v>72</v>
      </c>
      <c r="B436" t="s">
        <v>7057</v>
      </c>
      <c r="C436" t="s">
        <v>74</v>
      </c>
      <c r="D436" t="s">
        <v>74</v>
      </c>
      <c r="E436" t="s">
        <v>74</v>
      </c>
      <c r="F436" t="s">
        <v>7058</v>
      </c>
      <c r="G436" t="s">
        <v>74</v>
      </c>
      <c r="H436" t="s">
        <v>74</v>
      </c>
      <c r="I436" t="s">
        <v>7059</v>
      </c>
      <c r="J436" t="s">
        <v>77</v>
      </c>
      <c r="K436" t="s">
        <v>74</v>
      </c>
      <c r="L436" t="s">
        <v>74</v>
      </c>
      <c r="M436" t="s">
        <v>78</v>
      </c>
      <c r="N436" t="s">
        <v>79</v>
      </c>
      <c r="O436" t="s">
        <v>74</v>
      </c>
      <c r="P436" t="s">
        <v>74</v>
      </c>
      <c r="Q436" t="s">
        <v>74</v>
      </c>
      <c r="R436" t="s">
        <v>74</v>
      </c>
      <c r="S436" t="s">
        <v>74</v>
      </c>
      <c r="T436" t="s">
        <v>7060</v>
      </c>
      <c r="U436" t="s">
        <v>7061</v>
      </c>
      <c r="V436" t="s">
        <v>7062</v>
      </c>
      <c r="W436" t="s">
        <v>7063</v>
      </c>
      <c r="X436" t="s">
        <v>883</v>
      </c>
      <c r="Y436" t="s">
        <v>7064</v>
      </c>
      <c r="Z436" t="s">
        <v>7065</v>
      </c>
      <c r="AA436" t="s">
        <v>74</v>
      </c>
      <c r="AB436" t="s">
        <v>74</v>
      </c>
      <c r="AC436" t="s">
        <v>7066</v>
      </c>
      <c r="AD436" t="s">
        <v>7067</v>
      </c>
      <c r="AE436" t="s">
        <v>7068</v>
      </c>
      <c r="AF436" t="s">
        <v>74</v>
      </c>
      <c r="AG436">
        <v>29</v>
      </c>
      <c r="AH436">
        <v>26</v>
      </c>
      <c r="AI436">
        <v>28</v>
      </c>
      <c r="AJ436">
        <v>2</v>
      </c>
      <c r="AK436">
        <v>26</v>
      </c>
      <c r="AL436" t="s">
        <v>92</v>
      </c>
      <c r="AM436" t="s">
        <v>93</v>
      </c>
      <c r="AN436" t="s">
        <v>94</v>
      </c>
      <c r="AO436" t="s">
        <v>95</v>
      </c>
      <c r="AP436" t="s">
        <v>96</v>
      </c>
      <c r="AQ436" t="s">
        <v>74</v>
      </c>
      <c r="AR436" t="s">
        <v>97</v>
      </c>
      <c r="AS436" t="s">
        <v>98</v>
      </c>
      <c r="AT436" t="s">
        <v>176</v>
      </c>
      <c r="AU436">
        <v>2019</v>
      </c>
      <c r="AV436">
        <v>64</v>
      </c>
      <c r="AW436">
        <v>17</v>
      </c>
      <c r="AX436" t="s">
        <v>74</v>
      </c>
      <c r="AY436" t="s">
        <v>74</v>
      </c>
      <c r="AZ436" t="s">
        <v>74</v>
      </c>
      <c r="BA436" t="s">
        <v>74</v>
      </c>
      <c r="BB436" t="s">
        <v>74</v>
      </c>
      <c r="BC436" t="s">
        <v>74</v>
      </c>
      <c r="BD436">
        <v>175008</v>
      </c>
      <c r="BE436" t="s">
        <v>7069</v>
      </c>
      <c r="BF436" t="str">
        <f>HYPERLINK("http://dx.doi.org/10.1088/1361-6560/ab3866","http://dx.doi.org/10.1088/1361-6560/ab3866")</f>
        <v>http://dx.doi.org/10.1088/1361-6560/ab3866</v>
      </c>
      <c r="BG436" t="s">
        <v>74</v>
      </c>
      <c r="BH436" t="s">
        <v>74</v>
      </c>
      <c r="BI436">
        <v>8</v>
      </c>
      <c r="BJ436" t="s">
        <v>101</v>
      </c>
      <c r="BK436" t="s">
        <v>102</v>
      </c>
      <c r="BL436" t="s">
        <v>103</v>
      </c>
      <c r="BM436" t="s">
        <v>794</v>
      </c>
      <c r="BN436">
        <v>31382253</v>
      </c>
      <c r="BO436" t="s">
        <v>420</v>
      </c>
      <c r="BP436" t="s">
        <v>74</v>
      </c>
      <c r="BQ436" t="s">
        <v>74</v>
      </c>
      <c r="BR436" t="s">
        <v>106</v>
      </c>
      <c r="BS436" t="s">
        <v>7070</v>
      </c>
      <c r="BT436" t="str">
        <f>HYPERLINK("https%3A%2F%2Fwww.webofscience.com%2Fwos%2Fwoscc%2Ffull-record%2FWOS:000484508700001","View Full Record in Web of Science")</f>
        <v>View Full Record in Web of Science</v>
      </c>
    </row>
    <row r="437" spans="1:72" x14ac:dyDescent="0.25">
      <c r="A437" t="s">
        <v>72</v>
      </c>
      <c r="B437" t="s">
        <v>7071</v>
      </c>
      <c r="C437" t="s">
        <v>74</v>
      </c>
      <c r="D437" t="s">
        <v>74</v>
      </c>
      <c r="E437" t="s">
        <v>74</v>
      </c>
      <c r="F437" t="s">
        <v>7072</v>
      </c>
      <c r="G437" t="s">
        <v>74</v>
      </c>
      <c r="H437" t="s">
        <v>74</v>
      </c>
      <c r="I437" t="s">
        <v>7073</v>
      </c>
      <c r="J437" t="s">
        <v>77</v>
      </c>
      <c r="K437" t="s">
        <v>74</v>
      </c>
      <c r="L437" t="s">
        <v>74</v>
      </c>
      <c r="M437" t="s">
        <v>78</v>
      </c>
      <c r="N437" t="s">
        <v>79</v>
      </c>
      <c r="O437" t="s">
        <v>74</v>
      </c>
      <c r="P437" t="s">
        <v>74</v>
      </c>
      <c r="Q437" t="s">
        <v>74</v>
      </c>
      <c r="R437" t="s">
        <v>74</v>
      </c>
      <c r="S437" t="s">
        <v>74</v>
      </c>
      <c r="T437" t="s">
        <v>7074</v>
      </c>
      <c r="U437" t="s">
        <v>7075</v>
      </c>
      <c r="V437" t="s">
        <v>7076</v>
      </c>
      <c r="W437" t="s">
        <v>7077</v>
      </c>
      <c r="X437" t="s">
        <v>7078</v>
      </c>
      <c r="Y437" t="s">
        <v>464</v>
      </c>
      <c r="Z437" t="s">
        <v>465</v>
      </c>
      <c r="AA437" t="s">
        <v>7079</v>
      </c>
      <c r="AB437" t="s">
        <v>7080</v>
      </c>
      <c r="AC437" t="s">
        <v>7081</v>
      </c>
      <c r="AD437" t="s">
        <v>738</v>
      </c>
      <c r="AE437" t="s">
        <v>7082</v>
      </c>
      <c r="AF437" t="s">
        <v>74</v>
      </c>
      <c r="AG437">
        <v>52</v>
      </c>
      <c r="AH437">
        <v>102</v>
      </c>
      <c r="AI437">
        <v>105</v>
      </c>
      <c r="AJ437">
        <v>0</v>
      </c>
      <c r="AK437">
        <v>26</v>
      </c>
      <c r="AL437" t="s">
        <v>157</v>
      </c>
      <c r="AM437" t="s">
        <v>93</v>
      </c>
      <c r="AN437" t="s">
        <v>94</v>
      </c>
      <c r="AO437" t="s">
        <v>95</v>
      </c>
      <c r="AP437" t="s">
        <v>96</v>
      </c>
      <c r="AQ437" t="s">
        <v>74</v>
      </c>
      <c r="AR437" t="s">
        <v>97</v>
      </c>
      <c r="AS437" t="s">
        <v>98</v>
      </c>
      <c r="AT437" t="s">
        <v>214</v>
      </c>
      <c r="AU437">
        <v>2019</v>
      </c>
      <c r="AV437">
        <v>64</v>
      </c>
      <c r="AW437">
        <v>14</v>
      </c>
      <c r="AX437" t="s">
        <v>74</v>
      </c>
      <c r="AY437" t="s">
        <v>74</v>
      </c>
      <c r="AZ437" t="s">
        <v>74</v>
      </c>
      <c r="BA437" t="s">
        <v>74</v>
      </c>
      <c r="BB437" t="s">
        <v>74</v>
      </c>
      <c r="BC437" t="s">
        <v>74</v>
      </c>
      <c r="BD437">
        <v>145015</v>
      </c>
      <c r="BE437" t="s">
        <v>7083</v>
      </c>
      <c r="BF437" t="str">
        <f>HYPERLINK("http://dx.doi.org/10.1088/1361-6560/ab25bc","http://dx.doi.org/10.1088/1361-6560/ab25bc")</f>
        <v>http://dx.doi.org/10.1088/1361-6560/ab25bc</v>
      </c>
      <c r="BG437" t="s">
        <v>74</v>
      </c>
      <c r="BH437" t="s">
        <v>74</v>
      </c>
      <c r="BI437">
        <v>13</v>
      </c>
      <c r="BJ437" t="s">
        <v>101</v>
      </c>
      <c r="BK437" t="s">
        <v>102</v>
      </c>
      <c r="BL437" t="s">
        <v>103</v>
      </c>
      <c r="BM437" t="s">
        <v>233</v>
      </c>
      <c r="BN437">
        <v>31146267</v>
      </c>
      <c r="BO437" t="s">
        <v>105</v>
      </c>
      <c r="BP437" t="s">
        <v>74</v>
      </c>
      <c r="BQ437" t="s">
        <v>74</v>
      </c>
      <c r="BR437" t="s">
        <v>106</v>
      </c>
      <c r="BS437" t="s">
        <v>7084</v>
      </c>
      <c r="BT437" t="str">
        <f>HYPERLINK("https%3A%2F%2Fwww.webofscience.com%2Fwos%2Fwoscc%2Ffull-record%2FWOS:000475775200008","View Full Record in Web of Science")</f>
        <v>View Full Record in Web of Science</v>
      </c>
    </row>
    <row r="438" spans="1:72" x14ac:dyDescent="0.25">
      <c r="A438" t="s">
        <v>72</v>
      </c>
      <c r="B438" t="s">
        <v>7085</v>
      </c>
      <c r="C438" t="s">
        <v>74</v>
      </c>
      <c r="D438" t="s">
        <v>74</v>
      </c>
      <c r="E438" t="s">
        <v>74</v>
      </c>
      <c r="F438" t="s">
        <v>7086</v>
      </c>
      <c r="G438" t="s">
        <v>74</v>
      </c>
      <c r="H438" t="s">
        <v>74</v>
      </c>
      <c r="I438" t="s">
        <v>7087</v>
      </c>
      <c r="J438" t="s">
        <v>77</v>
      </c>
      <c r="K438" t="s">
        <v>74</v>
      </c>
      <c r="L438" t="s">
        <v>74</v>
      </c>
      <c r="M438" t="s">
        <v>78</v>
      </c>
      <c r="N438" t="s">
        <v>79</v>
      </c>
      <c r="O438" t="s">
        <v>74</v>
      </c>
      <c r="P438" t="s">
        <v>74</v>
      </c>
      <c r="Q438" t="s">
        <v>74</v>
      </c>
      <c r="R438" t="s">
        <v>74</v>
      </c>
      <c r="S438" t="s">
        <v>74</v>
      </c>
      <c r="T438" t="s">
        <v>7088</v>
      </c>
      <c r="U438" t="s">
        <v>7089</v>
      </c>
      <c r="V438" t="s">
        <v>7090</v>
      </c>
      <c r="W438" t="s">
        <v>7091</v>
      </c>
      <c r="X438" t="s">
        <v>2084</v>
      </c>
      <c r="Y438" t="s">
        <v>7092</v>
      </c>
      <c r="Z438" t="s">
        <v>7093</v>
      </c>
      <c r="AA438" t="s">
        <v>7094</v>
      </c>
      <c r="AB438" t="s">
        <v>7095</v>
      </c>
      <c r="AC438" t="s">
        <v>7096</v>
      </c>
      <c r="AD438" t="s">
        <v>416</v>
      </c>
      <c r="AE438" t="s">
        <v>7097</v>
      </c>
      <c r="AF438" t="s">
        <v>74</v>
      </c>
      <c r="AG438">
        <v>51</v>
      </c>
      <c r="AH438">
        <v>8</v>
      </c>
      <c r="AI438">
        <v>10</v>
      </c>
      <c r="AJ438">
        <v>0</v>
      </c>
      <c r="AK438">
        <v>3</v>
      </c>
      <c r="AL438" t="s">
        <v>157</v>
      </c>
      <c r="AM438" t="s">
        <v>93</v>
      </c>
      <c r="AN438" t="s">
        <v>94</v>
      </c>
      <c r="AO438" t="s">
        <v>95</v>
      </c>
      <c r="AP438" t="s">
        <v>96</v>
      </c>
      <c r="AQ438" t="s">
        <v>74</v>
      </c>
      <c r="AR438" t="s">
        <v>97</v>
      </c>
      <c r="AS438" t="s">
        <v>98</v>
      </c>
      <c r="AT438" t="s">
        <v>250</v>
      </c>
      <c r="AU438">
        <v>2019</v>
      </c>
      <c r="AV438">
        <v>64</v>
      </c>
      <c r="AW438">
        <v>12</v>
      </c>
      <c r="AX438" t="s">
        <v>74</v>
      </c>
      <c r="AY438" t="s">
        <v>74</v>
      </c>
      <c r="AZ438" t="s">
        <v>74</v>
      </c>
      <c r="BA438" t="s">
        <v>74</v>
      </c>
      <c r="BB438" t="s">
        <v>74</v>
      </c>
      <c r="BC438" t="s">
        <v>74</v>
      </c>
      <c r="BD438">
        <v>125004</v>
      </c>
      <c r="BE438" t="s">
        <v>7098</v>
      </c>
      <c r="BF438" t="str">
        <f>HYPERLINK("http://dx.doi.org/10.1088/1361-6560/ab1e21","http://dx.doi.org/10.1088/1361-6560/ab1e21")</f>
        <v>http://dx.doi.org/10.1088/1361-6560/ab1e21</v>
      </c>
      <c r="BG438" t="s">
        <v>74</v>
      </c>
      <c r="BH438" t="s">
        <v>74</v>
      </c>
      <c r="BI438">
        <v>10</v>
      </c>
      <c r="BJ438" t="s">
        <v>101</v>
      </c>
      <c r="BK438" t="s">
        <v>102</v>
      </c>
      <c r="BL438" t="s">
        <v>103</v>
      </c>
      <c r="BM438" t="s">
        <v>4299</v>
      </c>
      <c r="BN438">
        <v>31039549</v>
      </c>
      <c r="BO438" t="s">
        <v>105</v>
      </c>
      <c r="BP438" t="s">
        <v>74</v>
      </c>
      <c r="BQ438" t="s">
        <v>74</v>
      </c>
      <c r="BR438" t="s">
        <v>106</v>
      </c>
      <c r="BS438" t="s">
        <v>7099</v>
      </c>
      <c r="BT438" t="str">
        <f>HYPERLINK("https%3A%2F%2Fwww.webofscience.com%2Fwos%2Fwoscc%2Ffull-record%2FWOS:000471166400004","View Full Record in Web of Science")</f>
        <v>View Full Record in Web of Science</v>
      </c>
    </row>
    <row r="439" spans="1:72" x14ac:dyDescent="0.25">
      <c r="A439" t="s">
        <v>72</v>
      </c>
      <c r="B439" t="s">
        <v>7100</v>
      </c>
      <c r="C439" t="s">
        <v>74</v>
      </c>
      <c r="D439" t="s">
        <v>74</v>
      </c>
      <c r="E439" t="s">
        <v>74</v>
      </c>
      <c r="F439" t="s">
        <v>7101</v>
      </c>
      <c r="G439" t="s">
        <v>74</v>
      </c>
      <c r="H439" t="s">
        <v>74</v>
      </c>
      <c r="I439" t="s">
        <v>7102</v>
      </c>
      <c r="J439" t="s">
        <v>77</v>
      </c>
      <c r="K439" t="s">
        <v>74</v>
      </c>
      <c r="L439" t="s">
        <v>74</v>
      </c>
      <c r="M439" t="s">
        <v>78</v>
      </c>
      <c r="N439" t="s">
        <v>79</v>
      </c>
      <c r="O439" t="s">
        <v>74</v>
      </c>
      <c r="P439" t="s">
        <v>74</v>
      </c>
      <c r="Q439" t="s">
        <v>74</v>
      </c>
      <c r="R439" t="s">
        <v>74</v>
      </c>
      <c r="S439" t="s">
        <v>74</v>
      </c>
      <c r="T439" t="s">
        <v>7103</v>
      </c>
      <c r="U439" t="s">
        <v>7104</v>
      </c>
      <c r="V439" t="s">
        <v>7105</v>
      </c>
      <c r="W439" t="s">
        <v>7106</v>
      </c>
      <c r="X439" t="s">
        <v>7107</v>
      </c>
      <c r="Y439" t="s">
        <v>7108</v>
      </c>
      <c r="Z439" t="s">
        <v>7109</v>
      </c>
      <c r="AA439" t="s">
        <v>7110</v>
      </c>
      <c r="AB439" t="s">
        <v>7111</v>
      </c>
      <c r="AC439" t="s">
        <v>7112</v>
      </c>
      <c r="AD439" t="s">
        <v>7113</v>
      </c>
      <c r="AE439" t="s">
        <v>7114</v>
      </c>
      <c r="AF439" t="s">
        <v>74</v>
      </c>
      <c r="AG439">
        <v>29</v>
      </c>
      <c r="AH439">
        <v>5</v>
      </c>
      <c r="AI439">
        <v>5</v>
      </c>
      <c r="AJ439">
        <v>1</v>
      </c>
      <c r="AK439">
        <v>8</v>
      </c>
      <c r="AL439" t="s">
        <v>92</v>
      </c>
      <c r="AM439" t="s">
        <v>93</v>
      </c>
      <c r="AN439" t="s">
        <v>94</v>
      </c>
      <c r="AO439" t="s">
        <v>95</v>
      </c>
      <c r="AP439" t="s">
        <v>96</v>
      </c>
      <c r="AQ439" t="s">
        <v>74</v>
      </c>
      <c r="AR439" t="s">
        <v>97</v>
      </c>
      <c r="AS439" t="s">
        <v>98</v>
      </c>
      <c r="AT439" t="s">
        <v>250</v>
      </c>
      <c r="AU439">
        <v>2019</v>
      </c>
      <c r="AV439">
        <v>64</v>
      </c>
      <c r="AW439">
        <v>12</v>
      </c>
      <c r="AX439" t="s">
        <v>74</v>
      </c>
      <c r="AY439" t="s">
        <v>74</v>
      </c>
      <c r="AZ439" t="s">
        <v>74</v>
      </c>
      <c r="BA439" t="s">
        <v>74</v>
      </c>
      <c r="BB439" t="s">
        <v>74</v>
      </c>
      <c r="BC439" t="s">
        <v>74</v>
      </c>
      <c r="BD439">
        <v>125021</v>
      </c>
      <c r="BE439" t="s">
        <v>7115</v>
      </c>
      <c r="BF439" t="str">
        <f>HYPERLINK("http://dx.doi.org/10.1088/1361-6560/ab2479","http://dx.doi.org/10.1088/1361-6560/ab2479")</f>
        <v>http://dx.doi.org/10.1088/1361-6560/ab2479</v>
      </c>
      <c r="BG439" t="s">
        <v>74</v>
      </c>
      <c r="BH439" t="s">
        <v>74</v>
      </c>
      <c r="BI439">
        <v>16</v>
      </c>
      <c r="BJ439" t="s">
        <v>101</v>
      </c>
      <c r="BK439" t="s">
        <v>102</v>
      </c>
      <c r="BL439" t="s">
        <v>103</v>
      </c>
      <c r="BM439" t="s">
        <v>7116</v>
      </c>
      <c r="BN439">
        <v>31226100</v>
      </c>
      <c r="BO439" t="s">
        <v>420</v>
      </c>
      <c r="BP439" t="s">
        <v>74</v>
      </c>
      <c r="BQ439" t="s">
        <v>74</v>
      </c>
      <c r="BR439" t="s">
        <v>106</v>
      </c>
      <c r="BS439" t="s">
        <v>7117</v>
      </c>
      <c r="BT439" t="str">
        <f>HYPERLINK("https%3A%2F%2Fwww.webofscience.com%2Fwos%2Fwoscc%2Ffull-record%2FWOS:000475967000001","View Full Record in Web of Science")</f>
        <v>View Full Record in Web of Science</v>
      </c>
    </row>
    <row r="440" spans="1:72" x14ac:dyDescent="0.25">
      <c r="A440" t="s">
        <v>72</v>
      </c>
      <c r="B440" t="s">
        <v>7118</v>
      </c>
      <c r="C440" t="s">
        <v>74</v>
      </c>
      <c r="D440" t="s">
        <v>74</v>
      </c>
      <c r="E440" t="s">
        <v>74</v>
      </c>
      <c r="F440" t="s">
        <v>7119</v>
      </c>
      <c r="G440" t="s">
        <v>74</v>
      </c>
      <c r="H440" t="s">
        <v>74</v>
      </c>
      <c r="I440" t="s">
        <v>7120</v>
      </c>
      <c r="J440" t="s">
        <v>77</v>
      </c>
      <c r="K440" t="s">
        <v>74</v>
      </c>
      <c r="L440" t="s">
        <v>74</v>
      </c>
      <c r="M440" t="s">
        <v>78</v>
      </c>
      <c r="N440" t="s">
        <v>79</v>
      </c>
      <c r="O440" t="s">
        <v>74</v>
      </c>
      <c r="P440" t="s">
        <v>74</v>
      </c>
      <c r="Q440" t="s">
        <v>74</v>
      </c>
      <c r="R440" t="s">
        <v>74</v>
      </c>
      <c r="S440" t="s">
        <v>74</v>
      </c>
      <c r="T440" t="s">
        <v>7121</v>
      </c>
      <c r="U440" t="s">
        <v>7122</v>
      </c>
      <c r="V440" t="s">
        <v>7123</v>
      </c>
      <c r="W440" t="s">
        <v>7124</v>
      </c>
      <c r="X440" t="s">
        <v>7125</v>
      </c>
      <c r="Y440" t="s">
        <v>7126</v>
      </c>
      <c r="Z440" t="s">
        <v>7127</v>
      </c>
      <c r="AA440" t="s">
        <v>7128</v>
      </c>
      <c r="AB440" t="s">
        <v>7129</v>
      </c>
      <c r="AC440" t="s">
        <v>7130</v>
      </c>
      <c r="AD440" t="s">
        <v>7131</v>
      </c>
      <c r="AE440" t="s">
        <v>7132</v>
      </c>
      <c r="AF440" t="s">
        <v>74</v>
      </c>
      <c r="AG440">
        <v>41</v>
      </c>
      <c r="AH440">
        <v>20</v>
      </c>
      <c r="AI440">
        <v>21</v>
      </c>
      <c r="AJ440">
        <v>0</v>
      </c>
      <c r="AK440">
        <v>16</v>
      </c>
      <c r="AL440" t="s">
        <v>92</v>
      </c>
      <c r="AM440" t="s">
        <v>93</v>
      </c>
      <c r="AN440" t="s">
        <v>94</v>
      </c>
      <c r="AO440" t="s">
        <v>95</v>
      </c>
      <c r="AP440" t="s">
        <v>96</v>
      </c>
      <c r="AQ440" t="s">
        <v>74</v>
      </c>
      <c r="AR440" t="s">
        <v>97</v>
      </c>
      <c r="AS440" t="s">
        <v>98</v>
      </c>
      <c r="AT440" t="s">
        <v>250</v>
      </c>
      <c r="AU440">
        <v>2019</v>
      </c>
      <c r="AV440">
        <v>64</v>
      </c>
      <c r="AW440">
        <v>12</v>
      </c>
      <c r="AX440" t="s">
        <v>74</v>
      </c>
      <c r="AY440" t="s">
        <v>74</v>
      </c>
      <c r="AZ440" t="s">
        <v>74</v>
      </c>
      <c r="BA440" t="s">
        <v>74</v>
      </c>
      <c r="BB440" t="s">
        <v>74</v>
      </c>
      <c r="BC440" t="s">
        <v>74</v>
      </c>
      <c r="BD440">
        <v>125018</v>
      </c>
      <c r="BE440" t="s">
        <v>7133</v>
      </c>
      <c r="BF440" t="str">
        <f>HYPERLINK("http://dx.doi.org/10.1088/1361-6560/ab207e","http://dx.doi.org/10.1088/1361-6560/ab207e")</f>
        <v>http://dx.doi.org/10.1088/1361-6560/ab207e</v>
      </c>
      <c r="BG440" t="s">
        <v>74</v>
      </c>
      <c r="BH440" t="s">
        <v>74</v>
      </c>
      <c r="BI440">
        <v>12</v>
      </c>
      <c r="BJ440" t="s">
        <v>101</v>
      </c>
      <c r="BK440" t="s">
        <v>102</v>
      </c>
      <c r="BL440" t="s">
        <v>103</v>
      </c>
      <c r="BM440" t="s">
        <v>357</v>
      </c>
      <c r="BN440">
        <v>31071701</v>
      </c>
      <c r="BO440" t="s">
        <v>74</v>
      </c>
      <c r="BP440" t="s">
        <v>74</v>
      </c>
      <c r="BQ440" t="s">
        <v>74</v>
      </c>
      <c r="BR440" t="s">
        <v>106</v>
      </c>
      <c r="BS440" t="s">
        <v>7134</v>
      </c>
      <c r="BT440" t="str">
        <f>HYPERLINK("https%3A%2F%2Fwww.webofscience.com%2Fwos%2Fwoscc%2Ffull-record%2FWOS:000518929400008","View Full Record in Web of Science")</f>
        <v>View Full Record in Web of Science</v>
      </c>
    </row>
    <row r="441" spans="1:72" x14ac:dyDescent="0.25">
      <c r="A441" t="s">
        <v>72</v>
      </c>
      <c r="B441" t="s">
        <v>7135</v>
      </c>
      <c r="C441" t="s">
        <v>74</v>
      </c>
      <c r="D441" t="s">
        <v>74</v>
      </c>
      <c r="E441" t="s">
        <v>74</v>
      </c>
      <c r="F441" t="s">
        <v>7136</v>
      </c>
      <c r="G441" t="s">
        <v>74</v>
      </c>
      <c r="H441" t="s">
        <v>74</v>
      </c>
      <c r="I441" t="s">
        <v>7137</v>
      </c>
      <c r="J441" t="s">
        <v>77</v>
      </c>
      <c r="K441" t="s">
        <v>74</v>
      </c>
      <c r="L441" t="s">
        <v>74</v>
      </c>
      <c r="M441" t="s">
        <v>78</v>
      </c>
      <c r="N441" t="s">
        <v>79</v>
      </c>
      <c r="O441" t="s">
        <v>74</v>
      </c>
      <c r="P441" t="s">
        <v>74</v>
      </c>
      <c r="Q441" t="s">
        <v>74</v>
      </c>
      <c r="R441" t="s">
        <v>74</v>
      </c>
      <c r="S441" t="s">
        <v>74</v>
      </c>
      <c r="T441" t="s">
        <v>7138</v>
      </c>
      <c r="U441" t="s">
        <v>7139</v>
      </c>
      <c r="V441" t="s">
        <v>7140</v>
      </c>
      <c r="W441" t="s">
        <v>7141</v>
      </c>
      <c r="X441" t="s">
        <v>7142</v>
      </c>
      <c r="Y441" t="s">
        <v>7143</v>
      </c>
      <c r="Z441" t="s">
        <v>6503</v>
      </c>
      <c r="AA441" t="s">
        <v>7144</v>
      </c>
      <c r="AB441" t="s">
        <v>7145</v>
      </c>
      <c r="AC441" t="s">
        <v>7146</v>
      </c>
      <c r="AD441" t="s">
        <v>7147</v>
      </c>
      <c r="AE441" t="s">
        <v>7148</v>
      </c>
      <c r="AF441" t="s">
        <v>74</v>
      </c>
      <c r="AG441">
        <v>50</v>
      </c>
      <c r="AH441">
        <v>12</v>
      </c>
      <c r="AI441">
        <v>12</v>
      </c>
      <c r="AJ441">
        <v>2</v>
      </c>
      <c r="AK441">
        <v>7</v>
      </c>
      <c r="AL441" t="s">
        <v>92</v>
      </c>
      <c r="AM441" t="s">
        <v>93</v>
      </c>
      <c r="AN441" t="s">
        <v>94</v>
      </c>
      <c r="AO441" t="s">
        <v>95</v>
      </c>
      <c r="AP441" t="s">
        <v>96</v>
      </c>
      <c r="AQ441" t="s">
        <v>74</v>
      </c>
      <c r="AR441" t="s">
        <v>97</v>
      </c>
      <c r="AS441" t="s">
        <v>98</v>
      </c>
      <c r="AT441" t="s">
        <v>250</v>
      </c>
      <c r="AU441">
        <v>2019</v>
      </c>
      <c r="AV441">
        <v>64</v>
      </c>
      <c r="AW441">
        <v>12</v>
      </c>
      <c r="AX441" t="s">
        <v>74</v>
      </c>
      <c r="AY441" t="s">
        <v>74</v>
      </c>
      <c r="AZ441" t="s">
        <v>74</v>
      </c>
      <c r="BA441" t="s">
        <v>74</v>
      </c>
      <c r="BB441" t="s">
        <v>74</v>
      </c>
      <c r="BC441" t="s">
        <v>74</v>
      </c>
      <c r="BD441">
        <v>125020</v>
      </c>
      <c r="BE441" t="s">
        <v>7149</v>
      </c>
      <c r="BF441" t="str">
        <f>HYPERLINK("http://dx.doi.org/10.1088/1361-6560/ab1f23","http://dx.doi.org/10.1088/1361-6560/ab1f23")</f>
        <v>http://dx.doi.org/10.1088/1361-6560/ab1f23</v>
      </c>
      <c r="BG441" t="s">
        <v>74</v>
      </c>
      <c r="BH441" t="s">
        <v>74</v>
      </c>
      <c r="BI441">
        <v>13</v>
      </c>
      <c r="BJ441" t="s">
        <v>101</v>
      </c>
      <c r="BK441" t="s">
        <v>102</v>
      </c>
      <c r="BL441" t="s">
        <v>103</v>
      </c>
      <c r="BM441" t="s">
        <v>357</v>
      </c>
      <c r="BN441">
        <v>31051493</v>
      </c>
      <c r="BO441" t="s">
        <v>74</v>
      </c>
      <c r="BP441" t="s">
        <v>74</v>
      </c>
      <c r="BQ441" t="s">
        <v>74</v>
      </c>
      <c r="BR441" t="s">
        <v>106</v>
      </c>
      <c r="BS441" t="s">
        <v>7150</v>
      </c>
      <c r="BT441" t="str">
        <f>HYPERLINK("https%3A%2F%2Fwww.webofscience.com%2Fwos%2Fwoscc%2Ffull-record%2FWOS:000518929400010","View Full Record in Web of Science")</f>
        <v>View Full Record in Web of Science</v>
      </c>
    </row>
    <row r="442" spans="1:72" x14ac:dyDescent="0.25">
      <c r="A442" t="s">
        <v>72</v>
      </c>
      <c r="B442" t="s">
        <v>7151</v>
      </c>
      <c r="C442" t="s">
        <v>74</v>
      </c>
      <c r="D442" t="s">
        <v>74</v>
      </c>
      <c r="E442" t="s">
        <v>74</v>
      </c>
      <c r="F442" t="s">
        <v>7152</v>
      </c>
      <c r="G442" t="s">
        <v>74</v>
      </c>
      <c r="H442" t="s">
        <v>74</v>
      </c>
      <c r="I442" t="s">
        <v>7153</v>
      </c>
      <c r="J442" t="s">
        <v>77</v>
      </c>
      <c r="K442" t="s">
        <v>74</v>
      </c>
      <c r="L442" t="s">
        <v>74</v>
      </c>
      <c r="M442" t="s">
        <v>78</v>
      </c>
      <c r="N442" t="s">
        <v>79</v>
      </c>
      <c r="O442" t="s">
        <v>74</v>
      </c>
      <c r="P442" t="s">
        <v>74</v>
      </c>
      <c r="Q442" t="s">
        <v>74</v>
      </c>
      <c r="R442" t="s">
        <v>74</v>
      </c>
      <c r="S442" t="s">
        <v>74</v>
      </c>
      <c r="T442" t="s">
        <v>7154</v>
      </c>
      <c r="U442" t="s">
        <v>7155</v>
      </c>
      <c r="V442" t="s">
        <v>7156</v>
      </c>
      <c r="W442" t="s">
        <v>7157</v>
      </c>
      <c r="X442" t="s">
        <v>1252</v>
      </c>
      <c r="Y442" t="s">
        <v>1253</v>
      </c>
      <c r="Z442" t="s">
        <v>1254</v>
      </c>
      <c r="AA442" t="s">
        <v>7158</v>
      </c>
      <c r="AB442" t="s">
        <v>7159</v>
      </c>
      <c r="AC442" t="s">
        <v>1257</v>
      </c>
      <c r="AD442" t="s">
        <v>1258</v>
      </c>
      <c r="AE442" t="s">
        <v>7160</v>
      </c>
      <c r="AF442" t="s">
        <v>74</v>
      </c>
      <c r="AG442">
        <v>40</v>
      </c>
      <c r="AH442">
        <v>35</v>
      </c>
      <c r="AI442">
        <v>35</v>
      </c>
      <c r="AJ442">
        <v>0</v>
      </c>
      <c r="AK442">
        <v>7</v>
      </c>
      <c r="AL442" t="s">
        <v>92</v>
      </c>
      <c r="AM442" t="s">
        <v>93</v>
      </c>
      <c r="AN442" t="s">
        <v>94</v>
      </c>
      <c r="AO442" t="s">
        <v>95</v>
      </c>
      <c r="AP442" t="s">
        <v>96</v>
      </c>
      <c r="AQ442" t="s">
        <v>74</v>
      </c>
      <c r="AR442" t="s">
        <v>97</v>
      </c>
      <c r="AS442" t="s">
        <v>98</v>
      </c>
      <c r="AT442" t="s">
        <v>370</v>
      </c>
      <c r="AU442">
        <v>2019</v>
      </c>
      <c r="AV442">
        <v>64</v>
      </c>
      <c r="AW442">
        <v>10</v>
      </c>
      <c r="AX442" t="s">
        <v>74</v>
      </c>
      <c r="AY442" t="s">
        <v>74</v>
      </c>
      <c r="AZ442" t="s">
        <v>74</v>
      </c>
      <c r="BA442" t="s">
        <v>74</v>
      </c>
      <c r="BB442" t="s">
        <v>74</v>
      </c>
      <c r="BC442" t="s">
        <v>74</v>
      </c>
      <c r="BD442">
        <v>105025</v>
      </c>
      <c r="BE442" t="s">
        <v>7161</v>
      </c>
      <c r="BF442" t="str">
        <f>HYPERLINK("http://dx.doi.org/10.1088/1361-6560/ab1511","http://dx.doi.org/10.1088/1361-6560/ab1511")</f>
        <v>http://dx.doi.org/10.1088/1361-6560/ab1511</v>
      </c>
      <c r="BG442" t="s">
        <v>74</v>
      </c>
      <c r="BH442" t="s">
        <v>74</v>
      </c>
      <c r="BI442">
        <v>11</v>
      </c>
      <c r="BJ442" t="s">
        <v>101</v>
      </c>
      <c r="BK442" t="s">
        <v>102</v>
      </c>
      <c r="BL442" t="s">
        <v>103</v>
      </c>
      <c r="BM442" t="s">
        <v>860</v>
      </c>
      <c r="BN442">
        <v>30933939</v>
      </c>
      <c r="BO442" t="s">
        <v>829</v>
      </c>
      <c r="BP442" t="s">
        <v>74</v>
      </c>
      <c r="BQ442" t="s">
        <v>74</v>
      </c>
      <c r="BR442" t="s">
        <v>106</v>
      </c>
      <c r="BS442" t="s">
        <v>7162</v>
      </c>
      <c r="BT442" t="str">
        <f>HYPERLINK("https%3A%2F%2Fwww.webofscience.com%2Fwos%2Fwoscc%2Ffull-record%2FWOS:000468634900005","View Full Record in Web of Science")</f>
        <v>View Full Record in Web of Science</v>
      </c>
    </row>
    <row r="443" spans="1:72" x14ac:dyDescent="0.25">
      <c r="A443" t="s">
        <v>72</v>
      </c>
      <c r="B443" t="s">
        <v>7163</v>
      </c>
      <c r="C443" t="s">
        <v>74</v>
      </c>
      <c r="D443" t="s">
        <v>74</v>
      </c>
      <c r="E443" t="s">
        <v>74</v>
      </c>
      <c r="F443" t="s">
        <v>7164</v>
      </c>
      <c r="G443" t="s">
        <v>74</v>
      </c>
      <c r="H443" t="s">
        <v>74</v>
      </c>
      <c r="I443" t="s">
        <v>7165</v>
      </c>
      <c r="J443" t="s">
        <v>77</v>
      </c>
      <c r="K443" t="s">
        <v>74</v>
      </c>
      <c r="L443" t="s">
        <v>74</v>
      </c>
      <c r="M443" t="s">
        <v>78</v>
      </c>
      <c r="N443" t="s">
        <v>79</v>
      </c>
      <c r="O443" t="s">
        <v>74</v>
      </c>
      <c r="P443" t="s">
        <v>74</v>
      </c>
      <c r="Q443" t="s">
        <v>74</v>
      </c>
      <c r="R443" t="s">
        <v>74</v>
      </c>
      <c r="S443" t="s">
        <v>74</v>
      </c>
      <c r="T443" t="s">
        <v>7166</v>
      </c>
      <c r="U443" t="s">
        <v>7167</v>
      </c>
      <c r="V443" t="s">
        <v>7168</v>
      </c>
      <c r="W443" t="s">
        <v>7169</v>
      </c>
      <c r="X443" t="s">
        <v>7170</v>
      </c>
      <c r="Y443" t="s">
        <v>7171</v>
      </c>
      <c r="Z443" t="s">
        <v>7172</v>
      </c>
      <c r="AA443" t="s">
        <v>7173</v>
      </c>
      <c r="AB443" t="s">
        <v>7174</v>
      </c>
      <c r="AC443" t="s">
        <v>74</v>
      </c>
      <c r="AD443" t="s">
        <v>74</v>
      </c>
      <c r="AE443" t="s">
        <v>74</v>
      </c>
      <c r="AF443" t="s">
        <v>74</v>
      </c>
      <c r="AG443">
        <v>22</v>
      </c>
      <c r="AH443">
        <v>8</v>
      </c>
      <c r="AI443">
        <v>8</v>
      </c>
      <c r="AJ443">
        <v>0</v>
      </c>
      <c r="AK443">
        <v>2</v>
      </c>
      <c r="AL443" t="s">
        <v>92</v>
      </c>
      <c r="AM443" t="s">
        <v>93</v>
      </c>
      <c r="AN443" t="s">
        <v>94</v>
      </c>
      <c r="AO443" t="s">
        <v>95</v>
      </c>
      <c r="AP443" t="s">
        <v>96</v>
      </c>
      <c r="AQ443" t="s">
        <v>74</v>
      </c>
      <c r="AR443" t="s">
        <v>97</v>
      </c>
      <c r="AS443" t="s">
        <v>98</v>
      </c>
      <c r="AT443" t="s">
        <v>370</v>
      </c>
      <c r="AU443">
        <v>2019</v>
      </c>
      <c r="AV443">
        <v>64</v>
      </c>
      <c r="AW443">
        <v>10</v>
      </c>
      <c r="AX443" t="s">
        <v>74</v>
      </c>
      <c r="AY443" t="s">
        <v>74</v>
      </c>
      <c r="AZ443" t="s">
        <v>74</v>
      </c>
      <c r="BA443" t="s">
        <v>74</v>
      </c>
      <c r="BB443" t="s">
        <v>74</v>
      </c>
      <c r="BC443" t="s">
        <v>74</v>
      </c>
      <c r="BD443">
        <v>105013</v>
      </c>
      <c r="BE443" t="s">
        <v>7175</v>
      </c>
      <c r="BF443" t="str">
        <f>HYPERLINK("http://dx.doi.org/10.1088/1361-6560/ab1cdd","http://dx.doi.org/10.1088/1361-6560/ab1cdd")</f>
        <v>http://dx.doi.org/10.1088/1361-6560/ab1cdd</v>
      </c>
      <c r="BG443" t="s">
        <v>74</v>
      </c>
      <c r="BH443" t="s">
        <v>74</v>
      </c>
      <c r="BI443">
        <v>8</v>
      </c>
      <c r="BJ443" t="s">
        <v>101</v>
      </c>
      <c r="BK443" t="s">
        <v>102</v>
      </c>
      <c r="BL443" t="s">
        <v>103</v>
      </c>
      <c r="BM443" t="s">
        <v>1194</v>
      </c>
      <c r="BN443">
        <v>31026840</v>
      </c>
      <c r="BO443" t="s">
        <v>74</v>
      </c>
      <c r="BP443" t="s">
        <v>74</v>
      </c>
      <c r="BQ443" t="s">
        <v>74</v>
      </c>
      <c r="BR443" t="s">
        <v>106</v>
      </c>
      <c r="BS443" t="s">
        <v>7176</v>
      </c>
      <c r="BT443" t="str">
        <f>HYPERLINK("https%3A%2F%2Fwww.webofscience.com%2Fwos%2Fwoscc%2Ffull-record%2FWOS:000468283000001","View Full Record in Web of Science")</f>
        <v>View Full Record in Web of Science</v>
      </c>
    </row>
    <row r="444" spans="1:72" x14ac:dyDescent="0.25">
      <c r="A444" t="s">
        <v>72</v>
      </c>
      <c r="B444" t="s">
        <v>7177</v>
      </c>
      <c r="C444" t="s">
        <v>74</v>
      </c>
      <c r="D444" t="s">
        <v>74</v>
      </c>
      <c r="E444" t="s">
        <v>74</v>
      </c>
      <c r="F444" t="s">
        <v>7178</v>
      </c>
      <c r="G444" t="s">
        <v>74</v>
      </c>
      <c r="H444" t="s">
        <v>74</v>
      </c>
      <c r="I444" t="s">
        <v>7179</v>
      </c>
      <c r="J444" t="s">
        <v>77</v>
      </c>
      <c r="K444" t="s">
        <v>74</v>
      </c>
      <c r="L444" t="s">
        <v>74</v>
      </c>
      <c r="M444" t="s">
        <v>78</v>
      </c>
      <c r="N444" t="s">
        <v>79</v>
      </c>
      <c r="O444" t="s">
        <v>74</v>
      </c>
      <c r="P444" t="s">
        <v>74</v>
      </c>
      <c r="Q444" t="s">
        <v>74</v>
      </c>
      <c r="R444" t="s">
        <v>74</v>
      </c>
      <c r="S444" t="s">
        <v>74</v>
      </c>
      <c r="T444" t="s">
        <v>7180</v>
      </c>
      <c r="U444" t="s">
        <v>7181</v>
      </c>
      <c r="V444" t="s">
        <v>7182</v>
      </c>
      <c r="W444" t="s">
        <v>7183</v>
      </c>
      <c r="X444" t="s">
        <v>7184</v>
      </c>
      <c r="Y444" t="s">
        <v>7185</v>
      </c>
      <c r="Z444" t="s">
        <v>7186</v>
      </c>
      <c r="AA444" t="s">
        <v>7187</v>
      </c>
      <c r="AB444" t="s">
        <v>7188</v>
      </c>
      <c r="AC444" t="s">
        <v>74</v>
      </c>
      <c r="AD444" t="s">
        <v>74</v>
      </c>
      <c r="AE444" t="s">
        <v>74</v>
      </c>
      <c r="AF444" t="s">
        <v>74</v>
      </c>
      <c r="AG444">
        <v>109</v>
      </c>
      <c r="AH444">
        <v>24</v>
      </c>
      <c r="AI444">
        <v>24</v>
      </c>
      <c r="AJ444">
        <v>0</v>
      </c>
      <c r="AK444">
        <v>7</v>
      </c>
      <c r="AL444" t="s">
        <v>157</v>
      </c>
      <c r="AM444" t="s">
        <v>93</v>
      </c>
      <c r="AN444" t="s">
        <v>94</v>
      </c>
      <c r="AO444" t="s">
        <v>95</v>
      </c>
      <c r="AP444" t="s">
        <v>96</v>
      </c>
      <c r="AQ444" t="s">
        <v>74</v>
      </c>
      <c r="AR444" t="s">
        <v>97</v>
      </c>
      <c r="AS444" t="s">
        <v>98</v>
      </c>
      <c r="AT444" t="s">
        <v>386</v>
      </c>
      <c r="AU444">
        <v>2019</v>
      </c>
      <c r="AV444">
        <v>64</v>
      </c>
      <c r="AW444">
        <v>8</v>
      </c>
      <c r="AX444" t="s">
        <v>74</v>
      </c>
      <c r="AY444" t="s">
        <v>74</v>
      </c>
      <c r="AZ444" t="s">
        <v>74</v>
      </c>
      <c r="BA444" t="s">
        <v>74</v>
      </c>
      <c r="BB444" t="s">
        <v>74</v>
      </c>
      <c r="BC444" t="s">
        <v>74</v>
      </c>
      <c r="BD444">
        <v>85005</v>
      </c>
      <c r="BE444" t="s">
        <v>7189</v>
      </c>
      <c r="BF444" t="str">
        <f>HYPERLINK("http://dx.doi.org/10.1088/1361-6560/aaff20","http://dx.doi.org/10.1088/1361-6560/aaff20")</f>
        <v>http://dx.doi.org/10.1088/1361-6560/aaff20</v>
      </c>
      <c r="BG444" t="s">
        <v>74</v>
      </c>
      <c r="BH444" t="s">
        <v>74</v>
      </c>
      <c r="BI444">
        <v>17</v>
      </c>
      <c r="BJ444" t="s">
        <v>101</v>
      </c>
      <c r="BK444" t="s">
        <v>102</v>
      </c>
      <c r="BL444" t="s">
        <v>103</v>
      </c>
      <c r="BM444" t="s">
        <v>3036</v>
      </c>
      <c r="BN444">
        <v>30650402</v>
      </c>
      <c r="BO444" t="s">
        <v>74</v>
      </c>
      <c r="BP444" t="s">
        <v>74</v>
      </c>
      <c r="BQ444" t="s">
        <v>74</v>
      </c>
      <c r="BR444" t="s">
        <v>106</v>
      </c>
      <c r="BS444" t="s">
        <v>7190</v>
      </c>
      <c r="BT444" t="str">
        <f>HYPERLINK("https%3A%2F%2Fwww.webofscience.com%2Fwos%2Fwoscc%2Ffull-record%2FWOS:000518923400005","View Full Record in Web of Science")</f>
        <v>View Full Record in Web of Science</v>
      </c>
    </row>
    <row r="445" spans="1:72" x14ac:dyDescent="0.25">
      <c r="A445" t="s">
        <v>72</v>
      </c>
      <c r="B445" t="s">
        <v>7191</v>
      </c>
      <c r="C445" t="s">
        <v>74</v>
      </c>
      <c r="D445" t="s">
        <v>74</v>
      </c>
      <c r="E445" t="s">
        <v>74</v>
      </c>
      <c r="F445" t="s">
        <v>7192</v>
      </c>
      <c r="G445" t="s">
        <v>74</v>
      </c>
      <c r="H445" t="s">
        <v>74</v>
      </c>
      <c r="I445" t="s">
        <v>7193</v>
      </c>
      <c r="J445" t="s">
        <v>77</v>
      </c>
      <c r="K445" t="s">
        <v>74</v>
      </c>
      <c r="L445" t="s">
        <v>74</v>
      </c>
      <c r="M445" t="s">
        <v>78</v>
      </c>
      <c r="N445" t="s">
        <v>79</v>
      </c>
      <c r="O445" t="s">
        <v>74</v>
      </c>
      <c r="P445" t="s">
        <v>74</v>
      </c>
      <c r="Q445" t="s">
        <v>74</v>
      </c>
      <c r="R445" t="s">
        <v>74</v>
      </c>
      <c r="S445" t="s">
        <v>74</v>
      </c>
      <c r="T445" t="s">
        <v>7194</v>
      </c>
      <c r="U445" t="s">
        <v>7195</v>
      </c>
      <c r="V445" t="s">
        <v>7196</v>
      </c>
      <c r="W445" t="s">
        <v>7197</v>
      </c>
      <c r="X445" t="s">
        <v>7198</v>
      </c>
      <c r="Y445" t="s">
        <v>7199</v>
      </c>
      <c r="Z445" t="s">
        <v>7200</v>
      </c>
      <c r="AA445" t="s">
        <v>7201</v>
      </c>
      <c r="AB445" t="s">
        <v>7202</v>
      </c>
      <c r="AC445" t="s">
        <v>7203</v>
      </c>
      <c r="AD445" t="s">
        <v>7204</v>
      </c>
      <c r="AE445" t="s">
        <v>7205</v>
      </c>
      <c r="AF445" t="s">
        <v>74</v>
      </c>
      <c r="AG445">
        <v>30</v>
      </c>
      <c r="AH445">
        <v>151</v>
      </c>
      <c r="AI445">
        <v>155</v>
      </c>
      <c r="AJ445">
        <v>3</v>
      </c>
      <c r="AK445">
        <v>36</v>
      </c>
      <c r="AL445" t="s">
        <v>92</v>
      </c>
      <c r="AM445" t="s">
        <v>93</v>
      </c>
      <c r="AN445" t="s">
        <v>94</v>
      </c>
      <c r="AO445" t="s">
        <v>95</v>
      </c>
      <c r="AP445" t="s">
        <v>96</v>
      </c>
      <c r="AQ445" t="s">
        <v>74</v>
      </c>
      <c r="AR445" t="s">
        <v>97</v>
      </c>
      <c r="AS445" t="s">
        <v>98</v>
      </c>
      <c r="AT445" t="s">
        <v>436</v>
      </c>
      <c r="AU445">
        <v>2019</v>
      </c>
      <c r="AV445">
        <v>64</v>
      </c>
      <c r="AW445">
        <v>5</v>
      </c>
      <c r="AX445" t="s">
        <v>74</v>
      </c>
      <c r="AY445" t="s">
        <v>74</v>
      </c>
      <c r="AZ445" t="s">
        <v>74</v>
      </c>
      <c r="BA445" t="s">
        <v>74</v>
      </c>
      <c r="BB445" t="s">
        <v>74</v>
      </c>
      <c r="BC445" t="s">
        <v>74</v>
      </c>
      <c r="BD445">
        <v>55012</v>
      </c>
      <c r="BE445" t="s">
        <v>7206</v>
      </c>
      <c r="BF445" t="str">
        <f>HYPERLINK("http://dx.doi.org/10.1088/1361-6560/aafd52","http://dx.doi.org/10.1088/1361-6560/aafd52")</f>
        <v>http://dx.doi.org/10.1088/1361-6560/aafd52</v>
      </c>
      <c r="BG445" t="s">
        <v>74</v>
      </c>
      <c r="BH445" t="s">
        <v>74</v>
      </c>
      <c r="BI445">
        <v>9</v>
      </c>
      <c r="BJ445" t="s">
        <v>101</v>
      </c>
      <c r="BK445" t="s">
        <v>102</v>
      </c>
      <c r="BL445" t="s">
        <v>103</v>
      </c>
      <c r="BM445" t="s">
        <v>438</v>
      </c>
      <c r="BN445">
        <v>30630146</v>
      </c>
      <c r="BO445" t="s">
        <v>179</v>
      </c>
      <c r="BP445" t="s">
        <v>74</v>
      </c>
      <c r="BQ445" t="s">
        <v>74</v>
      </c>
      <c r="BR445" t="s">
        <v>106</v>
      </c>
      <c r="BS445" t="s">
        <v>7207</v>
      </c>
      <c r="BT445" t="str">
        <f>HYPERLINK("https%3A%2F%2Fwww.webofscience.com%2Fwos%2Fwoscc%2Ffull-record%2FWOS:000459987300002","View Full Record in Web of Science")</f>
        <v>View Full Record in Web of Science</v>
      </c>
    </row>
    <row r="446" spans="1:72" x14ac:dyDescent="0.25">
      <c r="A446" t="s">
        <v>72</v>
      </c>
      <c r="B446" t="s">
        <v>7208</v>
      </c>
      <c r="C446" t="s">
        <v>74</v>
      </c>
      <c r="D446" t="s">
        <v>74</v>
      </c>
      <c r="E446" t="s">
        <v>74</v>
      </c>
      <c r="F446" t="s">
        <v>7209</v>
      </c>
      <c r="G446" t="s">
        <v>74</v>
      </c>
      <c r="H446" t="s">
        <v>74</v>
      </c>
      <c r="I446" t="s">
        <v>7210</v>
      </c>
      <c r="J446" t="s">
        <v>77</v>
      </c>
      <c r="K446" t="s">
        <v>74</v>
      </c>
      <c r="L446" t="s">
        <v>74</v>
      </c>
      <c r="M446" t="s">
        <v>78</v>
      </c>
      <c r="N446" t="s">
        <v>79</v>
      </c>
      <c r="O446" t="s">
        <v>74</v>
      </c>
      <c r="P446" t="s">
        <v>74</v>
      </c>
      <c r="Q446" t="s">
        <v>74</v>
      </c>
      <c r="R446" t="s">
        <v>74</v>
      </c>
      <c r="S446" t="s">
        <v>74</v>
      </c>
      <c r="T446" t="s">
        <v>7211</v>
      </c>
      <c r="U446" t="s">
        <v>7212</v>
      </c>
      <c r="V446" t="s">
        <v>7213</v>
      </c>
      <c r="W446" t="s">
        <v>7214</v>
      </c>
      <c r="X446" t="s">
        <v>7215</v>
      </c>
      <c r="Y446" t="s">
        <v>7216</v>
      </c>
      <c r="Z446" t="s">
        <v>5743</v>
      </c>
      <c r="AA446" t="s">
        <v>7217</v>
      </c>
      <c r="AB446" t="s">
        <v>74</v>
      </c>
      <c r="AC446" t="s">
        <v>7218</v>
      </c>
      <c r="AD446" t="s">
        <v>7219</v>
      </c>
      <c r="AE446" t="s">
        <v>7220</v>
      </c>
      <c r="AF446" t="s">
        <v>74</v>
      </c>
      <c r="AG446">
        <v>25</v>
      </c>
      <c r="AH446">
        <v>5</v>
      </c>
      <c r="AI446">
        <v>5</v>
      </c>
      <c r="AJ446">
        <v>1</v>
      </c>
      <c r="AK446">
        <v>12</v>
      </c>
      <c r="AL446" t="s">
        <v>157</v>
      </c>
      <c r="AM446" t="s">
        <v>93</v>
      </c>
      <c r="AN446" t="s">
        <v>94</v>
      </c>
      <c r="AO446" t="s">
        <v>95</v>
      </c>
      <c r="AP446" t="s">
        <v>96</v>
      </c>
      <c r="AQ446" t="s">
        <v>74</v>
      </c>
      <c r="AR446" t="s">
        <v>97</v>
      </c>
      <c r="AS446" t="s">
        <v>98</v>
      </c>
      <c r="AT446" t="s">
        <v>436</v>
      </c>
      <c r="AU446">
        <v>2019</v>
      </c>
      <c r="AV446">
        <v>64</v>
      </c>
      <c r="AW446">
        <v>5</v>
      </c>
      <c r="AX446" t="s">
        <v>74</v>
      </c>
      <c r="AY446" t="s">
        <v>74</v>
      </c>
      <c r="AZ446" t="s">
        <v>74</v>
      </c>
      <c r="BA446" t="s">
        <v>74</v>
      </c>
      <c r="BB446" t="s">
        <v>74</v>
      </c>
      <c r="BC446" t="s">
        <v>74</v>
      </c>
      <c r="BD446" t="s">
        <v>7221</v>
      </c>
      <c r="BE446" t="s">
        <v>7222</v>
      </c>
      <c r="BF446" t="str">
        <f>HYPERLINK("http://dx.doi.org/10.1088/1361-6560/aafcbb","http://dx.doi.org/10.1088/1361-6560/aafcbb")</f>
        <v>http://dx.doi.org/10.1088/1361-6560/aafcbb</v>
      </c>
      <c r="BG446" t="s">
        <v>74</v>
      </c>
      <c r="BH446" t="s">
        <v>74</v>
      </c>
      <c r="BI446">
        <v>9</v>
      </c>
      <c r="BJ446" t="s">
        <v>101</v>
      </c>
      <c r="BK446" t="s">
        <v>102</v>
      </c>
      <c r="BL446" t="s">
        <v>103</v>
      </c>
      <c r="BM446" t="s">
        <v>7223</v>
      </c>
      <c r="BN446">
        <v>30625437</v>
      </c>
      <c r="BO446" t="s">
        <v>74</v>
      </c>
      <c r="BP446" t="s">
        <v>74</v>
      </c>
      <c r="BQ446" t="s">
        <v>74</v>
      </c>
      <c r="BR446" t="s">
        <v>106</v>
      </c>
      <c r="BS446" t="s">
        <v>7224</v>
      </c>
      <c r="BT446" t="str">
        <f>HYPERLINK("https%3A%2F%2Fwww.webofscience.com%2Fwos%2Fwoscc%2Ffull-record%2FWOS:000459987700001","View Full Record in Web of Science")</f>
        <v>View Full Record in Web of Science</v>
      </c>
    </row>
    <row r="447" spans="1:72" x14ac:dyDescent="0.25">
      <c r="A447" t="s">
        <v>72</v>
      </c>
      <c r="B447" t="s">
        <v>7225</v>
      </c>
      <c r="C447" t="s">
        <v>74</v>
      </c>
      <c r="D447" t="s">
        <v>74</v>
      </c>
      <c r="E447" t="s">
        <v>74</v>
      </c>
      <c r="F447" t="s">
        <v>7226</v>
      </c>
      <c r="G447" t="s">
        <v>74</v>
      </c>
      <c r="H447" t="s">
        <v>74</v>
      </c>
      <c r="I447" t="s">
        <v>7227</v>
      </c>
      <c r="J447" t="s">
        <v>77</v>
      </c>
      <c r="K447" t="s">
        <v>74</v>
      </c>
      <c r="L447" t="s">
        <v>74</v>
      </c>
      <c r="M447" t="s">
        <v>78</v>
      </c>
      <c r="N447" t="s">
        <v>79</v>
      </c>
      <c r="O447" t="s">
        <v>74</v>
      </c>
      <c r="P447" t="s">
        <v>74</v>
      </c>
      <c r="Q447" t="s">
        <v>74</v>
      </c>
      <c r="R447" t="s">
        <v>74</v>
      </c>
      <c r="S447" t="s">
        <v>74</v>
      </c>
      <c r="T447" t="s">
        <v>7228</v>
      </c>
      <c r="U447" t="s">
        <v>7229</v>
      </c>
      <c r="V447" t="s">
        <v>7230</v>
      </c>
      <c r="W447" t="s">
        <v>7231</v>
      </c>
      <c r="X447" t="s">
        <v>7232</v>
      </c>
      <c r="Y447" t="s">
        <v>7233</v>
      </c>
      <c r="Z447" t="s">
        <v>7234</v>
      </c>
      <c r="AA447" t="s">
        <v>7235</v>
      </c>
      <c r="AB447" t="s">
        <v>7236</v>
      </c>
      <c r="AC447" t="s">
        <v>7237</v>
      </c>
      <c r="AD447" t="s">
        <v>7238</v>
      </c>
      <c r="AE447" t="s">
        <v>7239</v>
      </c>
      <c r="AF447" t="s">
        <v>74</v>
      </c>
      <c r="AG447">
        <v>36</v>
      </c>
      <c r="AH447">
        <v>4</v>
      </c>
      <c r="AI447">
        <v>4</v>
      </c>
      <c r="AJ447">
        <v>0</v>
      </c>
      <c r="AK447">
        <v>9</v>
      </c>
      <c r="AL447" t="s">
        <v>92</v>
      </c>
      <c r="AM447" t="s">
        <v>93</v>
      </c>
      <c r="AN447" t="s">
        <v>94</v>
      </c>
      <c r="AO447" t="s">
        <v>95</v>
      </c>
      <c r="AP447" t="s">
        <v>96</v>
      </c>
      <c r="AQ447" t="s">
        <v>74</v>
      </c>
      <c r="AR447" t="s">
        <v>97</v>
      </c>
      <c r="AS447" t="s">
        <v>98</v>
      </c>
      <c r="AT447" t="s">
        <v>646</v>
      </c>
      <c r="AU447">
        <v>2019</v>
      </c>
      <c r="AV447">
        <v>64</v>
      </c>
      <c r="AW447">
        <v>3</v>
      </c>
      <c r="AX447" t="s">
        <v>74</v>
      </c>
      <c r="AY447" t="s">
        <v>74</v>
      </c>
      <c r="AZ447" t="s">
        <v>74</v>
      </c>
      <c r="BA447" t="s">
        <v>74</v>
      </c>
      <c r="BB447" t="s">
        <v>74</v>
      </c>
      <c r="BC447" t="s">
        <v>74</v>
      </c>
      <c r="BD447">
        <v>35015</v>
      </c>
      <c r="BE447" t="s">
        <v>7240</v>
      </c>
      <c r="BF447" t="str">
        <f>HYPERLINK("http://dx.doi.org/10.1088/1361-6560/aaf7ba","http://dx.doi.org/10.1088/1361-6560/aaf7ba")</f>
        <v>http://dx.doi.org/10.1088/1361-6560/aaf7ba</v>
      </c>
      <c r="BG447" t="s">
        <v>74</v>
      </c>
      <c r="BH447" t="s">
        <v>74</v>
      </c>
      <c r="BI447">
        <v>17</v>
      </c>
      <c r="BJ447" t="s">
        <v>101</v>
      </c>
      <c r="BK447" t="s">
        <v>102</v>
      </c>
      <c r="BL447" t="s">
        <v>103</v>
      </c>
      <c r="BM447" t="s">
        <v>1261</v>
      </c>
      <c r="BN447">
        <v>30537693</v>
      </c>
      <c r="BO447" t="s">
        <v>74</v>
      </c>
      <c r="BP447" t="s">
        <v>74</v>
      </c>
      <c r="BQ447" t="s">
        <v>74</v>
      </c>
      <c r="BR447" t="s">
        <v>106</v>
      </c>
      <c r="BS447" t="s">
        <v>7241</v>
      </c>
      <c r="BT447" t="str">
        <f>HYPERLINK("https%3A%2F%2Fwww.webofscience.com%2Fwos%2Fwoscc%2Ffull-record%2FWOS:000457182500004","View Full Record in Web of Science")</f>
        <v>View Full Record in Web of Science</v>
      </c>
    </row>
    <row r="448" spans="1:72" x14ac:dyDescent="0.25">
      <c r="A448" t="s">
        <v>72</v>
      </c>
      <c r="B448" t="s">
        <v>7242</v>
      </c>
      <c r="C448" t="s">
        <v>74</v>
      </c>
      <c r="D448" t="s">
        <v>74</v>
      </c>
      <c r="E448" t="s">
        <v>74</v>
      </c>
      <c r="F448" t="s">
        <v>7243</v>
      </c>
      <c r="G448" t="s">
        <v>74</v>
      </c>
      <c r="H448" t="s">
        <v>74</v>
      </c>
      <c r="I448" t="s">
        <v>7244</v>
      </c>
      <c r="J448" t="s">
        <v>77</v>
      </c>
      <c r="K448" t="s">
        <v>74</v>
      </c>
      <c r="L448" t="s">
        <v>74</v>
      </c>
      <c r="M448" t="s">
        <v>78</v>
      </c>
      <c r="N448" t="s">
        <v>79</v>
      </c>
      <c r="O448" t="s">
        <v>74</v>
      </c>
      <c r="P448" t="s">
        <v>74</v>
      </c>
      <c r="Q448" t="s">
        <v>74</v>
      </c>
      <c r="R448" t="s">
        <v>74</v>
      </c>
      <c r="S448" t="s">
        <v>74</v>
      </c>
      <c r="T448" t="s">
        <v>7245</v>
      </c>
      <c r="U448" t="s">
        <v>7246</v>
      </c>
      <c r="V448" t="s">
        <v>7247</v>
      </c>
      <c r="W448" t="s">
        <v>7248</v>
      </c>
      <c r="X448" t="s">
        <v>7249</v>
      </c>
      <c r="Y448" t="s">
        <v>7250</v>
      </c>
      <c r="Z448" t="s">
        <v>7251</v>
      </c>
      <c r="AA448" t="s">
        <v>7252</v>
      </c>
      <c r="AB448" t="s">
        <v>7253</v>
      </c>
      <c r="AC448" t="s">
        <v>7254</v>
      </c>
      <c r="AD448" t="s">
        <v>7255</v>
      </c>
      <c r="AE448" t="s">
        <v>7256</v>
      </c>
      <c r="AF448" t="s">
        <v>74</v>
      </c>
      <c r="AG448">
        <v>40</v>
      </c>
      <c r="AH448">
        <v>10</v>
      </c>
      <c r="AI448">
        <v>11</v>
      </c>
      <c r="AJ448">
        <v>1</v>
      </c>
      <c r="AK448">
        <v>28</v>
      </c>
      <c r="AL448" t="s">
        <v>92</v>
      </c>
      <c r="AM448" t="s">
        <v>93</v>
      </c>
      <c r="AN448" t="s">
        <v>94</v>
      </c>
      <c r="AO448" t="s">
        <v>95</v>
      </c>
      <c r="AP448" t="s">
        <v>96</v>
      </c>
      <c r="AQ448" t="s">
        <v>74</v>
      </c>
      <c r="AR448" t="s">
        <v>97</v>
      </c>
      <c r="AS448" t="s">
        <v>98</v>
      </c>
      <c r="AT448" t="s">
        <v>646</v>
      </c>
      <c r="AU448">
        <v>2019</v>
      </c>
      <c r="AV448">
        <v>64</v>
      </c>
      <c r="AW448">
        <v>3</v>
      </c>
      <c r="AX448" t="s">
        <v>74</v>
      </c>
      <c r="AY448" t="s">
        <v>74</v>
      </c>
      <c r="AZ448" t="s">
        <v>74</v>
      </c>
      <c r="BA448" t="s">
        <v>74</v>
      </c>
      <c r="BB448" t="s">
        <v>74</v>
      </c>
      <c r="BC448" t="s">
        <v>74</v>
      </c>
      <c r="BD448">
        <v>35009</v>
      </c>
      <c r="BE448" t="s">
        <v>7257</v>
      </c>
      <c r="BF448" t="str">
        <f>HYPERLINK("http://dx.doi.org/10.1088/1361-6560/aaf9e4","http://dx.doi.org/10.1088/1361-6560/aaf9e4")</f>
        <v>http://dx.doi.org/10.1088/1361-6560/aaf9e4</v>
      </c>
      <c r="BG448" t="s">
        <v>74</v>
      </c>
      <c r="BH448" t="s">
        <v>74</v>
      </c>
      <c r="BI448">
        <v>9</v>
      </c>
      <c r="BJ448" t="s">
        <v>101</v>
      </c>
      <c r="BK448" t="s">
        <v>102</v>
      </c>
      <c r="BL448" t="s">
        <v>103</v>
      </c>
      <c r="BM448" t="s">
        <v>648</v>
      </c>
      <c r="BN448">
        <v>30566918</v>
      </c>
      <c r="BO448" t="s">
        <v>74</v>
      </c>
      <c r="BP448" t="s">
        <v>74</v>
      </c>
      <c r="BQ448" t="s">
        <v>74</v>
      </c>
      <c r="BR448" t="s">
        <v>106</v>
      </c>
      <c r="BS448" t="s">
        <v>7258</v>
      </c>
      <c r="BT448" t="str">
        <f>HYPERLINK("https%3A%2F%2Fwww.webofscience.com%2Fwos%2Fwoscc%2Ffull-record%2FWOS:000456840500008","View Full Record in Web of Science")</f>
        <v>View Full Record in Web of Science</v>
      </c>
    </row>
    <row r="449" spans="1:72" x14ac:dyDescent="0.25">
      <c r="A449" t="s">
        <v>72</v>
      </c>
      <c r="B449" t="s">
        <v>7259</v>
      </c>
      <c r="C449" t="s">
        <v>74</v>
      </c>
      <c r="D449" t="s">
        <v>74</v>
      </c>
      <c r="E449" t="s">
        <v>74</v>
      </c>
      <c r="F449" t="s">
        <v>7260</v>
      </c>
      <c r="G449" t="s">
        <v>74</v>
      </c>
      <c r="H449" t="s">
        <v>74</v>
      </c>
      <c r="I449" t="s">
        <v>7261</v>
      </c>
      <c r="J449" t="s">
        <v>77</v>
      </c>
      <c r="K449" t="s">
        <v>74</v>
      </c>
      <c r="L449" t="s">
        <v>74</v>
      </c>
      <c r="M449" t="s">
        <v>78</v>
      </c>
      <c r="N449" t="s">
        <v>79</v>
      </c>
      <c r="O449" t="s">
        <v>74</v>
      </c>
      <c r="P449" t="s">
        <v>74</v>
      </c>
      <c r="Q449" t="s">
        <v>74</v>
      </c>
      <c r="R449" t="s">
        <v>74</v>
      </c>
      <c r="S449" t="s">
        <v>74</v>
      </c>
      <c r="T449" t="s">
        <v>7262</v>
      </c>
      <c r="U449" t="s">
        <v>7263</v>
      </c>
      <c r="V449" t="s">
        <v>7264</v>
      </c>
      <c r="W449" t="s">
        <v>7265</v>
      </c>
      <c r="X449" t="s">
        <v>7266</v>
      </c>
      <c r="Y449" t="s">
        <v>7267</v>
      </c>
      <c r="Z449" t="s">
        <v>7268</v>
      </c>
      <c r="AA449" t="s">
        <v>7269</v>
      </c>
      <c r="AB449" t="s">
        <v>7270</v>
      </c>
      <c r="AC449" t="s">
        <v>7271</v>
      </c>
      <c r="AD449" t="s">
        <v>7271</v>
      </c>
      <c r="AE449" t="s">
        <v>7272</v>
      </c>
      <c r="AF449" t="s">
        <v>74</v>
      </c>
      <c r="AG449">
        <v>41</v>
      </c>
      <c r="AH449">
        <v>9</v>
      </c>
      <c r="AI449">
        <v>9</v>
      </c>
      <c r="AJ449">
        <v>0</v>
      </c>
      <c r="AK449">
        <v>10</v>
      </c>
      <c r="AL449" t="s">
        <v>92</v>
      </c>
      <c r="AM449" t="s">
        <v>93</v>
      </c>
      <c r="AN449" t="s">
        <v>94</v>
      </c>
      <c r="AO449" t="s">
        <v>95</v>
      </c>
      <c r="AP449" t="s">
        <v>96</v>
      </c>
      <c r="AQ449" t="s">
        <v>74</v>
      </c>
      <c r="AR449" t="s">
        <v>97</v>
      </c>
      <c r="AS449" t="s">
        <v>98</v>
      </c>
      <c r="AT449" t="s">
        <v>646</v>
      </c>
      <c r="AU449">
        <v>2019</v>
      </c>
      <c r="AV449">
        <v>64</v>
      </c>
      <c r="AW449">
        <v>3</v>
      </c>
      <c r="AX449" t="s">
        <v>74</v>
      </c>
      <c r="AY449" t="s">
        <v>74</v>
      </c>
      <c r="AZ449" t="s">
        <v>74</v>
      </c>
      <c r="BA449" t="s">
        <v>74</v>
      </c>
      <c r="BB449" t="s">
        <v>74</v>
      </c>
      <c r="BC449" t="s">
        <v>74</v>
      </c>
      <c r="BD449">
        <v>35003</v>
      </c>
      <c r="BE449" t="s">
        <v>7273</v>
      </c>
      <c r="BF449" t="str">
        <f>HYPERLINK("http://dx.doi.org/10.1088/1361-6560/aaf9e2","http://dx.doi.org/10.1088/1361-6560/aaf9e2")</f>
        <v>http://dx.doi.org/10.1088/1361-6560/aaf9e2</v>
      </c>
      <c r="BG449" t="s">
        <v>74</v>
      </c>
      <c r="BH449" t="s">
        <v>74</v>
      </c>
      <c r="BI449">
        <v>11</v>
      </c>
      <c r="BJ449" t="s">
        <v>101</v>
      </c>
      <c r="BK449" t="s">
        <v>102</v>
      </c>
      <c r="BL449" t="s">
        <v>103</v>
      </c>
      <c r="BM449" t="s">
        <v>648</v>
      </c>
      <c r="BN449">
        <v>30566926</v>
      </c>
      <c r="BO449" t="s">
        <v>74</v>
      </c>
      <c r="BP449" t="s">
        <v>74</v>
      </c>
      <c r="BQ449" t="s">
        <v>74</v>
      </c>
      <c r="BR449" t="s">
        <v>106</v>
      </c>
      <c r="BS449" t="s">
        <v>7274</v>
      </c>
      <c r="BT449" t="str">
        <f>HYPERLINK("https%3A%2F%2Fwww.webofscience.com%2Fwos%2Fwoscc%2Ffull-record%2FWOS:000456840500002","View Full Record in Web of Science")</f>
        <v>View Full Record in Web of Science</v>
      </c>
    </row>
    <row r="450" spans="1:72" x14ac:dyDescent="0.25">
      <c r="A450" t="s">
        <v>72</v>
      </c>
      <c r="B450" t="s">
        <v>7275</v>
      </c>
      <c r="C450" t="s">
        <v>74</v>
      </c>
      <c r="D450" t="s">
        <v>74</v>
      </c>
      <c r="E450" t="s">
        <v>74</v>
      </c>
      <c r="F450" t="s">
        <v>7276</v>
      </c>
      <c r="G450" t="s">
        <v>74</v>
      </c>
      <c r="H450" t="s">
        <v>74</v>
      </c>
      <c r="I450" t="s">
        <v>7277</v>
      </c>
      <c r="J450" t="s">
        <v>77</v>
      </c>
      <c r="K450" t="s">
        <v>74</v>
      </c>
      <c r="L450" t="s">
        <v>74</v>
      </c>
      <c r="M450" t="s">
        <v>78</v>
      </c>
      <c r="N450" t="s">
        <v>79</v>
      </c>
      <c r="O450" t="s">
        <v>74</v>
      </c>
      <c r="P450" t="s">
        <v>74</v>
      </c>
      <c r="Q450" t="s">
        <v>74</v>
      </c>
      <c r="R450" t="s">
        <v>74</v>
      </c>
      <c r="S450" t="s">
        <v>74</v>
      </c>
      <c r="T450" t="s">
        <v>7278</v>
      </c>
      <c r="U450" t="s">
        <v>7279</v>
      </c>
      <c r="V450" t="s">
        <v>7280</v>
      </c>
      <c r="W450" t="s">
        <v>7281</v>
      </c>
      <c r="X450" t="s">
        <v>7282</v>
      </c>
      <c r="Y450" t="s">
        <v>7283</v>
      </c>
      <c r="Z450" t="s">
        <v>7284</v>
      </c>
      <c r="AA450" t="s">
        <v>7285</v>
      </c>
      <c r="AB450" t="s">
        <v>7286</v>
      </c>
      <c r="AC450" t="s">
        <v>7287</v>
      </c>
      <c r="AD450" t="s">
        <v>7288</v>
      </c>
      <c r="AE450" t="s">
        <v>7289</v>
      </c>
      <c r="AF450" t="s">
        <v>74</v>
      </c>
      <c r="AG450">
        <v>37</v>
      </c>
      <c r="AH450">
        <v>76</v>
      </c>
      <c r="AI450">
        <v>78</v>
      </c>
      <c r="AJ450">
        <v>1</v>
      </c>
      <c r="AK450">
        <v>50</v>
      </c>
      <c r="AL450" t="s">
        <v>157</v>
      </c>
      <c r="AM450" t="s">
        <v>93</v>
      </c>
      <c r="AN450" t="s">
        <v>94</v>
      </c>
      <c r="AO450" t="s">
        <v>95</v>
      </c>
      <c r="AP450" t="s">
        <v>96</v>
      </c>
      <c r="AQ450" t="s">
        <v>74</v>
      </c>
      <c r="AR450" t="s">
        <v>97</v>
      </c>
      <c r="AS450" t="s">
        <v>98</v>
      </c>
      <c r="AT450" t="s">
        <v>646</v>
      </c>
      <c r="AU450">
        <v>2019</v>
      </c>
      <c r="AV450">
        <v>64</v>
      </c>
      <c r="AW450">
        <v>3</v>
      </c>
      <c r="AX450" t="s">
        <v>74</v>
      </c>
      <c r="AY450" t="s">
        <v>74</v>
      </c>
      <c r="AZ450" t="s">
        <v>74</v>
      </c>
      <c r="BA450" t="s">
        <v>74</v>
      </c>
      <c r="BB450" t="s">
        <v>74</v>
      </c>
      <c r="BC450" t="s">
        <v>74</v>
      </c>
      <c r="BD450">
        <v>35011</v>
      </c>
      <c r="BE450" t="s">
        <v>7290</v>
      </c>
      <c r="BF450" t="str">
        <f>HYPERLINK("http://dx.doi.org/10.1088/1361-6560/aaf496","http://dx.doi.org/10.1088/1361-6560/aaf496")</f>
        <v>http://dx.doi.org/10.1088/1361-6560/aaf496</v>
      </c>
      <c r="BG450" t="s">
        <v>74</v>
      </c>
      <c r="BH450" t="s">
        <v>74</v>
      </c>
      <c r="BI450">
        <v>16</v>
      </c>
      <c r="BJ450" t="s">
        <v>101</v>
      </c>
      <c r="BK450" t="s">
        <v>102</v>
      </c>
      <c r="BL450" t="s">
        <v>103</v>
      </c>
      <c r="BM450" t="s">
        <v>648</v>
      </c>
      <c r="BN450">
        <v>30523998</v>
      </c>
      <c r="BO450" t="s">
        <v>74</v>
      </c>
      <c r="BP450" t="s">
        <v>74</v>
      </c>
      <c r="BQ450" t="s">
        <v>74</v>
      </c>
      <c r="BR450" t="s">
        <v>106</v>
      </c>
      <c r="BS450" t="s">
        <v>7291</v>
      </c>
      <c r="BT450" t="str">
        <f>HYPERLINK("https%3A%2F%2Fwww.webofscience.com%2Fwos%2Fwoscc%2Ffull-record%2FWOS:000456840500010","View Full Record in Web of Science")</f>
        <v>View Full Record in Web of Science</v>
      </c>
    </row>
    <row r="451" spans="1:72" x14ac:dyDescent="0.25">
      <c r="A451" t="s">
        <v>72</v>
      </c>
      <c r="B451" t="s">
        <v>7292</v>
      </c>
      <c r="C451" t="s">
        <v>74</v>
      </c>
      <c r="D451" t="s">
        <v>74</v>
      </c>
      <c r="E451" t="s">
        <v>74</v>
      </c>
      <c r="F451" t="s">
        <v>7293</v>
      </c>
      <c r="G451" t="s">
        <v>74</v>
      </c>
      <c r="H451" t="s">
        <v>74</v>
      </c>
      <c r="I451" t="s">
        <v>7294</v>
      </c>
      <c r="J451" t="s">
        <v>77</v>
      </c>
      <c r="K451" t="s">
        <v>74</v>
      </c>
      <c r="L451" t="s">
        <v>74</v>
      </c>
      <c r="M451" t="s">
        <v>78</v>
      </c>
      <c r="N451" t="s">
        <v>79</v>
      </c>
      <c r="O451" t="s">
        <v>74</v>
      </c>
      <c r="P451" t="s">
        <v>74</v>
      </c>
      <c r="Q451" t="s">
        <v>74</v>
      </c>
      <c r="R451" t="s">
        <v>74</v>
      </c>
      <c r="S451" t="s">
        <v>74</v>
      </c>
      <c r="T451" t="s">
        <v>7295</v>
      </c>
      <c r="U451" t="s">
        <v>7296</v>
      </c>
      <c r="V451" t="s">
        <v>7297</v>
      </c>
      <c r="W451" t="s">
        <v>7298</v>
      </c>
      <c r="X451" t="s">
        <v>7299</v>
      </c>
      <c r="Y451" t="s">
        <v>7300</v>
      </c>
      <c r="Z451" t="s">
        <v>7301</v>
      </c>
      <c r="AA451" t="s">
        <v>7302</v>
      </c>
      <c r="AB451" t="s">
        <v>7303</v>
      </c>
      <c r="AC451" t="s">
        <v>7304</v>
      </c>
      <c r="AD451" t="s">
        <v>7304</v>
      </c>
      <c r="AE451" t="s">
        <v>7305</v>
      </c>
      <c r="AF451" t="s">
        <v>74</v>
      </c>
      <c r="AG451">
        <v>32</v>
      </c>
      <c r="AH451">
        <v>46</v>
      </c>
      <c r="AI451">
        <v>47</v>
      </c>
      <c r="AJ451">
        <v>0</v>
      </c>
      <c r="AK451">
        <v>9</v>
      </c>
      <c r="AL451" t="s">
        <v>92</v>
      </c>
      <c r="AM451" t="s">
        <v>93</v>
      </c>
      <c r="AN451" t="s">
        <v>94</v>
      </c>
      <c r="AO451" t="s">
        <v>95</v>
      </c>
      <c r="AP451" t="s">
        <v>96</v>
      </c>
      <c r="AQ451" t="s">
        <v>74</v>
      </c>
      <c r="AR451" t="s">
        <v>97</v>
      </c>
      <c r="AS451" t="s">
        <v>98</v>
      </c>
      <c r="AT451" t="s">
        <v>646</v>
      </c>
      <c r="AU451">
        <v>2019</v>
      </c>
      <c r="AV451">
        <v>64</v>
      </c>
      <c r="AW451">
        <v>4</v>
      </c>
      <c r="AX451" t="s">
        <v>74</v>
      </c>
      <c r="AY451" t="s">
        <v>74</v>
      </c>
      <c r="AZ451" t="s">
        <v>74</v>
      </c>
      <c r="BA451" t="s">
        <v>74</v>
      </c>
      <c r="BB451" t="s">
        <v>74</v>
      </c>
      <c r="BC451" t="s">
        <v>74</v>
      </c>
      <c r="BD451">
        <v>45008</v>
      </c>
      <c r="BE451" t="s">
        <v>7306</v>
      </c>
      <c r="BF451" t="str">
        <f>HYPERLINK("http://dx.doi.org/10.1088/1361-6560/aafe40","http://dx.doi.org/10.1088/1361-6560/aafe40")</f>
        <v>http://dx.doi.org/10.1088/1361-6560/aafe40</v>
      </c>
      <c r="BG451" t="s">
        <v>74</v>
      </c>
      <c r="BH451" t="s">
        <v>74</v>
      </c>
      <c r="BI451">
        <v>10</v>
      </c>
      <c r="BJ451" t="s">
        <v>101</v>
      </c>
      <c r="BK451" t="s">
        <v>102</v>
      </c>
      <c r="BL451" t="s">
        <v>103</v>
      </c>
      <c r="BM451" t="s">
        <v>7307</v>
      </c>
      <c r="BN451">
        <v>30641490</v>
      </c>
      <c r="BO451" t="s">
        <v>140</v>
      </c>
      <c r="BP451" t="s">
        <v>74</v>
      </c>
      <c r="BQ451" t="s">
        <v>74</v>
      </c>
      <c r="BR451" t="s">
        <v>106</v>
      </c>
      <c r="BS451" t="s">
        <v>7308</v>
      </c>
      <c r="BT451" t="str">
        <f>HYPERLINK("https%3A%2F%2Fwww.webofscience.com%2Fwos%2Fwoscc%2Ffull-record%2FWOS:000458206000001","View Full Record in Web of Science")</f>
        <v>View Full Record in Web of Science</v>
      </c>
    </row>
    <row r="452" spans="1:72" x14ac:dyDescent="0.25">
      <c r="A452" t="s">
        <v>72</v>
      </c>
      <c r="B452" t="s">
        <v>7309</v>
      </c>
      <c r="C452" t="s">
        <v>74</v>
      </c>
      <c r="D452" t="s">
        <v>74</v>
      </c>
      <c r="E452" t="s">
        <v>74</v>
      </c>
      <c r="F452" t="s">
        <v>7310</v>
      </c>
      <c r="G452" t="s">
        <v>74</v>
      </c>
      <c r="H452" t="s">
        <v>74</v>
      </c>
      <c r="I452" t="s">
        <v>7311</v>
      </c>
      <c r="J452" t="s">
        <v>77</v>
      </c>
      <c r="K452" t="s">
        <v>74</v>
      </c>
      <c r="L452" t="s">
        <v>74</v>
      </c>
      <c r="M452" t="s">
        <v>78</v>
      </c>
      <c r="N452" t="s">
        <v>79</v>
      </c>
      <c r="O452" t="s">
        <v>74</v>
      </c>
      <c r="P452" t="s">
        <v>74</v>
      </c>
      <c r="Q452" t="s">
        <v>74</v>
      </c>
      <c r="R452" t="s">
        <v>74</v>
      </c>
      <c r="S452" t="s">
        <v>74</v>
      </c>
      <c r="T452" t="s">
        <v>7312</v>
      </c>
      <c r="U452" t="s">
        <v>7313</v>
      </c>
      <c r="V452" t="s">
        <v>7314</v>
      </c>
      <c r="W452" t="s">
        <v>7315</v>
      </c>
      <c r="X452" t="s">
        <v>7316</v>
      </c>
      <c r="Y452" t="s">
        <v>7317</v>
      </c>
      <c r="Z452" t="s">
        <v>7318</v>
      </c>
      <c r="AA452" t="s">
        <v>74</v>
      </c>
      <c r="AB452" t="s">
        <v>7319</v>
      </c>
      <c r="AC452" t="s">
        <v>7320</v>
      </c>
      <c r="AD452" t="s">
        <v>7321</v>
      </c>
      <c r="AE452" t="s">
        <v>7322</v>
      </c>
      <c r="AF452" t="s">
        <v>74</v>
      </c>
      <c r="AG452">
        <v>37</v>
      </c>
      <c r="AH452">
        <v>13</v>
      </c>
      <c r="AI452">
        <v>14</v>
      </c>
      <c r="AJ452">
        <v>0</v>
      </c>
      <c r="AK452">
        <v>10</v>
      </c>
      <c r="AL452" t="s">
        <v>92</v>
      </c>
      <c r="AM452" t="s">
        <v>93</v>
      </c>
      <c r="AN452" t="s">
        <v>94</v>
      </c>
      <c r="AO452" t="s">
        <v>95</v>
      </c>
      <c r="AP452" t="s">
        <v>96</v>
      </c>
      <c r="AQ452" t="s">
        <v>74</v>
      </c>
      <c r="AR452" t="s">
        <v>97</v>
      </c>
      <c r="AS452" t="s">
        <v>98</v>
      </c>
      <c r="AT452" t="s">
        <v>646</v>
      </c>
      <c r="AU452">
        <v>2019</v>
      </c>
      <c r="AV452">
        <v>64</v>
      </c>
      <c r="AW452">
        <v>4</v>
      </c>
      <c r="AX452" t="s">
        <v>74</v>
      </c>
      <c r="AY452" t="s">
        <v>74</v>
      </c>
      <c r="AZ452" t="s">
        <v>74</v>
      </c>
      <c r="BA452" t="s">
        <v>74</v>
      </c>
      <c r="BB452" t="s">
        <v>74</v>
      </c>
      <c r="BC452" t="s">
        <v>74</v>
      </c>
      <c r="BD452">
        <v>45011</v>
      </c>
      <c r="BE452" t="s">
        <v>7323</v>
      </c>
      <c r="BF452" t="str">
        <f>HYPERLINK("http://dx.doi.org/10.1088/1361-6560/aafcda","http://dx.doi.org/10.1088/1361-6560/aafcda")</f>
        <v>http://dx.doi.org/10.1088/1361-6560/aafcda</v>
      </c>
      <c r="BG452" t="s">
        <v>74</v>
      </c>
      <c r="BH452" t="s">
        <v>74</v>
      </c>
      <c r="BI452">
        <v>11</v>
      </c>
      <c r="BJ452" t="s">
        <v>101</v>
      </c>
      <c r="BK452" t="s">
        <v>102</v>
      </c>
      <c r="BL452" t="s">
        <v>103</v>
      </c>
      <c r="BM452" t="s">
        <v>2650</v>
      </c>
      <c r="BN452">
        <v>30625429</v>
      </c>
      <c r="BO452" t="s">
        <v>105</v>
      </c>
      <c r="BP452" t="s">
        <v>74</v>
      </c>
      <c r="BQ452" t="s">
        <v>74</v>
      </c>
      <c r="BR452" t="s">
        <v>106</v>
      </c>
      <c r="BS452" t="s">
        <v>7324</v>
      </c>
      <c r="BT452" t="str">
        <f>HYPERLINK("https%3A%2F%2Fwww.webofscience.com%2Fwos%2Fwoscc%2Ffull-record%2FWOS:000458375200003","View Full Record in Web of Science")</f>
        <v>View Full Record in Web of Science</v>
      </c>
    </row>
    <row r="453" spans="1:72" x14ac:dyDescent="0.25">
      <c r="A453" t="s">
        <v>72</v>
      </c>
      <c r="B453" t="s">
        <v>7325</v>
      </c>
      <c r="C453" t="s">
        <v>74</v>
      </c>
      <c r="D453" t="s">
        <v>74</v>
      </c>
      <c r="E453" t="s">
        <v>74</v>
      </c>
      <c r="F453" t="s">
        <v>7326</v>
      </c>
      <c r="G453" t="s">
        <v>74</v>
      </c>
      <c r="H453" t="s">
        <v>74</v>
      </c>
      <c r="I453" t="s">
        <v>7327</v>
      </c>
      <c r="J453" t="s">
        <v>77</v>
      </c>
      <c r="K453" t="s">
        <v>74</v>
      </c>
      <c r="L453" t="s">
        <v>74</v>
      </c>
      <c r="M453" t="s">
        <v>78</v>
      </c>
      <c r="N453" t="s">
        <v>79</v>
      </c>
      <c r="O453" t="s">
        <v>74</v>
      </c>
      <c r="P453" t="s">
        <v>74</v>
      </c>
      <c r="Q453" t="s">
        <v>74</v>
      </c>
      <c r="R453" t="s">
        <v>74</v>
      </c>
      <c r="S453" t="s">
        <v>74</v>
      </c>
      <c r="T453" t="s">
        <v>7328</v>
      </c>
      <c r="U453" t="s">
        <v>7329</v>
      </c>
      <c r="V453" t="s">
        <v>7330</v>
      </c>
      <c r="W453" t="s">
        <v>7331</v>
      </c>
      <c r="X453" t="s">
        <v>4633</v>
      </c>
      <c r="Y453" t="s">
        <v>7332</v>
      </c>
      <c r="Z453" t="s">
        <v>7333</v>
      </c>
      <c r="AA453" t="s">
        <v>74</v>
      </c>
      <c r="AB453" t="s">
        <v>74</v>
      </c>
      <c r="AC453" t="s">
        <v>7334</v>
      </c>
      <c r="AD453" t="s">
        <v>416</v>
      </c>
      <c r="AE453" t="s">
        <v>7335</v>
      </c>
      <c r="AF453" t="s">
        <v>74</v>
      </c>
      <c r="AG453">
        <v>37</v>
      </c>
      <c r="AH453">
        <v>7</v>
      </c>
      <c r="AI453">
        <v>7</v>
      </c>
      <c r="AJ453">
        <v>0</v>
      </c>
      <c r="AK453">
        <v>13</v>
      </c>
      <c r="AL453" t="s">
        <v>157</v>
      </c>
      <c r="AM453" t="s">
        <v>93</v>
      </c>
      <c r="AN453" t="s">
        <v>94</v>
      </c>
      <c r="AO453" t="s">
        <v>95</v>
      </c>
      <c r="AP453" t="s">
        <v>96</v>
      </c>
      <c r="AQ453" t="s">
        <v>74</v>
      </c>
      <c r="AR453" t="s">
        <v>97</v>
      </c>
      <c r="AS453" t="s">
        <v>98</v>
      </c>
      <c r="AT453" t="s">
        <v>137</v>
      </c>
      <c r="AU453">
        <v>2019</v>
      </c>
      <c r="AV453">
        <v>64</v>
      </c>
      <c r="AW453">
        <v>22</v>
      </c>
      <c r="AX453" t="s">
        <v>74</v>
      </c>
      <c r="AY453" t="s">
        <v>74</v>
      </c>
      <c r="AZ453" t="s">
        <v>74</v>
      </c>
      <c r="BA453" t="s">
        <v>74</v>
      </c>
      <c r="BB453" t="s">
        <v>74</v>
      </c>
      <c r="BC453" t="s">
        <v>74</v>
      </c>
      <c r="BD453">
        <v>225015</v>
      </c>
      <c r="BE453" t="s">
        <v>7336</v>
      </c>
      <c r="BF453" t="str">
        <f>HYPERLINK("http://dx.doi.org/10.1088/1361-6560/ab4914","http://dx.doi.org/10.1088/1361-6560/ab4914")</f>
        <v>http://dx.doi.org/10.1088/1361-6560/ab4914</v>
      </c>
      <c r="BG453" t="s">
        <v>74</v>
      </c>
      <c r="BH453" t="s">
        <v>74</v>
      </c>
      <c r="BI453">
        <v>17</v>
      </c>
      <c r="BJ453" t="s">
        <v>101</v>
      </c>
      <c r="BK453" t="s">
        <v>102</v>
      </c>
      <c r="BL453" t="s">
        <v>103</v>
      </c>
      <c r="BM453" t="s">
        <v>7337</v>
      </c>
      <c r="BN453">
        <v>31569078</v>
      </c>
      <c r="BO453" t="s">
        <v>105</v>
      </c>
      <c r="BP453" t="s">
        <v>74</v>
      </c>
      <c r="BQ453" t="s">
        <v>74</v>
      </c>
      <c r="BR453" t="s">
        <v>106</v>
      </c>
      <c r="BS453" t="s">
        <v>7338</v>
      </c>
      <c r="BT453" t="str">
        <f>HYPERLINK("https%3A%2F%2Fwww.webofscience.com%2Fwos%2Fwoscc%2Ffull-record%2FWOS:000505701000001","View Full Record in Web of Science")</f>
        <v>View Full Record in Web of Science</v>
      </c>
    </row>
    <row r="454" spans="1:72" x14ac:dyDescent="0.25">
      <c r="A454" t="s">
        <v>72</v>
      </c>
      <c r="B454" t="s">
        <v>7339</v>
      </c>
      <c r="C454" t="s">
        <v>74</v>
      </c>
      <c r="D454" t="s">
        <v>74</v>
      </c>
      <c r="E454" t="s">
        <v>74</v>
      </c>
      <c r="F454" t="s">
        <v>7340</v>
      </c>
      <c r="G454" t="s">
        <v>74</v>
      </c>
      <c r="H454" t="s">
        <v>74</v>
      </c>
      <c r="I454" t="s">
        <v>7341</v>
      </c>
      <c r="J454" t="s">
        <v>77</v>
      </c>
      <c r="K454" t="s">
        <v>74</v>
      </c>
      <c r="L454" t="s">
        <v>74</v>
      </c>
      <c r="M454" t="s">
        <v>78</v>
      </c>
      <c r="N454" t="s">
        <v>79</v>
      </c>
      <c r="O454" t="s">
        <v>74</v>
      </c>
      <c r="P454" t="s">
        <v>74</v>
      </c>
      <c r="Q454" t="s">
        <v>74</v>
      </c>
      <c r="R454" t="s">
        <v>74</v>
      </c>
      <c r="S454" t="s">
        <v>74</v>
      </c>
      <c r="T454" t="s">
        <v>7342</v>
      </c>
      <c r="U454" t="s">
        <v>7343</v>
      </c>
      <c r="V454" t="s">
        <v>7344</v>
      </c>
      <c r="W454" t="s">
        <v>7345</v>
      </c>
      <c r="X454" t="s">
        <v>463</v>
      </c>
      <c r="Y454" t="s">
        <v>464</v>
      </c>
      <c r="Z454" t="s">
        <v>734</v>
      </c>
      <c r="AA454" t="s">
        <v>7346</v>
      </c>
      <c r="AB454" t="s">
        <v>7347</v>
      </c>
      <c r="AC454" t="s">
        <v>737</v>
      </c>
      <c r="AD454" t="s">
        <v>738</v>
      </c>
      <c r="AE454" t="s">
        <v>1623</v>
      </c>
      <c r="AF454" t="s">
        <v>74</v>
      </c>
      <c r="AG454">
        <v>38</v>
      </c>
      <c r="AH454">
        <v>111</v>
      </c>
      <c r="AI454">
        <v>112</v>
      </c>
      <c r="AJ454">
        <v>2</v>
      </c>
      <c r="AK454">
        <v>27</v>
      </c>
      <c r="AL454" t="s">
        <v>92</v>
      </c>
      <c r="AM454" t="s">
        <v>93</v>
      </c>
      <c r="AN454" t="s">
        <v>94</v>
      </c>
      <c r="AO454" t="s">
        <v>95</v>
      </c>
      <c r="AP454" t="s">
        <v>96</v>
      </c>
      <c r="AQ454" t="s">
        <v>74</v>
      </c>
      <c r="AR454" t="s">
        <v>97</v>
      </c>
      <c r="AS454" t="s">
        <v>98</v>
      </c>
      <c r="AT454" t="s">
        <v>137</v>
      </c>
      <c r="AU454">
        <v>2019</v>
      </c>
      <c r="AV454">
        <v>64</v>
      </c>
      <c r="AW454">
        <v>21</v>
      </c>
      <c r="AX454" t="s">
        <v>74</v>
      </c>
      <c r="AY454" t="s">
        <v>74</v>
      </c>
      <c r="AZ454" t="s">
        <v>74</v>
      </c>
      <c r="BA454" t="s">
        <v>74</v>
      </c>
      <c r="BB454" t="s">
        <v>74</v>
      </c>
      <c r="BC454" t="s">
        <v>74</v>
      </c>
      <c r="BD454">
        <v>215017</v>
      </c>
      <c r="BE454" t="s">
        <v>7348</v>
      </c>
      <c r="BF454" t="str">
        <f>HYPERLINK("http://dx.doi.org/10.1088/1361-6560/ab4891","http://dx.doi.org/10.1088/1361-6560/ab4891")</f>
        <v>http://dx.doi.org/10.1088/1361-6560/ab4891</v>
      </c>
      <c r="BG454" t="s">
        <v>74</v>
      </c>
      <c r="BH454" t="s">
        <v>74</v>
      </c>
      <c r="BI454">
        <v>12</v>
      </c>
      <c r="BJ454" t="s">
        <v>101</v>
      </c>
      <c r="BK454" t="s">
        <v>102</v>
      </c>
      <c r="BL454" t="s">
        <v>103</v>
      </c>
      <c r="BM454" t="s">
        <v>1625</v>
      </c>
      <c r="BN454">
        <v>31561244</v>
      </c>
      <c r="BO454" t="s">
        <v>105</v>
      </c>
      <c r="BP454" t="s">
        <v>74</v>
      </c>
      <c r="BQ454" t="s">
        <v>74</v>
      </c>
      <c r="BR454" t="s">
        <v>106</v>
      </c>
      <c r="BS454" t="s">
        <v>7349</v>
      </c>
      <c r="BT454" t="str">
        <f>HYPERLINK("https%3A%2F%2Fwww.webofscience.com%2Fwos%2Fwoscc%2Ffull-record%2FWOS:000494858500002","View Full Record in Web of Science")</f>
        <v>View Full Record in Web of Science</v>
      </c>
    </row>
    <row r="455" spans="1:72" x14ac:dyDescent="0.25">
      <c r="A455" t="s">
        <v>72</v>
      </c>
      <c r="B455" t="s">
        <v>7350</v>
      </c>
      <c r="C455" t="s">
        <v>74</v>
      </c>
      <c r="D455" t="s">
        <v>74</v>
      </c>
      <c r="E455" t="s">
        <v>74</v>
      </c>
      <c r="F455" t="s">
        <v>7351</v>
      </c>
      <c r="G455" t="s">
        <v>74</v>
      </c>
      <c r="H455" t="s">
        <v>74</v>
      </c>
      <c r="I455" t="s">
        <v>7352</v>
      </c>
      <c r="J455" t="s">
        <v>77</v>
      </c>
      <c r="K455" t="s">
        <v>74</v>
      </c>
      <c r="L455" t="s">
        <v>74</v>
      </c>
      <c r="M455" t="s">
        <v>78</v>
      </c>
      <c r="N455" t="s">
        <v>79</v>
      </c>
      <c r="O455" t="s">
        <v>74</v>
      </c>
      <c r="P455" t="s">
        <v>74</v>
      </c>
      <c r="Q455" t="s">
        <v>74</v>
      </c>
      <c r="R455" t="s">
        <v>74</v>
      </c>
      <c r="S455" t="s">
        <v>74</v>
      </c>
      <c r="T455" t="s">
        <v>7353</v>
      </c>
      <c r="U455" t="s">
        <v>7354</v>
      </c>
      <c r="V455" t="s">
        <v>7355</v>
      </c>
      <c r="W455" t="s">
        <v>7356</v>
      </c>
      <c r="X455" t="s">
        <v>7357</v>
      </c>
      <c r="Y455" t="s">
        <v>7358</v>
      </c>
      <c r="Z455" t="s">
        <v>7359</v>
      </c>
      <c r="AA455" t="s">
        <v>7360</v>
      </c>
      <c r="AB455" t="s">
        <v>7361</v>
      </c>
      <c r="AC455" t="s">
        <v>7362</v>
      </c>
      <c r="AD455" t="s">
        <v>7363</v>
      </c>
      <c r="AE455" t="s">
        <v>7364</v>
      </c>
      <c r="AF455" t="s">
        <v>74</v>
      </c>
      <c r="AG455">
        <v>41</v>
      </c>
      <c r="AH455">
        <v>13</v>
      </c>
      <c r="AI455">
        <v>13</v>
      </c>
      <c r="AJ455">
        <v>1</v>
      </c>
      <c r="AK455">
        <v>41</v>
      </c>
      <c r="AL455" t="s">
        <v>157</v>
      </c>
      <c r="AM455" t="s">
        <v>93</v>
      </c>
      <c r="AN455" t="s">
        <v>94</v>
      </c>
      <c r="AO455" t="s">
        <v>95</v>
      </c>
      <c r="AP455" t="s">
        <v>96</v>
      </c>
      <c r="AQ455" t="s">
        <v>74</v>
      </c>
      <c r="AR455" t="s">
        <v>97</v>
      </c>
      <c r="AS455" t="s">
        <v>98</v>
      </c>
      <c r="AT455" t="s">
        <v>509</v>
      </c>
      <c r="AU455">
        <v>2019</v>
      </c>
      <c r="AV455">
        <v>64</v>
      </c>
      <c r="AW455">
        <v>19</v>
      </c>
      <c r="AX455" t="s">
        <v>74</v>
      </c>
      <c r="AY455" t="s">
        <v>74</v>
      </c>
      <c r="AZ455" t="s">
        <v>74</v>
      </c>
      <c r="BA455" t="s">
        <v>74</v>
      </c>
      <c r="BB455" t="s">
        <v>74</v>
      </c>
      <c r="BC455" t="s">
        <v>74</v>
      </c>
      <c r="BD455">
        <v>195013</v>
      </c>
      <c r="BE455" t="s">
        <v>7365</v>
      </c>
      <c r="BF455" t="str">
        <f>HYPERLINK("http://dx.doi.org/10.1088/1361-6560/ab3c34","http://dx.doi.org/10.1088/1361-6560/ab3c34")</f>
        <v>http://dx.doi.org/10.1088/1361-6560/ab3c34</v>
      </c>
      <c r="BG455" t="s">
        <v>74</v>
      </c>
      <c r="BH455" t="s">
        <v>74</v>
      </c>
      <c r="BI455">
        <v>17</v>
      </c>
      <c r="BJ455" t="s">
        <v>101</v>
      </c>
      <c r="BK455" t="s">
        <v>102</v>
      </c>
      <c r="BL455" t="s">
        <v>103</v>
      </c>
      <c r="BM455" t="s">
        <v>4199</v>
      </c>
      <c r="BN455">
        <v>31422959</v>
      </c>
      <c r="BO455" t="s">
        <v>74</v>
      </c>
      <c r="BP455" t="s">
        <v>74</v>
      </c>
      <c r="BQ455" t="s">
        <v>74</v>
      </c>
      <c r="BR455" t="s">
        <v>106</v>
      </c>
      <c r="BS455" t="s">
        <v>7366</v>
      </c>
      <c r="BT455" t="str">
        <f>HYPERLINK("https%3A%2F%2Fwww.webofscience.com%2Fwos%2Fwoscc%2Ffull-record%2FWOS:000505954300003","View Full Record in Web of Science")</f>
        <v>View Full Record in Web of Science</v>
      </c>
    </row>
    <row r="456" spans="1:72" x14ac:dyDescent="0.25">
      <c r="A456" t="s">
        <v>72</v>
      </c>
      <c r="B456" t="s">
        <v>7367</v>
      </c>
      <c r="C456" t="s">
        <v>74</v>
      </c>
      <c r="D456" t="s">
        <v>74</v>
      </c>
      <c r="E456" t="s">
        <v>74</v>
      </c>
      <c r="F456" t="s">
        <v>7368</v>
      </c>
      <c r="G456" t="s">
        <v>74</v>
      </c>
      <c r="H456" t="s">
        <v>74</v>
      </c>
      <c r="I456" t="s">
        <v>7369</v>
      </c>
      <c r="J456" t="s">
        <v>77</v>
      </c>
      <c r="K456" t="s">
        <v>74</v>
      </c>
      <c r="L456" t="s">
        <v>74</v>
      </c>
      <c r="M456" t="s">
        <v>78</v>
      </c>
      <c r="N456" t="s">
        <v>79</v>
      </c>
      <c r="O456" t="s">
        <v>74</v>
      </c>
      <c r="P456" t="s">
        <v>74</v>
      </c>
      <c r="Q456" t="s">
        <v>74</v>
      </c>
      <c r="R456" t="s">
        <v>74</v>
      </c>
      <c r="S456" t="s">
        <v>74</v>
      </c>
      <c r="T456" t="s">
        <v>7370</v>
      </c>
      <c r="U456" t="s">
        <v>7371</v>
      </c>
      <c r="V456" t="s">
        <v>7372</v>
      </c>
      <c r="W456" t="s">
        <v>7373</v>
      </c>
      <c r="X456" t="s">
        <v>7374</v>
      </c>
      <c r="Y456" t="s">
        <v>7375</v>
      </c>
      <c r="Z456" t="s">
        <v>7376</v>
      </c>
      <c r="AA456" t="s">
        <v>7377</v>
      </c>
      <c r="AB456" t="s">
        <v>7378</v>
      </c>
      <c r="AC456" t="s">
        <v>74</v>
      </c>
      <c r="AD456" t="s">
        <v>74</v>
      </c>
      <c r="AE456" t="s">
        <v>74</v>
      </c>
      <c r="AF456" t="s">
        <v>74</v>
      </c>
      <c r="AG456">
        <v>36</v>
      </c>
      <c r="AH456">
        <v>0</v>
      </c>
      <c r="AI456">
        <v>0</v>
      </c>
      <c r="AJ456">
        <v>0</v>
      </c>
      <c r="AK456">
        <v>1</v>
      </c>
      <c r="AL456" t="s">
        <v>92</v>
      </c>
      <c r="AM456" t="s">
        <v>93</v>
      </c>
      <c r="AN456" t="s">
        <v>94</v>
      </c>
      <c r="AO456" t="s">
        <v>95</v>
      </c>
      <c r="AP456" t="s">
        <v>96</v>
      </c>
      <c r="AQ456" t="s">
        <v>74</v>
      </c>
      <c r="AR456" t="s">
        <v>97</v>
      </c>
      <c r="AS456" t="s">
        <v>98</v>
      </c>
      <c r="AT456" t="s">
        <v>509</v>
      </c>
      <c r="AU456">
        <v>2019</v>
      </c>
      <c r="AV456">
        <v>64</v>
      </c>
      <c r="AW456">
        <v>20</v>
      </c>
      <c r="AX456" t="s">
        <v>74</v>
      </c>
      <c r="AY456" t="s">
        <v>74</v>
      </c>
      <c r="AZ456" t="s">
        <v>74</v>
      </c>
      <c r="BA456" t="s">
        <v>74</v>
      </c>
      <c r="BB456" t="s">
        <v>74</v>
      </c>
      <c r="BC456" t="s">
        <v>74</v>
      </c>
      <c r="BD456">
        <v>205023</v>
      </c>
      <c r="BE456" t="s">
        <v>7379</v>
      </c>
      <c r="BF456" t="str">
        <f>HYPERLINK("http://dx.doi.org/10.1088/1361-6560/ab41a0","http://dx.doi.org/10.1088/1361-6560/ab41a0")</f>
        <v>http://dx.doi.org/10.1088/1361-6560/ab41a0</v>
      </c>
      <c r="BG456" t="s">
        <v>74</v>
      </c>
      <c r="BH456" t="s">
        <v>74</v>
      </c>
      <c r="BI456">
        <v>18</v>
      </c>
      <c r="BJ456" t="s">
        <v>101</v>
      </c>
      <c r="BK456" t="s">
        <v>102</v>
      </c>
      <c r="BL456" t="s">
        <v>103</v>
      </c>
      <c r="BM456" t="s">
        <v>741</v>
      </c>
      <c r="BN456">
        <v>31487702</v>
      </c>
      <c r="BO456" t="s">
        <v>105</v>
      </c>
      <c r="BP456" t="s">
        <v>74</v>
      </c>
      <c r="BQ456" t="s">
        <v>74</v>
      </c>
      <c r="BR456" t="s">
        <v>106</v>
      </c>
      <c r="BS456" t="s">
        <v>7380</v>
      </c>
      <c r="BT456" t="str">
        <f>HYPERLINK("https%3A%2F%2Fwww.webofscience.com%2Fwos%2Fwoscc%2Ffull-record%2FWOS:000500247900023","View Full Record in Web of Science")</f>
        <v>View Full Record in Web of Science</v>
      </c>
    </row>
    <row r="457" spans="1:72" x14ac:dyDescent="0.25">
      <c r="A457" t="s">
        <v>72</v>
      </c>
      <c r="B457" t="s">
        <v>7381</v>
      </c>
      <c r="C457" t="s">
        <v>74</v>
      </c>
      <c r="D457" t="s">
        <v>74</v>
      </c>
      <c r="E457" t="s">
        <v>74</v>
      </c>
      <c r="F457" t="s">
        <v>7382</v>
      </c>
      <c r="G457" t="s">
        <v>74</v>
      </c>
      <c r="H457" t="s">
        <v>74</v>
      </c>
      <c r="I457" t="s">
        <v>7383</v>
      </c>
      <c r="J457" t="s">
        <v>77</v>
      </c>
      <c r="K457" t="s">
        <v>74</v>
      </c>
      <c r="L457" t="s">
        <v>74</v>
      </c>
      <c r="M457" t="s">
        <v>78</v>
      </c>
      <c r="N457" t="s">
        <v>79</v>
      </c>
      <c r="O457" t="s">
        <v>74</v>
      </c>
      <c r="P457" t="s">
        <v>74</v>
      </c>
      <c r="Q457" t="s">
        <v>74</v>
      </c>
      <c r="R457" t="s">
        <v>74</v>
      </c>
      <c r="S457" t="s">
        <v>74</v>
      </c>
      <c r="T457" t="s">
        <v>7384</v>
      </c>
      <c r="U457" t="s">
        <v>7385</v>
      </c>
      <c r="V457" t="s">
        <v>7386</v>
      </c>
      <c r="W457" t="s">
        <v>7387</v>
      </c>
      <c r="X457" t="s">
        <v>7388</v>
      </c>
      <c r="Y457" t="s">
        <v>7389</v>
      </c>
      <c r="Z457" t="s">
        <v>7390</v>
      </c>
      <c r="AA457" t="s">
        <v>7391</v>
      </c>
      <c r="AB457" t="s">
        <v>7392</v>
      </c>
      <c r="AC457" t="s">
        <v>7393</v>
      </c>
      <c r="AD457" t="s">
        <v>7394</v>
      </c>
      <c r="AE457" t="s">
        <v>7395</v>
      </c>
      <c r="AF457" t="s">
        <v>74</v>
      </c>
      <c r="AG457">
        <v>50</v>
      </c>
      <c r="AH457">
        <v>49</v>
      </c>
      <c r="AI457">
        <v>51</v>
      </c>
      <c r="AJ457">
        <v>1</v>
      </c>
      <c r="AK457">
        <v>55</v>
      </c>
      <c r="AL457" t="s">
        <v>157</v>
      </c>
      <c r="AM457" t="s">
        <v>93</v>
      </c>
      <c r="AN457" t="s">
        <v>94</v>
      </c>
      <c r="AO457" t="s">
        <v>95</v>
      </c>
      <c r="AP457" t="s">
        <v>96</v>
      </c>
      <c r="AQ457" t="s">
        <v>74</v>
      </c>
      <c r="AR457" t="s">
        <v>97</v>
      </c>
      <c r="AS457" t="s">
        <v>98</v>
      </c>
      <c r="AT457" t="s">
        <v>176</v>
      </c>
      <c r="AU457">
        <v>2019</v>
      </c>
      <c r="AV457">
        <v>64</v>
      </c>
      <c r="AW457">
        <v>17</v>
      </c>
      <c r="AX457" t="s">
        <v>74</v>
      </c>
      <c r="AY457" t="s">
        <v>74</v>
      </c>
      <c r="AZ457" t="s">
        <v>74</v>
      </c>
      <c r="BA457" t="s">
        <v>74</v>
      </c>
      <c r="BB457" t="s">
        <v>74</v>
      </c>
      <c r="BC457" t="s">
        <v>74</v>
      </c>
      <c r="BD457">
        <v>175010</v>
      </c>
      <c r="BE457" t="s">
        <v>7396</v>
      </c>
      <c r="BF457" t="str">
        <f>HYPERLINK("http://dx.doi.org/10.1088/1361-6560/ab3556","http://dx.doi.org/10.1088/1361-6560/ab3556")</f>
        <v>http://dx.doi.org/10.1088/1361-6560/ab3556</v>
      </c>
      <c r="BG457" t="s">
        <v>74</v>
      </c>
      <c r="BH457" t="s">
        <v>74</v>
      </c>
      <c r="BI457">
        <v>13</v>
      </c>
      <c r="BJ457" t="s">
        <v>101</v>
      </c>
      <c r="BK457" t="s">
        <v>102</v>
      </c>
      <c r="BL457" t="s">
        <v>103</v>
      </c>
      <c r="BM457" t="s">
        <v>794</v>
      </c>
      <c r="BN457">
        <v>31342925</v>
      </c>
      <c r="BO457" t="s">
        <v>74</v>
      </c>
      <c r="BP457" t="s">
        <v>74</v>
      </c>
      <c r="BQ457" t="s">
        <v>74</v>
      </c>
      <c r="BR457" t="s">
        <v>106</v>
      </c>
      <c r="BS457" t="s">
        <v>7397</v>
      </c>
      <c r="BT457" t="str">
        <f>HYPERLINK("https%3A%2F%2Fwww.webofscience.com%2Fwos%2Fwoscc%2Ffull-record%2FWOS:000484508700003","View Full Record in Web of Science")</f>
        <v>View Full Record in Web of Science</v>
      </c>
    </row>
    <row r="458" spans="1:72" x14ac:dyDescent="0.25">
      <c r="A458" t="s">
        <v>72</v>
      </c>
      <c r="B458" t="s">
        <v>7398</v>
      </c>
      <c r="C458" t="s">
        <v>74</v>
      </c>
      <c r="D458" t="s">
        <v>74</v>
      </c>
      <c r="E458" t="s">
        <v>74</v>
      </c>
      <c r="F458" t="s">
        <v>7399</v>
      </c>
      <c r="G458" t="s">
        <v>74</v>
      </c>
      <c r="H458" t="s">
        <v>74</v>
      </c>
      <c r="I458" t="s">
        <v>7400</v>
      </c>
      <c r="J458" t="s">
        <v>77</v>
      </c>
      <c r="K458" t="s">
        <v>74</v>
      </c>
      <c r="L458" t="s">
        <v>74</v>
      </c>
      <c r="M458" t="s">
        <v>78</v>
      </c>
      <c r="N458" t="s">
        <v>79</v>
      </c>
      <c r="O458" t="s">
        <v>74</v>
      </c>
      <c r="P458" t="s">
        <v>74</v>
      </c>
      <c r="Q458" t="s">
        <v>74</v>
      </c>
      <c r="R458" t="s">
        <v>74</v>
      </c>
      <c r="S458" t="s">
        <v>74</v>
      </c>
      <c r="T458" t="s">
        <v>7401</v>
      </c>
      <c r="U458" t="s">
        <v>7402</v>
      </c>
      <c r="V458" t="s">
        <v>7403</v>
      </c>
      <c r="W458" t="s">
        <v>7404</v>
      </c>
      <c r="X458" t="s">
        <v>7405</v>
      </c>
      <c r="Y458" t="s">
        <v>7406</v>
      </c>
      <c r="Z458" t="s">
        <v>7407</v>
      </c>
      <c r="AA458" t="s">
        <v>7408</v>
      </c>
      <c r="AB458" t="s">
        <v>7409</v>
      </c>
      <c r="AC458" t="s">
        <v>7410</v>
      </c>
      <c r="AD458" t="s">
        <v>7410</v>
      </c>
      <c r="AE458" t="s">
        <v>7411</v>
      </c>
      <c r="AF458" t="s">
        <v>74</v>
      </c>
      <c r="AG458">
        <v>32</v>
      </c>
      <c r="AH458">
        <v>12</v>
      </c>
      <c r="AI458">
        <v>12</v>
      </c>
      <c r="AJ458">
        <v>0</v>
      </c>
      <c r="AK458">
        <v>10</v>
      </c>
      <c r="AL458" t="s">
        <v>92</v>
      </c>
      <c r="AM458" t="s">
        <v>93</v>
      </c>
      <c r="AN458" t="s">
        <v>94</v>
      </c>
      <c r="AO458" t="s">
        <v>95</v>
      </c>
      <c r="AP458" t="s">
        <v>96</v>
      </c>
      <c r="AQ458" t="s">
        <v>74</v>
      </c>
      <c r="AR458" t="s">
        <v>97</v>
      </c>
      <c r="AS458" t="s">
        <v>98</v>
      </c>
      <c r="AT458" t="s">
        <v>196</v>
      </c>
      <c r="AU458">
        <v>2019</v>
      </c>
      <c r="AV458">
        <v>64</v>
      </c>
      <c r="AW458">
        <v>16</v>
      </c>
      <c r="AX458" t="s">
        <v>74</v>
      </c>
      <c r="AY458" t="s">
        <v>74</v>
      </c>
      <c r="AZ458" t="s">
        <v>74</v>
      </c>
      <c r="BA458" t="s">
        <v>74</v>
      </c>
      <c r="BB458" t="s">
        <v>74</v>
      </c>
      <c r="BC458" t="s">
        <v>74</v>
      </c>
      <c r="BD458">
        <v>165007</v>
      </c>
      <c r="BE458" t="s">
        <v>7412</v>
      </c>
      <c r="BF458" t="str">
        <f>HYPERLINK("http://dx.doi.org/10.1088/1361-6560/ab2eff","http://dx.doi.org/10.1088/1361-6560/ab2eff")</f>
        <v>http://dx.doi.org/10.1088/1361-6560/ab2eff</v>
      </c>
      <c r="BG458" t="s">
        <v>74</v>
      </c>
      <c r="BH458" t="s">
        <v>74</v>
      </c>
      <c r="BI458">
        <v>11</v>
      </c>
      <c r="BJ458" t="s">
        <v>101</v>
      </c>
      <c r="BK458" t="s">
        <v>102</v>
      </c>
      <c r="BL458" t="s">
        <v>103</v>
      </c>
      <c r="BM458" t="s">
        <v>1076</v>
      </c>
      <c r="BN458">
        <v>31269479</v>
      </c>
      <c r="BO458" t="s">
        <v>74</v>
      </c>
      <c r="BP458" t="s">
        <v>74</v>
      </c>
      <c r="BQ458" t="s">
        <v>74</v>
      </c>
      <c r="BR458" t="s">
        <v>106</v>
      </c>
      <c r="BS458" t="s">
        <v>7413</v>
      </c>
      <c r="BT458" t="str">
        <f>HYPERLINK("https%3A%2F%2Fwww.webofscience.com%2Fwos%2Fwoscc%2Ffull-record%2FWOS:000481852600007","View Full Record in Web of Science")</f>
        <v>View Full Record in Web of Science</v>
      </c>
    </row>
    <row r="459" spans="1:72" x14ac:dyDescent="0.25">
      <c r="A459" t="s">
        <v>72</v>
      </c>
      <c r="B459" t="s">
        <v>7414</v>
      </c>
      <c r="C459" t="s">
        <v>74</v>
      </c>
      <c r="D459" t="s">
        <v>74</v>
      </c>
      <c r="E459" t="s">
        <v>74</v>
      </c>
      <c r="F459" t="s">
        <v>7415</v>
      </c>
      <c r="G459" t="s">
        <v>74</v>
      </c>
      <c r="H459" t="s">
        <v>74</v>
      </c>
      <c r="I459" t="s">
        <v>7416</v>
      </c>
      <c r="J459" t="s">
        <v>77</v>
      </c>
      <c r="K459" t="s">
        <v>74</v>
      </c>
      <c r="L459" t="s">
        <v>74</v>
      </c>
      <c r="M459" t="s">
        <v>78</v>
      </c>
      <c r="N459" t="s">
        <v>79</v>
      </c>
      <c r="O459" t="s">
        <v>74</v>
      </c>
      <c r="P459" t="s">
        <v>74</v>
      </c>
      <c r="Q459" t="s">
        <v>74</v>
      </c>
      <c r="R459" t="s">
        <v>74</v>
      </c>
      <c r="S459" t="s">
        <v>74</v>
      </c>
      <c r="T459" t="s">
        <v>7417</v>
      </c>
      <c r="U459" t="s">
        <v>7418</v>
      </c>
      <c r="V459" t="s">
        <v>7419</v>
      </c>
      <c r="W459" t="s">
        <v>7420</v>
      </c>
      <c r="X459" t="s">
        <v>7421</v>
      </c>
      <c r="Y459" t="s">
        <v>7422</v>
      </c>
      <c r="Z459" t="s">
        <v>7423</v>
      </c>
      <c r="AA459" t="s">
        <v>7424</v>
      </c>
      <c r="AB459" t="s">
        <v>7425</v>
      </c>
      <c r="AC459" t="s">
        <v>74</v>
      </c>
      <c r="AD459" t="s">
        <v>74</v>
      </c>
      <c r="AE459" t="s">
        <v>74</v>
      </c>
      <c r="AF459" t="s">
        <v>74</v>
      </c>
      <c r="AG459">
        <v>32</v>
      </c>
      <c r="AH459">
        <v>1</v>
      </c>
      <c r="AI459">
        <v>1</v>
      </c>
      <c r="AJ459">
        <v>0</v>
      </c>
      <c r="AK459">
        <v>3</v>
      </c>
      <c r="AL459" t="s">
        <v>92</v>
      </c>
      <c r="AM459" t="s">
        <v>93</v>
      </c>
      <c r="AN459" t="s">
        <v>94</v>
      </c>
      <c r="AO459" t="s">
        <v>95</v>
      </c>
      <c r="AP459" t="s">
        <v>96</v>
      </c>
      <c r="AQ459" t="s">
        <v>74</v>
      </c>
      <c r="AR459" t="s">
        <v>97</v>
      </c>
      <c r="AS459" t="s">
        <v>98</v>
      </c>
      <c r="AT459" t="s">
        <v>196</v>
      </c>
      <c r="AU459">
        <v>2019</v>
      </c>
      <c r="AV459">
        <v>64</v>
      </c>
      <c r="AW459">
        <v>15</v>
      </c>
      <c r="AX459" t="s">
        <v>74</v>
      </c>
      <c r="AY459" t="s">
        <v>74</v>
      </c>
      <c r="AZ459" t="s">
        <v>74</v>
      </c>
      <c r="BA459" t="s">
        <v>74</v>
      </c>
      <c r="BB459" t="s">
        <v>74</v>
      </c>
      <c r="BC459" t="s">
        <v>74</v>
      </c>
      <c r="BD459">
        <v>155001</v>
      </c>
      <c r="BE459" t="s">
        <v>7426</v>
      </c>
      <c r="BF459" t="str">
        <f>HYPERLINK("http://dx.doi.org/10.1088/1361-6560/ab2c92","http://dx.doi.org/10.1088/1361-6560/ab2c92")</f>
        <v>http://dx.doi.org/10.1088/1361-6560/ab2c92</v>
      </c>
      <c r="BG459" t="s">
        <v>74</v>
      </c>
      <c r="BH459" t="s">
        <v>74</v>
      </c>
      <c r="BI459">
        <v>10</v>
      </c>
      <c r="BJ459" t="s">
        <v>101</v>
      </c>
      <c r="BK459" t="s">
        <v>102</v>
      </c>
      <c r="BL459" t="s">
        <v>103</v>
      </c>
      <c r="BM459" t="s">
        <v>2395</v>
      </c>
      <c r="BN459">
        <v>31239410</v>
      </c>
      <c r="BO459" t="s">
        <v>74</v>
      </c>
      <c r="BP459" t="s">
        <v>74</v>
      </c>
      <c r="BQ459" t="s">
        <v>74</v>
      </c>
      <c r="BR459" t="s">
        <v>106</v>
      </c>
      <c r="BS459" t="s">
        <v>7427</v>
      </c>
      <c r="BT459" t="str">
        <f>HYPERLINK("https%3A%2F%2Fwww.webofscience.com%2Fwos%2Fwoscc%2Ffull-record%2FWOS:000478621000001","View Full Record in Web of Science")</f>
        <v>View Full Record in Web of Science</v>
      </c>
    </row>
    <row r="460" spans="1:72" x14ac:dyDescent="0.25">
      <c r="A460" t="s">
        <v>72</v>
      </c>
      <c r="B460" t="s">
        <v>7428</v>
      </c>
      <c r="C460" t="s">
        <v>74</v>
      </c>
      <c r="D460" t="s">
        <v>74</v>
      </c>
      <c r="E460" t="s">
        <v>74</v>
      </c>
      <c r="F460" t="s">
        <v>7429</v>
      </c>
      <c r="G460" t="s">
        <v>74</v>
      </c>
      <c r="H460" t="s">
        <v>74</v>
      </c>
      <c r="I460" t="s">
        <v>7430</v>
      </c>
      <c r="J460" t="s">
        <v>77</v>
      </c>
      <c r="K460" t="s">
        <v>74</v>
      </c>
      <c r="L460" t="s">
        <v>74</v>
      </c>
      <c r="M460" t="s">
        <v>78</v>
      </c>
      <c r="N460" t="s">
        <v>79</v>
      </c>
      <c r="O460" t="s">
        <v>74</v>
      </c>
      <c r="P460" t="s">
        <v>74</v>
      </c>
      <c r="Q460" t="s">
        <v>74</v>
      </c>
      <c r="R460" t="s">
        <v>74</v>
      </c>
      <c r="S460" t="s">
        <v>74</v>
      </c>
      <c r="T460" t="s">
        <v>7431</v>
      </c>
      <c r="U460" t="s">
        <v>7432</v>
      </c>
      <c r="V460" t="s">
        <v>7433</v>
      </c>
      <c r="W460" t="s">
        <v>7434</v>
      </c>
      <c r="X460" t="s">
        <v>7435</v>
      </c>
      <c r="Y460" t="s">
        <v>7436</v>
      </c>
      <c r="Z460" t="s">
        <v>7437</v>
      </c>
      <c r="AA460" t="s">
        <v>7438</v>
      </c>
      <c r="AB460" t="s">
        <v>7439</v>
      </c>
      <c r="AC460" t="s">
        <v>7440</v>
      </c>
      <c r="AD460" t="s">
        <v>7441</v>
      </c>
      <c r="AE460" t="s">
        <v>7442</v>
      </c>
      <c r="AF460" t="s">
        <v>74</v>
      </c>
      <c r="AG460">
        <v>65</v>
      </c>
      <c r="AH460">
        <v>26</v>
      </c>
      <c r="AI460">
        <v>36</v>
      </c>
      <c r="AJ460">
        <v>2</v>
      </c>
      <c r="AK460">
        <v>43</v>
      </c>
      <c r="AL460" t="s">
        <v>92</v>
      </c>
      <c r="AM460" t="s">
        <v>93</v>
      </c>
      <c r="AN460" t="s">
        <v>94</v>
      </c>
      <c r="AO460" t="s">
        <v>95</v>
      </c>
      <c r="AP460" t="s">
        <v>96</v>
      </c>
      <c r="AQ460" t="s">
        <v>74</v>
      </c>
      <c r="AR460" t="s">
        <v>97</v>
      </c>
      <c r="AS460" t="s">
        <v>98</v>
      </c>
      <c r="AT460" t="s">
        <v>196</v>
      </c>
      <c r="AU460">
        <v>2019</v>
      </c>
      <c r="AV460">
        <v>64</v>
      </c>
      <c r="AW460">
        <v>16</v>
      </c>
      <c r="AX460" t="s">
        <v>74</v>
      </c>
      <c r="AY460" t="s">
        <v>74</v>
      </c>
      <c r="AZ460" t="s">
        <v>74</v>
      </c>
      <c r="BA460" t="s">
        <v>74</v>
      </c>
      <c r="BB460" t="s">
        <v>74</v>
      </c>
      <c r="BC460" t="s">
        <v>74</v>
      </c>
      <c r="BD460">
        <v>165018</v>
      </c>
      <c r="BE460" t="s">
        <v>7443</v>
      </c>
      <c r="BF460" t="str">
        <f>HYPERLINK("http://dx.doi.org/10.1088/1361-6560/ab3525","http://dx.doi.org/10.1088/1361-6560/ab3525")</f>
        <v>http://dx.doi.org/10.1088/1361-6560/ab3525</v>
      </c>
      <c r="BG460" t="s">
        <v>74</v>
      </c>
      <c r="BH460" t="s">
        <v>74</v>
      </c>
      <c r="BI460">
        <v>18</v>
      </c>
      <c r="BJ460" t="s">
        <v>101</v>
      </c>
      <c r="BK460" t="s">
        <v>102</v>
      </c>
      <c r="BL460" t="s">
        <v>103</v>
      </c>
      <c r="BM460" t="s">
        <v>2045</v>
      </c>
      <c r="BN460">
        <v>31342922</v>
      </c>
      <c r="BO460" t="s">
        <v>179</v>
      </c>
      <c r="BP460" t="s">
        <v>74</v>
      </c>
      <c r="BQ460" t="s">
        <v>74</v>
      </c>
      <c r="BR460" t="s">
        <v>106</v>
      </c>
      <c r="BS460" t="s">
        <v>7444</v>
      </c>
      <c r="BT460" t="str">
        <f>HYPERLINK("https%3A%2F%2Fwww.webofscience.com%2Fwos%2Fwoscc%2Ffull-record%2FWOS:000482525700009","View Full Record in Web of Science")</f>
        <v>View Full Record in Web of Science</v>
      </c>
    </row>
    <row r="461" spans="1:72" x14ac:dyDescent="0.25">
      <c r="A461" t="s">
        <v>72</v>
      </c>
      <c r="B461" t="s">
        <v>7445</v>
      </c>
      <c r="C461" t="s">
        <v>74</v>
      </c>
      <c r="D461" t="s">
        <v>74</v>
      </c>
      <c r="E461" t="s">
        <v>74</v>
      </c>
      <c r="F461" t="s">
        <v>7446</v>
      </c>
      <c r="G461" t="s">
        <v>74</v>
      </c>
      <c r="H461" t="s">
        <v>74</v>
      </c>
      <c r="I461" t="s">
        <v>7447</v>
      </c>
      <c r="J461" t="s">
        <v>77</v>
      </c>
      <c r="K461" t="s">
        <v>74</v>
      </c>
      <c r="L461" t="s">
        <v>74</v>
      </c>
      <c r="M461" t="s">
        <v>78</v>
      </c>
      <c r="N461" t="s">
        <v>79</v>
      </c>
      <c r="O461" t="s">
        <v>74</v>
      </c>
      <c r="P461" t="s">
        <v>74</v>
      </c>
      <c r="Q461" t="s">
        <v>74</v>
      </c>
      <c r="R461" t="s">
        <v>74</v>
      </c>
      <c r="S461" t="s">
        <v>74</v>
      </c>
      <c r="T461" t="s">
        <v>7448</v>
      </c>
      <c r="U461" t="s">
        <v>7449</v>
      </c>
      <c r="V461" t="s">
        <v>7450</v>
      </c>
      <c r="W461" t="s">
        <v>7451</v>
      </c>
      <c r="X461" t="s">
        <v>7452</v>
      </c>
      <c r="Y461" t="s">
        <v>7453</v>
      </c>
      <c r="Z461" t="s">
        <v>7454</v>
      </c>
      <c r="AA461" t="s">
        <v>7455</v>
      </c>
      <c r="AB461" t="s">
        <v>7456</v>
      </c>
      <c r="AC461" t="s">
        <v>7457</v>
      </c>
      <c r="AD461" t="s">
        <v>7458</v>
      </c>
      <c r="AE461" t="s">
        <v>7459</v>
      </c>
      <c r="AF461" t="s">
        <v>74</v>
      </c>
      <c r="AG461">
        <v>36</v>
      </c>
      <c r="AH461">
        <v>26</v>
      </c>
      <c r="AI461">
        <v>28</v>
      </c>
      <c r="AJ461">
        <v>2</v>
      </c>
      <c r="AK461">
        <v>6</v>
      </c>
      <c r="AL461" t="s">
        <v>92</v>
      </c>
      <c r="AM461" t="s">
        <v>93</v>
      </c>
      <c r="AN461" t="s">
        <v>94</v>
      </c>
      <c r="AO461" t="s">
        <v>95</v>
      </c>
      <c r="AP461" t="s">
        <v>96</v>
      </c>
      <c r="AQ461" t="s">
        <v>74</v>
      </c>
      <c r="AR461" t="s">
        <v>97</v>
      </c>
      <c r="AS461" t="s">
        <v>98</v>
      </c>
      <c r="AT461" t="s">
        <v>214</v>
      </c>
      <c r="AU461">
        <v>2019</v>
      </c>
      <c r="AV461">
        <v>64</v>
      </c>
      <c r="AW461">
        <v>13</v>
      </c>
      <c r="AX461" t="s">
        <v>74</v>
      </c>
      <c r="AY461" t="s">
        <v>74</v>
      </c>
      <c r="AZ461" t="s">
        <v>74</v>
      </c>
      <c r="BA461" t="s">
        <v>74</v>
      </c>
      <c r="BB461" t="s">
        <v>74</v>
      </c>
      <c r="BC461" t="s">
        <v>74</v>
      </c>
      <c r="BD461">
        <v>135016</v>
      </c>
      <c r="BE461" t="s">
        <v>7460</v>
      </c>
      <c r="BF461" t="str">
        <f>HYPERLINK("http://dx.doi.org/10.1088/1361-6560/ab23cd","http://dx.doi.org/10.1088/1361-6560/ab23cd")</f>
        <v>http://dx.doi.org/10.1088/1361-6560/ab23cd</v>
      </c>
      <c r="BG461" t="s">
        <v>74</v>
      </c>
      <c r="BH461" t="s">
        <v>74</v>
      </c>
      <c r="BI461">
        <v>14</v>
      </c>
      <c r="BJ461" t="s">
        <v>101</v>
      </c>
      <c r="BK461" t="s">
        <v>102</v>
      </c>
      <c r="BL461" t="s">
        <v>103</v>
      </c>
      <c r="BM461" t="s">
        <v>1111</v>
      </c>
      <c r="BN461">
        <v>31276449</v>
      </c>
      <c r="BO461" t="s">
        <v>74</v>
      </c>
      <c r="BP461" t="s">
        <v>74</v>
      </c>
      <c r="BQ461" t="s">
        <v>74</v>
      </c>
      <c r="BR461" t="s">
        <v>106</v>
      </c>
      <c r="BS461" t="s">
        <v>7461</v>
      </c>
      <c r="BT461" t="str">
        <f>HYPERLINK("https%3A%2F%2Fwww.webofscience.com%2Fwos%2Fwoscc%2Ffull-record%2FWOS:000474396800002","View Full Record in Web of Science")</f>
        <v>View Full Record in Web of Science</v>
      </c>
    </row>
    <row r="462" spans="1:72" x14ac:dyDescent="0.25">
      <c r="A462" t="s">
        <v>72</v>
      </c>
      <c r="B462" t="s">
        <v>7462</v>
      </c>
      <c r="C462" t="s">
        <v>74</v>
      </c>
      <c r="D462" t="s">
        <v>74</v>
      </c>
      <c r="E462" t="s">
        <v>74</v>
      </c>
      <c r="F462" t="s">
        <v>7463</v>
      </c>
      <c r="G462" t="s">
        <v>74</v>
      </c>
      <c r="H462" t="s">
        <v>74</v>
      </c>
      <c r="I462" t="s">
        <v>7464</v>
      </c>
      <c r="J462" t="s">
        <v>77</v>
      </c>
      <c r="K462" t="s">
        <v>74</v>
      </c>
      <c r="L462" t="s">
        <v>74</v>
      </c>
      <c r="M462" t="s">
        <v>78</v>
      </c>
      <c r="N462" t="s">
        <v>79</v>
      </c>
      <c r="O462" t="s">
        <v>74</v>
      </c>
      <c r="P462" t="s">
        <v>74</v>
      </c>
      <c r="Q462" t="s">
        <v>74</v>
      </c>
      <c r="R462" t="s">
        <v>74</v>
      </c>
      <c r="S462" t="s">
        <v>74</v>
      </c>
      <c r="T462" t="s">
        <v>7465</v>
      </c>
      <c r="U462" t="s">
        <v>7466</v>
      </c>
      <c r="V462" t="s">
        <v>7467</v>
      </c>
      <c r="W462" t="s">
        <v>7468</v>
      </c>
      <c r="X462" t="s">
        <v>3220</v>
      </c>
      <c r="Y462" t="s">
        <v>7469</v>
      </c>
      <c r="Z462" t="s">
        <v>7470</v>
      </c>
      <c r="AA462" t="s">
        <v>74</v>
      </c>
      <c r="AB462" t="s">
        <v>4667</v>
      </c>
      <c r="AC462" t="s">
        <v>4668</v>
      </c>
      <c r="AD462" t="s">
        <v>416</v>
      </c>
      <c r="AE462" t="s">
        <v>7471</v>
      </c>
      <c r="AF462" t="s">
        <v>74</v>
      </c>
      <c r="AG462">
        <v>58</v>
      </c>
      <c r="AH462">
        <v>14</v>
      </c>
      <c r="AI462">
        <v>15</v>
      </c>
      <c r="AJ462">
        <v>1</v>
      </c>
      <c r="AK462">
        <v>11</v>
      </c>
      <c r="AL462" t="s">
        <v>92</v>
      </c>
      <c r="AM462" t="s">
        <v>93</v>
      </c>
      <c r="AN462" t="s">
        <v>94</v>
      </c>
      <c r="AO462" t="s">
        <v>95</v>
      </c>
      <c r="AP462" t="s">
        <v>96</v>
      </c>
      <c r="AQ462" t="s">
        <v>74</v>
      </c>
      <c r="AR462" t="s">
        <v>97</v>
      </c>
      <c r="AS462" t="s">
        <v>98</v>
      </c>
      <c r="AT462" t="s">
        <v>214</v>
      </c>
      <c r="AU462">
        <v>2019</v>
      </c>
      <c r="AV462">
        <v>64</v>
      </c>
      <c r="AW462">
        <v>14</v>
      </c>
      <c r="AX462" t="s">
        <v>74</v>
      </c>
      <c r="AY462" t="s">
        <v>74</v>
      </c>
      <c r="AZ462" t="s">
        <v>74</v>
      </c>
      <c r="BA462" t="s">
        <v>74</v>
      </c>
      <c r="BB462" t="s">
        <v>74</v>
      </c>
      <c r="BC462" t="s">
        <v>74</v>
      </c>
      <c r="BD462">
        <v>145019</v>
      </c>
      <c r="BE462" t="s">
        <v>7472</v>
      </c>
      <c r="BF462" t="str">
        <f>HYPERLINK("http://dx.doi.org/10.1088/1361-6560/ab25a6","http://dx.doi.org/10.1088/1361-6560/ab25a6")</f>
        <v>http://dx.doi.org/10.1088/1361-6560/ab25a6</v>
      </c>
      <c r="BG462" t="s">
        <v>74</v>
      </c>
      <c r="BH462" t="s">
        <v>74</v>
      </c>
      <c r="BI462">
        <v>15</v>
      </c>
      <c r="BJ462" t="s">
        <v>101</v>
      </c>
      <c r="BK462" t="s">
        <v>102</v>
      </c>
      <c r="BL462" t="s">
        <v>103</v>
      </c>
      <c r="BM462" t="s">
        <v>1093</v>
      </c>
      <c r="BN462">
        <v>31146275</v>
      </c>
      <c r="BO462" t="s">
        <v>105</v>
      </c>
      <c r="BP462" t="s">
        <v>74</v>
      </c>
      <c r="BQ462" t="s">
        <v>74</v>
      </c>
      <c r="BR462" t="s">
        <v>106</v>
      </c>
      <c r="BS462" t="s">
        <v>7473</v>
      </c>
      <c r="BT462" t="str">
        <f>HYPERLINK("https%3A%2F%2Fwww.webofscience.com%2Fwos%2Fwoscc%2Ffull-record%2FWOS:000476529600003","View Full Record in Web of Science")</f>
        <v>View Full Record in Web of Science</v>
      </c>
    </row>
    <row r="463" spans="1:72" x14ac:dyDescent="0.25">
      <c r="A463" t="s">
        <v>72</v>
      </c>
      <c r="B463" t="s">
        <v>7474</v>
      </c>
      <c r="C463" t="s">
        <v>74</v>
      </c>
      <c r="D463" t="s">
        <v>74</v>
      </c>
      <c r="E463" t="s">
        <v>74</v>
      </c>
      <c r="F463" t="s">
        <v>7475</v>
      </c>
      <c r="G463" t="s">
        <v>74</v>
      </c>
      <c r="H463" t="s">
        <v>74</v>
      </c>
      <c r="I463" t="s">
        <v>7476</v>
      </c>
      <c r="J463" t="s">
        <v>77</v>
      </c>
      <c r="K463" t="s">
        <v>74</v>
      </c>
      <c r="L463" t="s">
        <v>74</v>
      </c>
      <c r="M463" t="s">
        <v>78</v>
      </c>
      <c r="N463" t="s">
        <v>79</v>
      </c>
      <c r="O463" t="s">
        <v>74</v>
      </c>
      <c r="P463" t="s">
        <v>74</v>
      </c>
      <c r="Q463" t="s">
        <v>74</v>
      </c>
      <c r="R463" t="s">
        <v>74</v>
      </c>
      <c r="S463" t="s">
        <v>74</v>
      </c>
      <c r="T463" t="s">
        <v>7477</v>
      </c>
      <c r="U463" t="s">
        <v>7478</v>
      </c>
      <c r="V463" t="s">
        <v>7479</v>
      </c>
      <c r="W463" t="s">
        <v>7480</v>
      </c>
      <c r="X463" t="s">
        <v>7481</v>
      </c>
      <c r="Y463" t="s">
        <v>7482</v>
      </c>
      <c r="Z463" t="s">
        <v>7483</v>
      </c>
      <c r="AA463" t="s">
        <v>7484</v>
      </c>
      <c r="AB463" t="s">
        <v>7485</v>
      </c>
      <c r="AC463" t="s">
        <v>7486</v>
      </c>
      <c r="AD463" t="s">
        <v>7487</v>
      </c>
      <c r="AE463" t="s">
        <v>7488</v>
      </c>
      <c r="AF463" t="s">
        <v>74</v>
      </c>
      <c r="AG463">
        <v>37</v>
      </c>
      <c r="AH463">
        <v>19</v>
      </c>
      <c r="AI463">
        <v>19</v>
      </c>
      <c r="AJ463">
        <v>0</v>
      </c>
      <c r="AK463">
        <v>5</v>
      </c>
      <c r="AL463" t="s">
        <v>92</v>
      </c>
      <c r="AM463" t="s">
        <v>93</v>
      </c>
      <c r="AN463" t="s">
        <v>94</v>
      </c>
      <c r="AO463" t="s">
        <v>95</v>
      </c>
      <c r="AP463" t="s">
        <v>96</v>
      </c>
      <c r="AQ463" t="s">
        <v>74</v>
      </c>
      <c r="AR463" t="s">
        <v>97</v>
      </c>
      <c r="AS463" t="s">
        <v>98</v>
      </c>
      <c r="AT463" t="s">
        <v>250</v>
      </c>
      <c r="AU463">
        <v>2019</v>
      </c>
      <c r="AV463">
        <v>64</v>
      </c>
      <c r="AW463">
        <v>11</v>
      </c>
      <c r="AX463" t="s">
        <v>74</v>
      </c>
      <c r="AY463" t="s">
        <v>74</v>
      </c>
      <c r="AZ463" t="s">
        <v>74</v>
      </c>
      <c r="BA463" t="s">
        <v>74</v>
      </c>
      <c r="BB463" t="s">
        <v>74</v>
      </c>
      <c r="BC463" t="s">
        <v>74</v>
      </c>
      <c r="BD463">
        <v>115020</v>
      </c>
      <c r="BE463" t="s">
        <v>7489</v>
      </c>
      <c r="BF463" t="str">
        <f>HYPERLINK("http://dx.doi.org/10.1088/1361-6560/ab1af1","http://dx.doi.org/10.1088/1361-6560/ab1af1")</f>
        <v>http://dx.doi.org/10.1088/1361-6560/ab1af1</v>
      </c>
      <c r="BG463" t="s">
        <v>74</v>
      </c>
      <c r="BH463" t="s">
        <v>74</v>
      </c>
      <c r="BI463">
        <v>17</v>
      </c>
      <c r="BJ463" t="s">
        <v>101</v>
      </c>
      <c r="BK463" t="s">
        <v>102</v>
      </c>
      <c r="BL463" t="s">
        <v>103</v>
      </c>
      <c r="BM463" t="s">
        <v>305</v>
      </c>
      <c r="BN463">
        <v>30999288</v>
      </c>
      <c r="BO463" t="s">
        <v>74</v>
      </c>
      <c r="BP463" t="s">
        <v>74</v>
      </c>
      <c r="BQ463" t="s">
        <v>74</v>
      </c>
      <c r="BR463" t="s">
        <v>106</v>
      </c>
      <c r="BS463" t="s">
        <v>7490</v>
      </c>
      <c r="BT463" t="str">
        <f>HYPERLINK("https%3A%2F%2Fwww.webofscience.com%2Fwos%2Fwoscc%2Ffull-record%2FWOS:000470205600004","View Full Record in Web of Science")</f>
        <v>View Full Record in Web of Science</v>
      </c>
    </row>
    <row r="464" spans="1:72" x14ac:dyDescent="0.25">
      <c r="A464" t="s">
        <v>72</v>
      </c>
      <c r="B464" t="s">
        <v>7491</v>
      </c>
      <c r="C464" t="s">
        <v>74</v>
      </c>
      <c r="D464" t="s">
        <v>74</v>
      </c>
      <c r="E464" t="s">
        <v>74</v>
      </c>
      <c r="F464" t="s">
        <v>7492</v>
      </c>
      <c r="G464" t="s">
        <v>74</v>
      </c>
      <c r="H464" t="s">
        <v>74</v>
      </c>
      <c r="I464" t="s">
        <v>7493</v>
      </c>
      <c r="J464" t="s">
        <v>77</v>
      </c>
      <c r="K464" t="s">
        <v>74</v>
      </c>
      <c r="L464" t="s">
        <v>74</v>
      </c>
      <c r="M464" t="s">
        <v>78</v>
      </c>
      <c r="N464" t="s">
        <v>79</v>
      </c>
      <c r="O464" t="s">
        <v>74</v>
      </c>
      <c r="P464" t="s">
        <v>74</v>
      </c>
      <c r="Q464" t="s">
        <v>74</v>
      </c>
      <c r="R464" t="s">
        <v>74</v>
      </c>
      <c r="S464" t="s">
        <v>74</v>
      </c>
      <c r="T464" t="s">
        <v>7494</v>
      </c>
      <c r="U464" t="s">
        <v>7495</v>
      </c>
      <c r="V464" t="s">
        <v>7496</v>
      </c>
      <c r="W464" t="s">
        <v>7497</v>
      </c>
      <c r="X464" t="s">
        <v>7498</v>
      </c>
      <c r="Y464" t="s">
        <v>7499</v>
      </c>
      <c r="Z464" t="s">
        <v>7500</v>
      </c>
      <c r="AA464" t="s">
        <v>7501</v>
      </c>
      <c r="AB464" t="s">
        <v>7502</v>
      </c>
      <c r="AC464" t="s">
        <v>74</v>
      </c>
      <c r="AD464" t="s">
        <v>74</v>
      </c>
      <c r="AE464" t="s">
        <v>74</v>
      </c>
      <c r="AF464" t="s">
        <v>74</v>
      </c>
      <c r="AG464">
        <v>74</v>
      </c>
      <c r="AH464">
        <v>1</v>
      </c>
      <c r="AI464">
        <v>2</v>
      </c>
      <c r="AJ464">
        <v>0</v>
      </c>
      <c r="AK464">
        <v>7</v>
      </c>
      <c r="AL464" t="s">
        <v>157</v>
      </c>
      <c r="AM464" t="s">
        <v>93</v>
      </c>
      <c r="AN464" t="s">
        <v>94</v>
      </c>
      <c r="AO464" t="s">
        <v>95</v>
      </c>
      <c r="AP464" t="s">
        <v>96</v>
      </c>
      <c r="AQ464" t="s">
        <v>74</v>
      </c>
      <c r="AR464" t="s">
        <v>97</v>
      </c>
      <c r="AS464" t="s">
        <v>98</v>
      </c>
      <c r="AT464" t="s">
        <v>250</v>
      </c>
      <c r="AU464">
        <v>2019</v>
      </c>
      <c r="AV464">
        <v>64</v>
      </c>
      <c r="AW464">
        <v>11</v>
      </c>
      <c r="AX464" t="s">
        <v>74</v>
      </c>
      <c r="AY464" t="s">
        <v>74</v>
      </c>
      <c r="AZ464" t="s">
        <v>74</v>
      </c>
      <c r="BA464" t="s">
        <v>74</v>
      </c>
      <c r="BB464" t="s">
        <v>74</v>
      </c>
      <c r="BC464" t="s">
        <v>74</v>
      </c>
      <c r="BD464">
        <v>115001</v>
      </c>
      <c r="BE464" t="s">
        <v>7503</v>
      </c>
      <c r="BF464" t="str">
        <f>HYPERLINK("http://dx.doi.org/10.1088/1361-6560/ab0924","http://dx.doi.org/10.1088/1361-6560/ab0924")</f>
        <v>http://dx.doi.org/10.1088/1361-6560/ab0924</v>
      </c>
      <c r="BG464" t="s">
        <v>74</v>
      </c>
      <c r="BH464" t="s">
        <v>74</v>
      </c>
      <c r="BI464">
        <v>15</v>
      </c>
      <c r="BJ464" t="s">
        <v>101</v>
      </c>
      <c r="BK464" t="s">
        <v>102</v>
      </c>
      <c r="BL464" t="s">
        <v>103</v>
      </c>
      <c r="BM464" t="s">
        <v>323</v>
      </c>
      <c r="BN464">
        <v>30790781</v>
      </c>
      <c r="BO464" t="s">
        <v>74</v>
      </c>
      <c r="BP464" t="s">
        <v>74</v>
      </c>
      <c r="BQ464" t="s">
        <v>74</v>
      </c>
      <c r="BR464" t="s">
        <v>106</v>
      </c>
      <c r="BS464" t="s">
        <v>7504</v>
      </c>
      <c r="BT464" t="str">
        <f>HYPERLINK("https%3A%2F%2Fwww.webofscience.com%2Fwos%2Fwoscc%2Ffull-record%2FWOS:000468942900001","View Full Record in Web of Science")</f>
        <v>View Full Record in Web of Science</v>
      </c>
    </row>
    <row r="465" spans="1:72" x14ac:dyDescent="0.25">
      <c r="A465" t="s">
        <v>72</v>
      </c>
      <c r="B465" t="s">
        <v>7505</v>
      </c>
      <c r="C465" t="s">
        <v>74</v>
      </c>
      <c r="D465" t="s">
        <v>74</v>
      </c>
      <c r="E465" t="s">
        <v>74</v>
      </c>
      <c r="F465" t="s">
        <v>7506</v>
      </c>
      <c r="G465" t="s">
        <v>74</v>
      </c>
      <c r="H465" t="s">
        <v>74</v>
      </c>
      <c r="I465" t="s">
        <v>7507</v>
      </c>
      <c r="J465" t="s">
        <v>77</v>
      </c>
      <c r="K465" t="s">
        <v>74</v>
      </c>
      <c r="L465" t="s">
        <v>74</v>
      </c>
      <c r="M465" t="s">
        <v>78</v>
      </c>
      <c r="N465" t="s">
        <v>79</v>
      </c>
      <c r="O465" t="s">
        <v>74</v>
      </c>
      <c r="P465" t="s">
        <v>74</v>
      </c>
      <c r="Q465" t="s">
        <v>74</v>
      </c>
      <c r="R465" t="s">
        <v>74</v>
      </c>
      <c r="S465" t="s">
        <v>74</v>
      </c>
      <c r="T465" t="s">
        <v>7508</v>
      </c>
      <c r="U465" t="s">
        <v>7509</v>
      </c>
      <c r="V465" t="s">
        <v>7510</v>
      </c>
      <c r="W465" t="s">
        <v>7511</v>
      </c>
      <c r="X465" t="s">
        <v>7512</v>
      </c>
      <c r="Y465" t="s">
        <v>7513</v>
      </c>
      <c r="Z465" t="s">
        <v>805</v>
      </c>
      <c r="AA465" t="s">
        <v>7514</v>
      </c>
      <c r="AB465" t="s">
        <v>7515</v>
      </c>
      <c r="AC465" t="s">
        <v>7516</v>
      </c>
      <c r="AD465" t="s">
        <v>7517</v>
      </c>
      <c r="AE465" t="s">
        <v>7518</v>
      </c>
      <c r="AF465" t="s">
        <v>74</v>
      </c>
      <c r="AG465">
        <v>31</v>
      </c>
      <c r="AH465">
        <v>8</v>
      </c>
      <c r="AI465">
        <v>8</v>
      </c>
      <c r="AJ465">
        <v>0</v>
      </c>
      <c r="AK465">
        <v>13</v>
      </c>
      <c r="AL465" t="s">
        <v>92</v>
      </c>
      <c r="AM465" t="s">
        <v>93</v>
      </c>
      <c r="AN465" t="s">
        <v>94</v>
      </c>
      <c r="AO465" t="s">
        <v>95</v>
      </c>
      <c r="AP465" t="s">
        <v>96</v>
      </c>
      <c r="AQ465" t="s">
        <v>74</v>
      </c>
      <c r="AR465" t="s">
        <v>97</v>
      </c>
      <c r="AS465" t="s">
        <v>98</v>
      </c>
      <c r="AT465" t="s">
        <v>370</v>
      </c>
      <c r="AU465">
        <v>2019</v>
      </c>
      <c r="AV465">
        <v>64</v>
      </c>
      <c r="AW465">
        <v>9</v>
      </c>
      <c r="AX465" t="s">
        <v>74</v>
      </c>
      <c r="AY465" t="s">
        <v>74</v>
      </c>
      <c r="AZ465" t="s">
        <v>74</v>
      </c>
      <c r="BA465" t="s">
        <v>74</v>
      </c>
      <c r="BB465" t="s">
        <v>74</v>
      </c>
      <c r="BC465" t="s">
        <v>74</v>
      </c>
      <c r="BD465">
        <v>95027</v>
      </c>
      <c r="BE465" t="s">
        <v>7519</v>
      </c>
      <c r="BF465" t="str">
        <f>HYPERLINK("http://dx.doi.org/10.1088/1361-6560/ab109b","http://dx.doi.org/10.1088/1361-6560/ab109b")</f>
        <v>http://dx.doi.org/10.1088/1361-6560/ab109b</v>
      </c>
      <c r="BG465" t="s">
        <v>74</v>
      </c>
      <c r="BH465" t="s">
        <v>74</v>
      </c>
      <c r="BI465">
        <v>12</v>
      </c>
      <c r="BJ465" t="s">
        <v>101</v>
      </c>
      <c r="BK465" t="s">
        <v>102</v>
      </c>
      <c r="BL465" t="s">
        <v>103</v>
      </c>
      <c r="BM465" t="s">
        <v>610</v>
      </c>
      <c r="BN465">
        <v>30884473</v>
      </c>
      <c r="BO465" t="s">
        <v>74</v>
      </c>
      <c r="BP465" t="s">
        <v>74</v>
      </c>
      <c r="BQ465" t="s">
        <v>74</v>
      </c>
      <c r="BR465" t="s">
        <v>106</v>
      </c>
      <c r="BS465" t="s">
        <v>7520</v>
      </c>
      <c r="BT465" t="str">
        <f>HYPERLINK("https%3A%2F%2Fwww.webofscience.com%2Fwos%2Fwoscc%2Ffull-record%2FWOS:000466862700006","View Full Record in Web of Science")</f>
        <v>View Full Record in Web of Science</v>
      </c>
    </row>
    <row r="466" spans="1:72" x14ac:dyDescent="0.25">
      <c r="A466" t="s">
        <v>72</v>
      </c>
      <c r="B466" t="s">
        <v>7521</v>
      </c>
      <c r="C466" t="s">
        <v>74</v>
      </c>
      <c r="D466" t="s">
        <v>74</v>
      </c>
      <c r="E466" t="s">
        <v>74</v>
      </c>
      <c r="F466" t="s">
        <v>7522</v>
      </c>
      <c r="G466" t="s">
        <v>74</v>
      </c>
      <c r="H466" t="s">
        <v>74</v>
      </c>
      <c r="I466" t="s">
        <v>7523</v>
      </c>
      <c r="J466" t="s">
        <v>77</v>
      </c>
      <c r="K466" t="s">
        <v>74</v>
      </c>
      <c r="L466" t="s">
        <v>74</v>
      </c>
      <c r="M466" t="s">
        <v>78</v>
      </c>
      <c r="N466" t="s">
        <v>79</v>
      </c>
      <c r="O466" t="s">
        <v>74</v>
      </c>
      <c r="P466" t="s">
        <v>74</v>
      </c>
      <c r="Q466" t="s">
        <v>74</v>
      </c>
      <c r="R466" t="s">
        <v>74</v>
      </c>
      <c r="S466" t="s">
        <v>74</v>
      </c>
      <c r="T466" t="s">
        <v>7524</v>
      </c>
      <c r="U466" t="s">
        <v>7525</v>
      </c>
      <c r="V466" t="s">
        <v>7526</v>
      </c>
      <c r="W466" t="s">
        <v>7527</v>
      </c>
      <c r="X466" t="s">
        <v>7528</v>
      </c>
      <c r="Y466" t="s">
        <v>7529</v>
      </c>
      <c r="Z466" t="s">
        <v>7530</v>
      </c>
      <c r="AA466" t="s">
        <v>74</v>
      </c>
      <c r="AB466" t="s">
        <v>7531</v>
      </c>
      <c r="AC466" t="s">
        <v>74</v>
      </c>
      <c r="AD466" t="s">
        <v>74</v>
      </c>
      <c r="AE466" t="s">
        <v>74</v>
      </c>
      <c r="AF466" t="s">
        <v>74</v>
      </c>
      <c r="AG466">
        <v>23</v>
      </c>
      <c r="AH466">
        <v>13</v>
      </c>
      <c r="AI466">
        <v>14</v>
      </c>
      <c r="AJ466">
        <v>0</v>
      </c>
      <c r="AK466">
        <v>5</v>
      </c>
      <c r="AL466" t="s">
        <v>92</v>
      </c>
      <c r="AM466" t="s">
        <v>93</v>
      </c>
      <c r="AN466" t="s">
        <v>94</v>
      </c>
      <c r="AO466" t="s">
        <v>95</v>
      </c>
      <c r="AP466" t="s">
        <v>96</v>
      </c>
      <c r="AQ466" t="s">
        <v>74</v>
      </c>
      <c r="AR466" t="s">
        <v>97</v>
      </c>
      <c r="AS466" t="s">
        <v>98</v>
      </c>
      <c r="AT466" t="s">
        <v>370</v>
      </c>
      <c r="AU466">
        <v>2019</v>
      </c>
      <c r="AV466">
        <v>64</v>
      </c>
      <c r="AW466">
        <v>9</v>
      </c>
      <c r="AX466" t="s">
        <v>74</v>
      </c>
      <c r="AY466" t="s">
        <v>74</v>
      </c>
      <c r="AZ466" t="s">
        <v>74</v>
      </c>
      <c r="BA466" t="s">
        <v>74</v>
      </c>
      <c r="BB466" t="s">
        <v>74</v>
      </c>
      <c r="BC466" t="s">
        <v>74</v>
      </c>
      <c r="BD466">
        <v>95024</v>
      </c>
      <c r="BE466" t="s">
        <v>7532</v>
      </c>
      <c r="BF466" t="str">
        <f>HYPERLINK("http://dx.doi.org/10.1088/1361-6560/ab115b","http://dx.doi.org/10.1088/1361-6560/ab115b")</f>
        <v>http://dx.doi.org/10.1088/1361-6560/ab115b</v>
      </c>
      <c r="BG466" t="s">
        <v>74</v>
      </c>
      <c r="BH466" t="s">
        <v>74</v>
      </c>
      <c r="BI466">
        <v>12</v>
      </c>
      <c r="BJ466" t="s">
        <v>101</v>
      </c>
      <c r="BK466" t="s">
        <v>102</v>
      </c>
      <c r="BL466" t="s">
        <v>103</v>
      </c>
      <c r="BM466" t="s">
        <v>610</v>
      </c>
      <c r="BN466">
        <v>30893659</v>
      </c>
      <c r="BO466" t="s">
        <v>74</v>
      </c>
      <c r="BP466" t="s">
        <v>74</v>
      </c>
      <c r="BQ466" t="s">
        <v>74</v>
      </c>
      <c r="BR466" t="s">
        <v>106</v>
      </c>
      <c r="BS466" t="s">
        <v>7533</v>
      </c>
      <c r="BT466" t="str">
        <f>HYPERLINK("https%3A%2F%2Fwww.webofscience.com%2Fwos%2Fwoscc%2Ffull-record%2FWOS:000466862700003","View Full Record in Web of Science")</f>
        <v>View Full Record in Web of Science</v>
      </c>
    </row>
    <row r="467" spans="1:72" x14ac:dyDescent="0.25">
      <c r="A467" t="s">
        <v>72</v>
      </c>
      <c r="B467" t="s">
        <v>7534</v>
      </c>
      <c r="C467" t="s">
        <v>74</v>
      </c>
      <c r="D467" t="s">
        <v>74</v>
      </c>
      <c r="E467" t="s">
        <v>74</v>
      </c>
      <c r="F467" t="s">
        <v>7535</v>
      </c>
      <c r="G467" t="s">
        <v>74</v>
      </c>
      <c r="H467" t="s">
        <v>74</v>
      </c>
      <c r="I467" t="s">
        <v>7536</v>
      </c>
      <c r="J467" t="s">
        <v>77</v>
      </c>
      <c r="K467" t="s">
        <v>74</v>
      </c>
      <c r="L467" t="s">
        <v>74</v>
      </c>
      <c r="M467" t="s">
        <v>78</v>
      </c>
      <c r="N467" t="s">
        <v>79</v>
      </c>
      <c r="O467" t="s">
        <v>74</v>
      </c>
      <c r="P467" t="s">
        <v>74</v>
      </c>
      <c r="Q467" t="s">
        <v>74</v>
      </c>
      <c r="R467" t="s">
        <v>74</v>
      </c>
      <c r="S467" t="s">
        <v>74</v>
      </c>
      <c r="T467" t="s">
        <v>7537</v>
      </c>
      <c r="U467" t="s">
        <v>7538</v>
      </c>
      <c r="V467" t="s">
        <v>7539</v>
      </c>
      <c r="W467" t="s">
        <v>7540</v>
      </c>
      <c r="X467" t="s">
        <v>7541</v>
      </c>
      <c r="Y467" t="s">
        <v>7542</v>
      </c>
      <c r="Z467" t="s">
        <v>7543</v>
      </c>
      <c r="AA467" t="s">
        <v>7544</v>
      </c>
      <c r="AB467" t="s">
        <v>7545</v>
      </c>
      <c r="AC467" t="s">
        <v>74</v>
      </c>
      <c r="AD467" t="s">
        <v>74</v>
      </c>
      <c r="AE467" t="s">
        <v>74</v>
      </c>
      <c r="AF467" t="s">
        <v>74</v>
      </c>
      <c r="AG467">
        <v>40</v>
      </c>
      <c r="AH467">
        <v>52</v>
      </c>
      <c r="AI467">
        <v>56</v>
      </c>
      <c r="AJ467">
        <v>0</v>
      </c>
      <c r="AK467">
        <v>5</v>
      </c>
      <c r="AL467" t="s">
        <v>92</v>
      </c>
      <c r="AM467" t="s">
        <v>93</v>
      </c>
      <c r="AN467" t="s">
        <v>94</v>
      </c>
      <c r="AO467" t="s">
        <v>95</v>
      </c>
      <c r="AP467" t="s">
        <v>96</v>
      </c>
      <c r="AQ467" t="s">
        <v>74</v>
      </c>
      <c r="AR467" t="s">
        <v>97</v>
      </c>
      <c r="AS467" t="s">
        <v>98</v>
      </c>
      <c r="AT467" t="s">
        <v>370</v>
      </c>
      <c r="AU467">
        <v>2019</v>
      </c>
      <c r="AV467">
        <v>64</v>
      </c>
      <c r="AW467">
        <v>10</v>
      </c>
      <c r="AX467" t="s">
        <v>74</v>
      </c>
      <c r="AY467" t="s">
        <v>74</v>
      </c>
      <c r="AZ467" t="s">
        <v>74</v>
      </c>
      <c r="BA467" t="s">
        <v>74</v>
      </c>
      <c r="BB467" t="s">
        <v>74</v>
      </c>
      <c r="BC467" t="s">
        <v>74</v>
      </c>
      <c r="BD467">
        <v>105023</v>
      </c>
      <c r="BE467" t="s">
        <v>7546</v>
      </c>
      <c r="BF467" t="str">
        <f>HYPERLINK("http://dx.doi.org/10.1088/1361-6560/ab176d","http://dx.doi.org/10.1088/1361-6560/ab176d")</f>
        <v>http://dx.doi.org/10.1088/1361-6560/ab176d</v>
      </c>
      <c r="BG467" t="s">
        <v>74</v>
      </c>
      <c r="BH467" t="s">
        <v>74</v>
      </c>
      <c r="BI467">
        <v>20</v>
      </c>
      <c r="BJ467" t="s">
        <v>101</v>
      </c>
      <c r="BK467" t="s">
        <v>102</v>
      </c>
      <c r="BL467" t="s">
        <v>103</v>
      </c>
      <c r="BM467" t="s">
        <v>860</v>
      </c>
      <c r="BN467">
        <v>30965311</v>
      </c>
      <c r="BO467" t="s">
        <v>829</v>
      </c>
      <c r="BP467" t="s">
        <v>74</v>
      </c>
      <c r="BQ467" t="s">
        <v>74</v>
      </c>
      <c r="BR467" t="s">
        <v>106</v>
      </c>
      <c r="BS467" t="s">
        <v>7547</v>
      </c>
      <c r="BT467" t="str">
        <f>HYPERLINK("https%3A%2F%2Fwww.webofscience.com%2Fwos%2Fwoscc%2Ffull-record%2FWOS:000468634900003","View Full Record in Web of Science")</f>
        <v>View Full Record in Web of Science</v>
      </c>
    </row>
    <row r="468" spans="1:72" x14ac:dyDescent="0.25">
      <c r="A468" t="s">
        <v>72</v>
      </c>
      <c r="B468" t="s">
        <v>7548</v>
      </c>
      <c r="C468" t="s">
        <v>74</v>
      </c>
      <c r="D468" t="s">
        <v>74</v>
      </c>
      <c r="E468" t="s">
        <v>74</v>
      </c>
      <c r="F468" t="s">
        <v>7549</v>
      </c>
      <c r="G468" t="s">
        <v>74</v>
      </c>
      <c r="H468" t="s">
        <v>74</v>
      </c>
      <c r="I468" t="s">
        <v>7550</v>
      </c>
      <c r="J468" t="s">
        <v>77</v>
      </c>
      <c r="K468" t="s">
        <v>74</v>
      </c>
      <c r="L468" t="s">
        <v>74</v>
      </c>
      <c r="M468" t="s">
        <v>78</v>
      </c>
      <c r="N468" t="s">
        <v>79</v>
      </c>
      <c r="O468" t="s">
        <v>74</v>
      </c>
      <c r="P468" t="s">
        <v>74</v>
      </c>
      <c r="Q468" t="s">
        <v>74</v>
      </c>
      <c r="R468" t="s">
        <v>74</v>
      </c>
      <c r="S468" t="s">
        <v>74</v>
      </c>
      <c r="T468" t="s">
        <v>7551</v>
      </c>
      <c r="U468" t="s">
        <v>7552</v>
      </c>
      <c r="V468" t="s">
        <v>7553</v>
      </c>
      <c r="W468" t="s">
        <v>7554</v>
      </c>
      <c r="X468" t="s">
        <v>7555</v>
      </c>
      <c r="Y468" t="s">
        <v>7556</v>
      </c>
      <c r="Z468" t="s">
        <v>7557</v>
      </c>
      <c r="AA468" t="s">
        <v>74</v>
      </c>
      <c r="AB468" t="s">
        <v>74</v>
      </c>
      <c r="AC468" t="s">
        <v>7558</v>
      </c>
      <c r="AD468" t="s">
        <v>1697</v>
      </c>
      <c r="AE468" t="s">
        <v>7559</v>
      </c>
      <c r="AF468" t="s">
        <v>74</v>
      </c>
      <c r="AG468">
        <v>41</v>
      </c>
      <c r="AH468">
        <v>23</v>
      </c>
      <c r="AI468">
        <v>28</v>
      </c>
      <c r="AJ468">
        <v>1</v>
      </c>
      <c r="AK468">
        <v>31</v>
      </c>
      <c r="AL468" t="s">
        <v>157</v>
      </c>
      <c r="AM468" t="s">
        <v>93</v>
      </c>
      <c r="AN468" t="s">
        <v>94</v>
      </c>
      <c r="AO468" t="s">
        <v>95</v>
      </c>
      <c r="AP468" t="s">
        <v>96</v>
      </c>
      <c r="AQ468" t="s">
        <v>74</v>
      </c>
      <c r="AR468" t="s">
        <v>97</v>
      </c>
      <c r="AS468" t="s">
        <v>98</v>
      </c>
      <c r="AT468" t="s">
        <v>386</v>
      </c>
      <c r="AU468">
        <v>2019</v>
      </c>
      <c r="AV468">
        <v>64</v>
      </c>
      <c r="AW468">
        <v>7</v>
      </c>
      <c r="AX468" t="s">
        <v>74</v>
      </c>
      <c r="AY468" t="s">
        <v>74</v>
      </c>
      <c r="AZ468" t="s">
        <v>74</v>
      </c>
      <c r="BA468" t="s">
        <v>74</v>
      </c>
      <c r="BB468" t="s">
        <v>74</v>
      </c>
      <c r="BC468" t="s">
        <v>74</v>
      </c>
      <c r="BD468">
        <v>75015</v>
      </c>
      <c r="BE468" t="s">
        <v>7560</v>
      </c>
      <c r="BF468" t="str">
        <f>HYPERLINK("http://dx.doi.org/10.1088/1361-6560/ab0ef4","http://dx.doi.org/10.1088/1361-6560/ab0ef4")</f>
        <v>http://dx.doi.org/10.1088/1361-6560/ab0ef4</v>
      </c>
      <c r="BG468" t="s">
        <v>74</v>
      </c>
      <c r="BH468" t="s">
        <v>74</v>
      </c>
      <c r="BI468">
        <v>12</v>
      </c>
      <c r="BJ468" t="s">
        <v>101</v>
      </c>
      <c r="BK468" t="s">
        <v>102</v>
      </c>
      <c r="BL468" t="s">
        <v>103</v>
      </c>
      <c r="BM468" t="s">
        <v>874</v>
      </c>
      <c r="BN468">
        <v>30861502</v>
      </c>
      <c r="BO468" t="s">
        <v>74</v>
      </c>
      <c r="BP468" t="s">
        <v>74</v>
      </c>
      <c r="BQ468" t="s">
        <v>74</v>
      </c>
      <c r="BR468" t="s">
        <v>106</v>
      </c>
      <c r="BS468" t="s">
        <v>7561</v>
      </c>
      <c r="BT468" t="str">
        <f>HYPERLINK("https%3A%2F%2Fwww.webofscience.com%2Fwos%2Fwoscc%2Ffull-record%2FWOS:000463540400003","View Full Record in Web of Science")</f>
        <v>View Full Record in Web of Science</v>
      </c>
    </row>
    <row r="469" spans="1:72" x14ac:dyDescent="0.25">
      <c r="A469" t="s">
        <v>72</v>
      </c>
      <c r="B469" t="s">
        <v>7562</v>
      </c>
      <c r="C469" t="s">
        <v>74</v>
      </c>
      <c r="D469" t="s">
        <v>74</v>
      </c>
      <c r="E469" t="s">
        <v>74</v>
      </c>
      <c r="F469" t="s">
        <v>7563</v>
      </c>
      <c r="G469" t="s">
        <v>74</v>
      </c>
      <c r="H469" t="s">
        <v>74</v>
      </c>
      <c r="I469" t="s">
        <v>7564</v>
      </c>
      <c r="J469" t="s">
        <v>77</v>
      </c>
      <c r="K469" t="s">
        <v>74</v>
      </c>
      <c r="L469" t="s">
        <v>74</v>
      </c>
      <c r="M469" t="s">
        <v>78</v>
      </c>
      <c r="N469" t="s">
        <v>79</v>
      </c>
      <c r="O469" t="s">
        <v>74</v>
      </c>
      <c r="P469" t="s">
        <v>74</v>
      </c>
      <c r="Q469" t="s">
        <v>74</v>
      </c>
      <c r="R469" t="s">
        <v>74</v>
      </c>
      <c r="S469" t="s">
        <v>74</v>
      </c>
      <c r="T469" t="s">
        <v>7565</v>
      </c>
      <c r="U469" t="s">
        <v>7566</v>
      </c>
      <c r="V469" t="s">
        <v>7567</v>
      </c>
      <c r="W469" t="s">
        <v>7568</v>
      </c>
      <c r="X469" t="s">
        <v>7569</v>
      </c>
      <c r="Y469" t="s">
        <v>7570</v>
      </c>
      <c r="Z469" t="s">
        <v>7571</v>
      </c>
      <c r="AA469" t="s">
        <v>7572</v>
      </c>
      <c r="AB469" t="s">
        <v>7573</v>
      </c>
      <c r="AC469" t="s">
        <v>7574</v>
      </c>
      <c r="AD469" t="s">
        <v>7575</v>
      </c>
      <c r="AE469" t="s">
        <v>7576</v>
      </c>
      <c r="AF469" t="s">
        <v>74</v>
      </c>
      <c r="AG469">
        <v>32</v>
      </c>
      <c r="AH469">
        <v>4</v>
      </c>
      <c r="AI469">
        <v>4</v>
      </c>
      <c r="AJ469">
        <v>0</v>
      </c>
      <c r="AK469">
        <v>4</v>
      </c>
      <c r="AL469" t="s">
        <v>92</v>
      </c>
      <c r="AM469" t="s">
        <v>93</v>
      </c>
      <c r="AN469" t="s">
        <v>94</v>
      </c>
      <c r="AO469" t="s">
        <v>95</v>
      </c>
      <c r="AP469" t="s">
        <v>96</v>
      </c>
      <c r="AQ469" t="s">
        <v>74</v>
      </c>
      <c r="AR469" t="s">
        <v>97</v>
      </c>
      <c r="AS469" t="s">
        <v>98</v>
      </c>
      <c r="AT469" t="s">
        <v>386</v>
      </c>
      <c r="AU469">
        <v>2019</v>
      </c>
      <c r="AV469">
        <v>64</v>
      </c>
      <c r="AW469">
        <v>8</v>
      </c>
      <c r="AX469" t="s">
        <v>74</v>
      </c>
      <c r="AY469" t="s">
        <v>74</v>
      </c>
      <c r="AZ469" t="s">
        <v>74</v>
      </c>
      <c r="BA469" t="s">
        <v>74</v>
      </c>
      <c r="BB469" t="s">
        <v>74</v>
      </c>
      <c r="BC469" t="s">
        <v>74</v>
      </c>
      <c r="BD469">
        <v>85008</v>
      </c>
      <c r="BE469" t="s">
        <v>7577</v>
      </c>
      <c r="BF469" t="str">
        <f>HYPERLINK("http://dx.doi.org/10.1088/1361-6560/ab091c","http://dx.doi.org/10.1088/1361-6560/ab091c")</f>
        <v>http://dx.doi.org/10.1088/1361-6560/ab091c</v>
      </c>
      <c r="BG469" t="s">
        <v>74</v>
      </c>
      <c r="BH469" t="s">
        <v>74</v>
      </c>
      <c r="BI469">
        <v>14</v>
      </c>
      <c r="BJ469" t="s">
        <v>101</v>
      </c>
      <c r="BK469" t="s">
        <v>102</v>
      </c>
      <c r="BL469" t="s">
        <v>103</v>
      </c>
      <c r="BM469" t="s">
        <v>3036</v>
      </c>
      <c r="BN469">
        <v>30790784</v>
      </c>
      <c r="BO469" t="s">
        <v>74</v>
      </c>
      <c r="BP469" t="s">
        <v>74</v>
      </c>
      <c r="BQ469" t="s">
        <v>74</v>
      </c>
      <c r="BR469" t="s">
        <v>106</v>
      </c>
      <c r="BS469" t="s">
        <v>7578</v>
      </c>
      <c r="BT469" t="str">
        <f>HYPERLINK("https%3A%2F%2Fwww.webofscience.com%2Fwos%2Fwoscc%2Ffull-record%2FWOS:000518923400008","View Full Record in Web of Science")</f>
        <v>View Full Record in Web of Science</v>
      </c>
    </row>
    <row r="470" spans="1:72" x14ac:dyDescent="0.25">
      <c r="A470" t="s">
        <v>72</v>
      </c>
      <c r="B470" t="s">
        <v>7579</v>
      </c>
      <c r="C470" t="s">
        <v>74</v>
      </c>
      <c r="D470" t="s">
        <v>74</v>
      </c>
      <c r="E470" t="s">
        <v>74</v>
      </c>
      <c r="F470" t="s">
        <v>7580</v>
      </c>
      <c r="G470" t="s">
        <v>74</v>
      </c>
      <c r="H470" t="s">
        <v>74</v>
      </c>
      <c r="I470" t="s">
        <v>7581</v>
      </c>
      <c r="J470" t="s">
        <v>77</v>
      </c>
      <c r="K470" t="s">
        <v>74</v>
      </c>
      <c r="L470" t="s">
        <v>74</v>
      </c>
      <c r="M470" t="s">
        <v>78</v>
      </c>
      <c r="N470" t="s">
        <v>79</v>
      </c>
      <c r="O470" t="s">
        <v>74</v>
      </c>
      <c r="P470" t="s">
        <v>74</v>
      </c>
      <c r="Q470" t="s">
        <v>74</v>
      </c>
      <c r="R470" t="s">
        <v>74</v>
      </c>
      <c r="S470" t="s">
        <v>74</v>
      </c>
      <c r="T470" t="s">
        <v>7582</v>
      </c>
      <c r="U470" t="s">
        <v>7583</v>
      </c>
      <c r="V470" t="s">
        <v>7584</v>
      </c>
      <c r="W470" t="s">
        <v>7585</v>
      </c>
      <c r="X470" t="s">
        <v>7586</v>
      </c>
      <c r="Y470" t="s">
        <v>7587</v>
      </c>
      <c r="Z470" t="s">
        <v>7588</v>
      </c>
      <c r="AA470" t="s">
        <v>7589</v>
      </c>
      <c r="AB470" t="s">
        <v>7590</v>
      </c>
      <c r="AC470" t="s">
        <v>7591</v>
      </c>
      <c r="AD470" t="s">
        <v>7592</v>
      </c>
      <c r="AE470" t="s">
        <v>7593</v>
      </c>
      <c r="AF470" t="s">
        <v>74</v>
      </c>
      <c r="AG470">
        <v>36</v>
      </c>
      <c r="AH470">
        <v>62</v>
      </c>
      <c r="AI470">
        <v>65</v>
      </c>
      <c r="AJ470">
        <v>0</v>
      </c>
      <c r="AK470">
        <v>42</v>
      </c>
      <c r="AL470" t="s">
        <v>92</v>
      </c>
      <c r="AM470" t="s">
        <v>93</v>
      </c>
      <c r="AN470" t="s">
        <v>94</v>
      </c>
      <c r="AO470" t="s">
        <v>95</v>
      </c>
      <c r="AP470" t="s">
        <v>96</v>
      </c>
      <c r="AQ470" t="s">
        <v>74</v>
      </c>
      <c r="AR470" t="s">
        <v>97</v>
      </c>
      <c r="AS470" t="s">
        <v>98</v>
      </c>
      <c r="AT470" t="s">
        <v>436</v>
      </c>
      <c r="AU470">
        <v>2019</v>
      </c>
      <c r="AV470">
        <v>64</v>
      </c>
      <c r="AW470">
        <v>6</v>
      </c>
      <c r="AX470" t="s">
        <v>74</v>
      </c>
      <c r="AY470" t="s">
        <v>74</v>
      </c>
      <c r="AZ470" t="s">
        <v>74</v>
      </c>
      <c r="BA470" t="s">
        <v>74</v>
      </c>
      <c r="BB470" t="s">
        <v>74</v>
      </c>
      <c r="BC470" t="s">
        <v>74</v>
      </c>
      <c r="BD470">
        <v>65007</v>
      </c>
      <c r="BE470" t="s">
        <v>7594</v>
      </c>
      <c r="BF470" t="str">
        <f>HYPERLINK("http://dx.doi.org/10.1088/1361-6560/ab03e2","http://dx.doi.org/10.1088/1361-6560/ab03e2")</f>
        <v>http://dx.doi.org/10.1088/1361-6560/ab03e2</v>
      </c>
      <c r="BG470" t="s">
        <v>74</v>
      </c>
      <c r="BH470" t="s">
        <v>74</v>
      </c>
      <c r="BI470">
        <v>15</v>
      </c>
      <c r="BJ470" t="s">
        <v>101</v>
      </c>
      <c r="BK470" t="s">
        <v>102</v>
      </c>
      <c r="BL470" t="s">
        <v>103</v>
      </c>
      <c r="BM470" t="s">
        <v>6864</v>
      </c>
      <c r="BN470">
        <v>30708357</v>
      </c>
      <c r="BO470" t="s">
        <v>105</v>
      </c>
      <c r="BP470" t="s">
        <v>74</v>
      </c>
      <c r="BQ470" t="s">
        <v>74</v>
      </c>
      <c r="BR470" t="s">
        <v>106</v>
      </c>
      <c r="BS470" t="s">
        <v>7595</v>
      </c>
      <c r="BT470" t="str">
        <f>HYPERLINK("https%3A%2F%2Fwww.webofscience.com%2Fwos%2Fwoscc%2Ffull-record%2FWOS:000461060600001","View Full Record in Web of Science")</f>
        <v>View Full Record in Web of Science</v>
      </c>
    </row>
    <row r="471" spans="1:72" x14ac:dyDescent="0.25">
      <c r="A471" t="s">
        <v>72</v>
      </c>
      <c r="B471" t="s">
        <v>7596</v>
      </c>
      <c r="C471" t="s">
        <v>74</v>
      </c>
      <c r="D471" t="s">
        <v>74</v>
      </c>
      <c r="E471" t="s">
        <v>74</v>
      </c>
      <c r="F471" t="s">
        <v>7597</v>
      </c>
      <c r="G471" t="s">
        <v>74</v>
      </c>
      <c r="H471" t="s">
        <v>74</v>
      </c>
      <c r="I471" t="s">
        <v>7598</v>
      </c>
      <c r="J471" t="s">
        <v>77</v>
      </c>
      <c r="K471" t="s">
        <v>74</v>
      </c>
      <c r="L471" t="s">
        <v>74</v>
      </c>
      <c r="M471" t="s">
        <v>78</v>
      </c>
      <c r="N471" t="s">
        <v>79</v>
      </c>
      <c r="O471" t="s">
        <v>74</v>
      </c>
      <c r="P471" t="s">
        <v>74</v>
      </c>
      <c r="Q471" t="s">
        <v>74</v>
      </c>
      <c r="R471" t="s">
        <v>74</v>
      </c>
      <c r="S471" t="s">
        <v>74</v>
      </c>
      <c r="T471" t="s">
        <v>7599</v>
      </c>
      <c r="U471" t="s">
        <v>7600</v>
      </c>
      <c r="V471" t="s">
        <v>7601</v>
      </c>
      <c r="W471" t="s">
        <v>7602</v>
      </c>
      <c r="X471" t="s">
        <v>7603</v>
      </c>
      <c r="Y471" t="s">
        <v>7604</v>
      </c>
      <c r="Z471" t="s">
        <v>7605</v>
      </c>
      <c r="AA471" t="s">
        <v>7606</v>
      </c>
      <c r="AB471" t="s">
        <v>7607</v>
      </c>
      <c r="AC471" t="s">
        <v>7608</v>
      </c>
      <c r="AD471" t="s">
        <v>7609</v>
      </c>
      <c r="AE471" t="s">
        <v>7610</v>
      </c>
      <c r="AF471" t="s">
        <v>74</v>
      </c>
      <c r="AG471">
        <v>35</v>
      </c>
      <c r="AH471">
        <v>19</v>
      </c>
      <c r="AI471">
        <v>20</v>
      </c>
      <c r="AJ471">
        <v>0</v>
      </c>
      <c r="AK471">
        <v>2</v>
      </c>
      <c r="AL471" t="s">
        <v>92</v>
      </c>
      <c r="AM471" t="s">
        <v>93</v>
      </c>
      <c r="AN471" t="s">
        <v>94</v>
      </c>
      <c r="AO471" t="s">
        <v>95</v>
      </c>
      <c r="AP471" t="s">
        <v>96</v>
      </c>
      <c r="AQ471" t="s">
        <v>74</v>
      </c>
      <c r="AR471" t="s">
        <v>97</v>
      </c>
      <c r="AS471" t="s">
        <v>98</v>
      </c>
      <c r="AT471" t="s">
        <v>436</v>
      </c>
      <c r="AU471">
        <v>2019</v>
      </c>
      <c r="AV471">
        <v>64</v>
      </c>
      <c r="AW471">
        <v>5</v>
      </c>
      <c r="AX471" t="s">
        <v>74</v>
      </c>
      <c r="AY471" t="s">
        <v>74</v>
      </c>
      <c r="AZ471" t="s">
        <v>74</v>
      </c>
      <c r="BA471" t="s">
        <v>74</v>
      </c>
      <c r="BB471" t="s">
        <v>74</v>
      </c>
      <c r="BC471" t="s">
        <v>74</v>
      </c>
      <c r="BD471">
        <v>55001</v>
      </c>
      <c r="BE471" t="s">
        <v>7611</v>
      </c>
      <c r="BF471" t="str">
        <f>HYPERLINK("http://dx.doi.org/10.1088/1361-6560/ab0120","http://dx.doi.org/10.1088/1361-6560/ab0120")</f>
        <v>http://dx.doi.org/10.1088/1361-6560/ab0120</v>
      </c>
      <c r="BG471" t="s">
        <v>74</v>
      </c>
      <c r="BH471" t="s">
        <v>74</v>
      </c>
      <c r="BI471">
        <v>21</v>
      </c>
      <c r="BJ471" t="s">
        <v>101</v>
      </c>
      <c r="BK471" t="s">
        <v>102</v>
      </c>
      <c r="BL471" t="s">
        <v>103</v>
      </c>
      <c r="BM471" t="s">
        <v>5088</v>
      </c>
      <c r="BN471">
        <v>30673636</v>
      </c>
      <c r="BO471" t="s">
        <v>105</v>
      </c>
      <c r="BP471" t="s">
        <v>74</v>
      </c>
      <c r="BQ471" t="s">
        <v>74</v>
      </c>
      <c r="BR471" t="s">
        <v>106</v>
      </c>
      <c r="BS471" t="s">
        <v>7612</v>
      </c>
      <c r="BT471" t="str">
        <f>HYPERLINK("https%3A%2F%2Fwww.webofscience.com%2Fwos%2Fwoscc%2Ffull-record%2FWOS:000459325000001","View Full Record in Web of Science")</f>
        <v>View Full Record in Web of Science</v>
      </c>
    </row>
    <row r="472" spans="1:72" x14ac:dyDescent="0.25">
      <c r="A472" t="s">
        <v>72</v>
      </c>
      <c r="B472" t="s">
        <v>7613</v>
      </c>
      <c r="C472" t="s">
        <v>74</v>
      </c>
      <c r="D472" t="s">
        <v>74</v>
      </c>
      <c r="E472" t="s">
        <v>74</v>
      </c>
      <c r="F472" t="s">
        <v>7614</v>
      </c>
      <c r="G472" t="s">
        <v>74</v>
      </c>
      <c r="H472" t="s">
        <v>74</v>
      </c>
      <c r="I472" t="s">
        <v>7615</v>
      </c>
      <c r="J472" t="s">
        <v>77</v>
      </c>
      <c r="K472" t="s">
        <v>74</v>
      </c>
      <c r="L472" t="s">
        <v>74</v>
      </c>
      <c r="M472" t="s">
        <v>78</v>
      </c>
      <c r="N472" t="s">
        <v>79</v>
      </c>
      <c r="O472" t="s">
        <v>74</v>
      </c>
      <c r="P472" t="s">
        <v>74</v>
      </c>
      <c r="Q472" t="s">
        <v>74</v>
      </c>
      <c r="R472" t="s">
        <v>74</v>
      </c>
      <c r="S472" t="s">
        <v>74</v>
      </c>
      <c r="T472" t="s">
        <v>7616</v>
      </c>
      <c r="U472" t="s">
        <v>7617</v>
      </c>
      <c r="V472" t="s">
        <v>7618</v>
      </c>
      <c r="W472" t="s">
        <v>7619</v>
      </c>
      <c r="X472" t="s">
        <v>7620</v>
      </c>
      <c r="Y472" t="s">
        <v>7621</v>
      </c>
      <c r="Z472" t="s">
        <v>7622</v>
      </c>
      <c r="AA472" t="s">
        <v>7623</v>
      </c>
      <c r="AB472" t="s">
        <v>7624</v>
      </c>
      <c r="AC472" t="s">
        <v>7625</v>
      </c>
      <c r="AD472" t="s">
        <v>7626</v>
      </c>
      <c r="AE472" t="s">
        <v>7627</v>
      </c>
      <c r="AF472" t="s">
        <v>74</v>
      </c>
      <c r="AG472">
        <v>23</v>
      </c>
      <c r="AH472">
        <v>32</v>
      </c>
      <c r="AI472">
        <v>34</v>
      </c>
      <c r="AJ472">
        <v>0</v>
      </c>
      <c r="AK472">
        <v>9</v>
      </c>
      <c r="AL472" t="s">
        <v>92</v>
      </c>
      <c r="AM472" t="s">
        <v>93</v>
      </c>
      <c r="AN472" t="s">
        <v>94</v>
      </c>
      <c r="AO472" t="s">
        <v>95</v>
      </c>
      <c r="AP472" t="s">
        <v>96</v>
      </c>
      <c r="AQ472" t="s">
        <v>74</v>
      </c>
      <c r="AR472" t="s">
        <v>97</v>
      </c>
      <c r="AS472" t="s">
        <v>98</v>
      </c>
      <c r="AT472" t="s">
        <v>646</v>
      </c>
      <c r="AU472">
        <v>2019</v>
      </c>
      <c r="AV472">
        <v>64</v>
      </c>
      <c r="AW472">
        <v>4</v>
      </c>
      <c r="AX472" t="s">
        <v>74</v>
      </c>
      <c r="AY472" t="s">
        <v>74</v>
      </c>
      <c r="AZ472" t="s">
        <v>74</v>
      </c>
      <c r="BA472" t="s">
        <v>74</v>
      </c>
      <c r="BB472" t="s">
        <v>74</v>
      </c>
      <c r="BC472" t="s">
        <v>74</v>
      </c>
      <c r="BD472">
        <v>45007</v>
      </c>
      <c r="BE472" t="s">
        <v>7628</v>
      </c>
      <c r="BF472" t="str">
        <f>HYPERLINK("http://dx.doi.org/10.1088/1361-6560/aaf9f8","http://dx.doi.org/10.1088/1361-6560/aaf9f8")</f>
        <v>http://dx.doi.org/10.1088/1361-6560/aaf9f8</v>
      </c>
      <c r="BG472" t="s">
        <v>74</v>
      </c>
      <c r="BH472" t="s">
        <v>74</v>
      </c>
      <c r="BI472">
        <v>12</v>
      </c>
      <c r="BJ472" t="s">
        <v>101</v>
      </c>
      <c r="BK472" t="s">
        <v>102</v>
      </c>
      <c r="BL472" t="s">
        <v>103</v>
      </c>
      <c r="BM472" t="s">
        <v>3481</v>
      </c>
      <c r="BN472">
        <v>30566925</v>
      </c>
      <c r="BO472" t="s">
        <v>759</v>
      </c>
      <c r="BP472" t="s">
        <v>74</v>
      </c>
      <c r="BQ472" t="s">
        <v>74</v>
      </c>
      <c r="BR472" t="s">
        <v>106</v>
      </c>
      <c r="BS472" t="s">
        <v>7629</v>
      </c>
      <c r="BT472" t="str">
        <f>HYPERLINK("https%3A%2F%2Fwww.webofscience.com%2Fwos%2Fwoscc%2Ffull-record%2FWOS:000458045500002","View Full Record in Web of Science")</f>
        <v>View Full Record in Web of Science</v>
      </c>
    </row>
    <row r="473" spans="1:72" x14ac:dyDescent="0.25">
      <c r="A473" t="s">
        <v>72</v>
      </c>
      <c r="B473" t="s">
        <v>7630</v>
      </c>
      <c r="C473" t="s">
        <v>74</v>
      </c>
      <c r="D473" t="s">
        <v>74</v>
      </c>
      <c r="E473" t="s">
        <v>74</v>
      </c>
      <c r="F473" t="s">
        <v>7631</v>
      </c>
      <c r="G473" t="s">
        <v>74</v>
      </c>
      <c r="H473" t="s">
        <v>74</v>
      </c>
      <c r="I473" t="s">
        <v>7632</v>
      </c>
      <c r="J473" t="s">
        <v>77</v>
      </c>
      <c r="K473" t="s">
        <v>74</v>
      </c>
      <c r="L473" t="s">
        <v>74</v>
      </c>
      <c r="M473" t="s">
        <v>78</v>
      </c>
      <c r="N473" t="s">
        <v>79</v>
      </c>
      <c r="O473" t="s">
        <v>74</v>
      </c>
      <c r="P473" t="s">
        <v>74</v>
      </c>
      <c r="Q473" t="s">
        <v>74</v>
      </c>
      <c r="R473" t="s">
        <v>74</v>
      </c>
      <c r="S473" t="s">
        <v>74</v>
      </c>
      <c r="T473" t="s">
        <v>7633</v>
      </c>
      <c r="U473" t="s">
        <v>7634</v>
      </c>
      <c r="V473" t="s">
        <v>7635</v>
      </c>
      <c r="W473" t="s">
        <v>7636</v>
      </c>
      <c r="X473" t="s">
        <v>7637</v>
      </c>
      <c r="Y473" t="s">
        <v>7638</v>
      </c>
      <c r="Z473" t="s">
        <v>7639</v>
      </c>
      <c r="AA473" t="s">
        <v>7640</v>
      </c>
      <c r="AB473" t="s">
        <v>7641</v>
      </c>
      <c r="AC473" t="s">
        <v>7642</v>
      </c>
      <c r="AD473" t="s">
        <v>7643</v>
      </c>
      <c r="AE473" t="s">
        <v>7644</v>
      </c>
      <c r="AF473" t="s">
        <v>74</v>
      </c>
      <c r="AG473">
        <v>27</v>
      </c>
      <c r="AH473">
        <v>22</v>
      </c>
      <c r="AI473">
        <v>23</v>
      </c>
      <c r="AJ473">
        <v>0</v>
      </c>
      <c r="AK473">
        <v>73</v>
      </c>
      <c r="AL473" t="s">
        <v>157</v>
      </c>
      <c r="AM473" t="s">
        <v>93</v>
      </c>
      <c r="AN473" t="s">
        <v>94</v>
      </c>
      <c r="AO473" t="s">
        <v>95</v>
      </c>
      <c r="AP473" t="s">
        <v>96</v>
      </c>
      <c r="AQ473" t="s">
        <v>74</v>
      </c>
      <c r="AR473" t="s">
        <v>97</v>
      </c>
      <c r="AS473" t="s">
        <v>98</v>
      </c>
      <c r="AT473" t="s">
        <v>646</v>
      </c>
      <c r="AU473">
        <v>2019</v>
      </c>
      <c r="AV473">
        <v>64</v>
      </c>
      <c r="AW473">
        <v>3</v>
      </c>
      <c r="AX473" t="s">
        <v>74</v>
      </c>
      <c r="AY473" t="s">
        <v>74</v>
      </c>
      <c r="AZ473" t="s">
        <v>74</v>
      </c>
      <c r="BA473" t="s">
        <v>74</v>
      </c>
      <c r="BB473" t="s">
        <v>74</v>
      </c>
      <c r="BC473" t="s">
        <v>74</v>
      </c>
      <c r="BD473">
        <v>35017</v>
      </c>
      <c r="BE473" t="s">
        <v>7645</v>
      </c>
      <c r="BF473" t="str">
        <f>HYPERLINK("http://dx.doi.org/10.1088/1361-6560/aafab0","http://dx.doi.org/10.1088/1361-6560/aafab0")</f>
        <v>http://dx.doi.org/10.1088/1361-6560/aafab0</v>
      </c>
      <c r="BG473" t="s">
        <v>74</v>
      </c>
      <c r="BH473" t="s">
        <v>74</v>
      </c>
      <c r="BI473">
        <v>12</v>
      </c>
      <c r="BJ473" t="s">
        <v>101</v>
      </c>
      <c r="BK473" t="s">
        <v>102</v>
      </c>
      <c r="BL473" t="s">
        <v>103</v>
      </c>
      <c r="BM473" t="s">
        <v>889</v>
      </c>
      <c r="BN473">
        <v>30702087</v>
      </c>
      <c r="BO473" t="s">
        <v>74</v>
      </c>
      <c r="BP473" t="s">
        <v>74</v>
      </c>
      <c r="BQ473" t="s">
        <v>74</v>
      </c>
      <c r="BR473" t="s">
        <v>106</v>
      </c>
      <c r="BS473" t="s">
        <v>7646</v>
      </c>
      <c r="BT473" t="str">
        <f>HYPERLINK("https%3A%2F%2Fwww.webofscience.com%2Fwos%2Fwoscc%2Ffull-record%2FWOS:000457439100002","View Full Record in Web of Science")</f>
        <v>View Full Record in Web of Science</v>
      </c>
    </row>
    <row r="474" spans="1:72" x14ac:dyDescent="0.25">
      <c r="A474" t="s">
        <v>72</v>
      </c>
      <c r="B474" t="s">
        <v>7647</v>
      </c>
      <c r="C474" t="s">
        <v>74</v>
      </c>
      <c r="D474" t="s">
        <v>74</v>
      </c>
      <c r="E474" t="s">
        <v>74</v>
      </c>
      <c r="F474" t="s">
        <v>7648</v>
      </c>
      <c r="G474" t="s">
        <v>74</v>
      </c>
      <c r="H474" t="s">
        <v>74</v>
      </c>
      <c r="I474" t="s">
        <v>7649</v>
      </c>
      <c r="J474" t="s">
        <v>77</v>
      </c>
      <c r="K474" t="s">
        <v>74</v>
      </c>
      <c r="L474" t="s">
        <v>74</v>
      </c>
      <c r="M474" t="s">
        <v>78</v>
      </c>
      <c r="N474" t="s">
        <v>79</v>
      </c>
      <c r="O474" t="s">
        <v>74</v>
      </c>
      <c r="P474" t="s">
        <v>74</v>
      </c>
      <c r="Q474" t="s">
        <v>74</v>
      </c>
      <c r="R474" t="s">
        <v>74</v>
      </c>
      <c r="S474" t="s">
        <v>74</v>
      </c>
      <c r="T474" t="s">
        <v>7650</v>
      </c>
      <c r="U474" t="s">
        <v>7651</v>
      </c>
      <c r="V474" t="s">
        <v>7652</v>
      </c>
      <c r="W474" t="s">
        <v>7653</v>
      </c>
      <c r="X474" t="s">
        <v>7654</v>
      </c>
      <c r="Y474" t="s">
        <v>7655</v>
      </c>
      <c r="Z474" t="s">
        <v>7656</v>
      </c>
      <c r="AA474" t="s">
        <v>7657</v>
      </c>
      <c r="AB474" t="s">
        <v>7658</v>
      </c>
      <c r="AC474" t="s">
        <v>7659</v>
      </c>
      <c r="AD474" t="s">
        <v>3870</v>
      </c>
      <c r="AE474" t="s">
        <v>7660</v>
      </c>
      <c r="AF474" t="s">
        <v>74</v>
      </c>
      <c r="AG474">
        <v>36</v>
      </c>
      <c r="AH474">
        <v>8</v>
      </c>
      <c r="AI474">
        <v>8</v>
      </c>
      <c r="AJ474">
        <v>1</v>
      </c>
      <c r="AK474">
        <v>6</v>
      </c>
      <c r="AL474" t="s">
        <v>92</v>
      </c>
      <c r="AM474" t="s">
        <v>93</v>
      </c>
      <c r="AN474" t="s">
        <v>94</v>
      </c>
      <c r="AO474" t="s">
        <v>95</v>
      </c>
      <c r="AP474" t="s">
        <v>96</v>
      </c>
      <c r="AQ474" t="s">
        <v>74</v>
      </c>
      <c r="AR474" t="s">
        <v>97</v>
      </c>
      <c r="AS474" t="s">
        <v>98</v>
      </c>
      <c r="AT474" t="s">
        <v>471</v>
      </c>
      <c r="AU474">
        <v>2019</v>
      </c>
      <c r="AV474">
        <v>64</v>
      </c>
      <c r="AW474">
        <v>1</v>
      </c>
      <c r="AX474" t="s">
        <v>74</v>
      </c>
      <c r="AY474" t="s">
        <v>74</v>
      </c>
      <c r="AZ474" t="s">
        <v>74</v>
      </c>
      <c r="BA474" t="s">
        <v>74</v>
      </c>
      <c r="BB474" t="s">
        <v>74</v>
      </c>
      <c r="BC474" t="s">
        <v>74</v>
      </c>
      <c r="BD474">
        <v>15015</v>
      </c>
      <c r="BE474" t="s">
        <v>7661</v>
      </c>
      <c r="BF474" t="str">
        <f>HYPERLINK("http://dx.doi.org/10.1088/1361-6560/aaf400","http://dx.doi.org/10.1088/1361-6560/aaf400")</f>
        <v>http://dx.doi.org/10.1088/1361-6560/aaf400</v>
      </c>
      <c r="BG474" t="s">
        <v>74</v>
      </c>
      <c r="BH474" t="s">
        <v>74</v>
      </c>
      <c r="BI474">
        <v>13</v>
      </c>
      <c r="BJ474" t="s">
        <v>101</v>
      </c>
      <c r="BK474" t="s">
        <v>102</v>
      </c>
      <c r="BL474" t="s">
        <v>103</v>
      </c>
      <c r="BM474" t="s">
        <v>7662</v>
      </c>
      <c r="BN474">
        <v>30523890</v>
      </c>
      <c r="BO474" t="s">
        <v>420</v>
      </c>
      <c r="BP474" t="s">
        <v>74</v>
      </c>
      <c r="BQ474" t="s">
        <v>74</v>
      </c>
      <c r="BR474" t="s">
        <v>106</v>
      </c>
      <c r="BS474" t="s">
        <v>7663</v>
      </c>
      <c r="BT474" t="str">
        <f>HYPERLINK("https%3A%2F%2Fwww.webofscience.com%2Fwos%2Fwoscc%2Ffull-record%2FWOS:000455131100001","View Full Record in Web of Science")</f>
        <v>View Full Record in Web of Science</v>
      </c>
    </row>
    <row r="475" spans="1:72" x14ac:dyDescent="0.25">
      <c r="A475" t="s">
        <v>72</v>
      </c>
      <c r="B475" t="s">
        <v>7664</v>
      </c>
      <c r="C475" t="s">
        <v>74</v>
      </c>
      <c r="D475" t="s">
        <v>74</v>
      </c>
      <c r="E475" t="s">
        <v>74</v>
      </c>
      <c r="F475" t="s">
        <v>7665</v>
      </c>
      <c r="G475" t="s">
        <v>74</v>
      </c>
      <c r="H475" t="s">
        <v>74</v>
      </c>
      <c r="I475" t="s">
        <v>7666</v>
      </c>
      <c r="J475" t="s">
        <v>77</v>
      </c>
      <c r="K475" t="s">
        <v>74</v>
      </c>
      <c r="L475" t="s">
        <v>74</v>
      </c>
      <c r="M475" t="s">
        <v>78</v>
      </c>
      <c r="N475" t="s">
        <v>79</v>
      </c>
      <c r="O475" t="s">
        <v>74</v>
      </c>
      <c r="P475" t="s">
        <v>74</v>
      </c>
      <c r="Q475" t="s">
        <v>74</v>
      </c>
      <c r="R475" t="s">
        <v>74</v>
      </c>
      <c r="S475" t="s">
        <v>74</v>
      </c>
      <c r="T475" t="s">
        <v>7667</v>
      </c>
      <c r="U475" t="s">
        <v>7668</v>
      </c>
      <c r="V475" t="s">
        <v>7669</v>
      </c>
      <c r="W475" t="s">
        <v>7670</v>
      </c>
      <c r="X475" t="s">
        <v>7671</v>
      </c>
      <c r="Y475" t="s">
        <v>7672</v>
      </c>
      <c r="Z475" t="s">
        <v>7673</v>
      </c>
      <c r="AA475" t="s">
        <v>7674</v>
      </c>
      <c r="AB475" t="s">
        <v>7675</v>
      </c>
      <c r="AC475" t="s">
        <v>7676</v>
      </c>
      <c r="AD475" t="s">
        <v>7677</v>
      </c>
      <c r="AE475" t="s">
        <v>7678</v>
      </c>
      <c r="AF475" t="s">
        <v>74</v>
      </c>
      <c r="AG475">
        <v>32</v>
      </c>
      <c r="AH475">
        <v>5</v>
      </c>
      <c r="AI475">
        <v>5</v>
      </c>
      <c r="AJ475">
        <v>3</v>
      </c>
      <c r="AK475">
        <v>13</v>
      </c>
      <c r="AL475" t="s">
        <v>157</v>
      </c>
      <c r="AM475" t="s">
        <v>93</v>
      </c>
      <c r="AN475" t="s">
        <v>94</v>
      </c>
      <c r="AO475" t="s">
        <v>95</v>
      </c>
      <c r="AP475" t="s">
        <v>96</v>
      </c>
      <c r="AQ475" t="s">
        <v>74</v>
      </c>
      <c r="AR475" t="s">
        <v>97</v>
      </c>
      <c r="AS475" t="s">
        <v>98</v>
      </c>
      <c r="AT475" t="s">
        <v>471</v>
      </c>
      <c r="AU475">
        <v>2019</v>
      </c>
      <c r="AV475">
        <v>64</v>
      </c>
      <c r="AW475">
        <v>2</v>
      </c>
      <c r="AX475" t="s">
        <v>74</v>
      </c>
      <c r="AY475" t="s">
        <v>74</v>
      </c>
      <c r="AZ475" t="s">
        <v>74</v>
      </c>
      <c r="BA475" t="s">
        <v>74</v>
      </c>
      <c r="BB475" t="s">
        <v>74</v>
      </c>
      <c r="BC475" t="s">
        <v>74</v>
      </c>
      <c r="BD475">
        <v>25018</v>
      </c>
      <c r="BE475" t="s">
        <v>7679</v>
      </c>
      <c r="BF475" t="str">
        <f>HYPERLINK("http://dx.doi.org/10.1088/1361-6560/aafa06","http://dx.doi.org/10.1088/1361-6560/aafa06")</f>
        <v>http://dx.doi.org/10.1088/1361-6560/aafa06</v>
      </c>
      <c r="BG475" t="s">
        <v>74</v>
      </c>
      <c r="BH475" t="s">
        <v>74</v>
      </c>
      <c r="BI475">
        <v>17</v>
      </c>
      <c r="BJ475" t="s">
        <v>101</v>
      </c>
      <c r="BK475" t="s">
        <v>102</v>
      </c>
      <c r="BL475" t="s">
        <v>103</v>
      </c>
      <c r="BM475" t="s">
        <v>4843</v>
      </c>
      <c r="BN475">
        <v>30566907</v>
      </c>
      <c r="BO475" t="s">
        <v>105</v>
      </c>
      <c r="BP475" t="s">
        <v>74</v>
      </c>
      <c r="BQ475" t="s">
        <v>74</v>
      </c>
      <c r="BR475" t="s">
        <v>106</v>
      </c>
      <c r="BS475" t="s">
        <v>7680</v>
      </c>
      <c r="BT475" t="str">
        <f>HYPERLINK("https%3A%2F%2Fwww.webofscience.com%2Fwos%2Fwoscc%2Ffull-record%2FWOS:000456268100001","View Full Record in Web of Science")</f>
        <v>View Full Record in Web of Science</v>
      </c>
    </row>
    <row r="476" spans="1:72" x14ac:dyDescent="0.25">
      <c r="A476" t="s">
        <v>72</v>
      </c>
      <c r="B476" t="s">
        <v>7681</v>
      </c>
      <c r="C476" t="s">
        <v>74</v>
      </c>
      <c r="D476" t="s">
        <v>74</v>
      </c>
      <c r="E476" t="s">
        <v>74</v>
      </c>
      <c r="F476" t="s">
        <v>7682</v>
      </c>
      <c r="G476" t="s">
        <v>74</v>
      </c>
      <c r="H476" t="s">
        <v>74</v>
      </c>
      <c r="I476" t="s">
        <v>7683</v>
      </c>
      <c r="J476" t="s">
        <v>77</v>
      </c>
      <c r="K476" t="s">
        <v>74</v>
      </c>
      <c r="L476" t="s">
        <v>74</v>
      </c>
      <c r="M476" t="s">
        <v>78</v>
      </c>
      <c r="N476" t="s">
        <v>79</v>
      </c>
      <c r="O476" t="s">
        <v>74</v>
      </c>
      <c r="P476" t="s">
        <v>74</v>
      </c>
      <c r="Q476" t="s">
        <v>74</v>
      </c>
      <c r="R476" t="s">
        <v>74</v>
      </c>
      <c r="S476" t="s">
        <v>74</v>
      </c>
      <c r="T476" t="s">
        <v>7684</v>
      </c>
      <c r="U476" t="s">
        <v>7685</v>
      </c>
      <c r="V476" t="s">
        <v>7686</v>
      </c>
      <c r="W476" t="s">
        <v>7687</v>
      </c>
      <c r="X476" t="s">
        <v>7688</v>
      </c>
      <c r="Y476" t="s">
        <v>7689</v>
      </c>
      <c r="Z476" t="s">
        <v>7690</v>
      </c>
      <c r="AA476" t="s">
        <v>7691</v>
      </c>
      <c r="AB476" t="s">
        <v>7692</v>
      </c>
      <c r="AC476" t="s">
        <v>7693</v>
      </c>
      <c r="AD476" t="s">
        <v>7694</v>
      </c>
      <c r="AE476" t="s">
        <v>7695</v>
      </c>
      <c r="AF476" t="s">
        <v>74</v>
      </c>
      <c r="AG476">
        <v>29</v>
      </c>
      <c r="AH476">
        <v>4</v>
      </c>
      <c r="AI476">
        <v>5</v>
      </c>
      <c r="AJ476">
        <v>0</v>
      </c>
      <c r="AK476">
        <v>2</v>
      </c>
      <c r="AL476" t="s">
        <v>92</v>
      </c>
      <c r="AM476" t="s">
        <v>93</v>
      </c>
      <c r="AN476" t="s">
        <v>94</v>
      </c>
      <c r="AO476" t="s">
        <v>95</v>
      </c>
      <c r="AP476" t="s">
        <v>96</v>
      </c>
      <c r="AQ476" t="s">
        <v>74</v>
      </c>
      <c r="AR476" t="s">
        <v>97</v>
      </c>
      <c r="AS476" t="s">
        <v>98</v>
      </c>
      <c r="AT476" t="s">
        <v>471</v>
      </c>
      <c r="AU476">
        <v>2019</v>
      </c>
      <c r="AV476">
        <v>64</v>
      </c>
      <c r="AW476">
        <v>2</v>
      </c>
      <c r="AX476" t="s">
        <v>74</v>
      </c>
      <c r="AY476" t="s">
        <v>74</v>
      </c>
      <c r="AZ476" t="s">
        <v>74</v>
      </c>
      <c r="BA476" t="s">
        <v>74</v>
      </c>
      <c r="BB476" t="s">
        <v>74</v>
      </c>
      <c r="BC476" t="s">
        <v>74</v>
      </c>
      <c r="BD476">
        <v>25014</v>
      </c>
      <c r="BE476" t="s">
        <v>7696</v>
      </c>
      <c r="BF476" t="str">
        <f>HYPERLINK("http://dx.doi.org/10.1088/1361-6560/aaf5ed","http://dx.doi.org/10.1088/1361-6560/aaf5ed")</f>
        <v>http://dx.doi.org/10.1088/1361-6560/aaf5ed</v>
      </c>
      <c r="BG476" t="s">
        <v>74</v>
      </c>
      <c r="BH476" t="s">
        <v>74</v>
      </c>
      <c r="BI476">
        <v>14</v>
      </c>
      <c r="BJ476" t="s">
        <v>101</v>
      </c>
      <c r="BK476" t="s">
        <v>102</v>
      </c>
      <c r="BL476" t="s">
        <v>103</v>
      </c>
      <c r="BM476" t="s">
        <v>3082</v>
      </c>
      <c r="BN476">
        <v>30628584</v>
      </c>
      <c r="BO476" t="s">
        <v>74</v>
      </c>
      <c r="BP476" t="s">
        <v>74</v>
      </c>
      <c r="BQ476" t="s">
        <v>74</v>
      </c>
      <c r="BR476" t="s">
        <v>106</v>
      </c>
      <c r="BS476" t="s">
        <v>7697</v>
      </c>
      <c r="BT476" t="str">
        <f>HYPERLINK("https%3A%2F%2Fwww.webofscience.com%2Fwos%2Fwoscc%2Ffull-record%2FWOS:000455823300011","View Full Record in Web of Science")</f>
        <v>View Full Record in Web of Science</v>
      </c>
    </row>
    <row r="477" spans="1:72" x14ac:dyDescent="0.25">
      <c r="A477" t="s">
        <v>72</v>
      </c>
      <c r="B477" t="s">
        <v>7698</v>
      </c>
      <c r="C477" t="s">
        <v>74</v>
      </c>
      <c r="D477" t="s">
        <v>74</v>
      </c>
      <c r="E477" t="s">
        <v>74</v>
      </c>
      <c r="F477" t="s">
        <v>7699</v>
      </c>
      <c r="G477" t="s">
        <v>74</v>
      </c>
      <c r="H477" t="s">
        <v>74</v>
      </c>
      <c r="I477" t="s">
        <v>7700</v>
      </c>
      <c r="J477" t="s">
        <v>77</v>
      </c>
      <c r="K477" t="s">
        <v>74</v>
      </c>
      <c r="L477" t="s">
        <v>74</v>
      </c>
      <c r="M477" t="s">
        <v>78</v>
      </c>
      <c r="N477" t="s">
        <v>79</v>
      </c>
      <c r="O477" t="s">
        <v>74</v>
      </c>
      <c r="P477" t="s">
        <v>74</v>
      </c>
      <c r="Q477" t="s">
        <v>74</v>
      </c>
      <c r="R477" t="s">
        <v>74</v>
      </c>
      <c r="S477" t="s">
        <v>74</v>
      </c>
      <c r="T477" t="s">
        <v>7701</v>
      </c>
      <c r="U477" t="s">
        <v>7702</v>
      </c>
      <c r="V477" t="s">
        <v>7703</v>
      </c>
      <c r="W477" t="s">
        <v>7704</v>
      </c>
      <c r="X477" t="s">
        <v>7705</v>
      </c>
      <c r="Y477" t="s">
        <v>7706</v>
      </c>
      <c r="Z477" t="s">
        <v>7707</v>
      </c>
      <c r="AA477" t="s">
        <v>7708</v>
      </c>
      <c r="AB477" t="s">
        <v>7709</v>
      </c>
      <c r="AC477" t="s">
        <v>7710</v>
      </c>
      <c r="AD477" t="s">
        <v>7711</v>
      </c>
      <c r="AE477" t="s">
        <v>7712</v>
      </c>
      <c r="AF477" t="s">
        <v>74</v>
      </c>
      <c r="AG477">
        <v>44</v>
      </c>
      <c r="AH477">
        <v>108</v>
      </c>
      <c r="AI477">
        <v>109</v>
      </c>
      <c r="AJ477">
        <v>1</v>
      </c>
      <c r="AK477">
        <v>20</v>
      </c>
      <c r="AL477" t="s">
        <v>157</v>
      </c>
      <c r="AM477" t="s">
        <v>93</v>
      </c>
      <c r="AN477" t="s">
        <v>94</v>
      </c>
      <c r="AO477" t="s">
        <v>95</v>
      </c>
      <c r="AP477" t="s">
        <v>96</v>
      </c>
      <c r="AQ477" t="s">
        <v>74</v>
      </c>
      <c r="AR477" t="s">
        <v>97</v>
      </c>
      <c r="AS477" t="s">
        <v>98</v>
      </c>
      <c r="AT477" t="s">
        <v>137</v>
      </c>
      <c r="AU477">
        <v>2019</v>
      </c>
      <c r="AV477">
        <v>64</v>
      </c>
      <c r="AW477">
        <v>22</v>
      </c>
      <c r="AX477" t="s">
        <v>74</v>
      </c>
      <c r="AY477" t="s">
        <v>74</v>
      </c>
      <c r="AZ477" t="s">
        <v>74</v>
      </c>
      <c r="BA477" t="s">
        <v>74</v>
      </c>
      <c r="BB477" t="s">
        <v>74</v>
      </c>
      <c r="BC477" t="s">
        <v>74</v>
      </c>
      <c r="BD477">
        <v>225004</v>
      </c>
      <c r="BE477" t="s">
        <v>7713</v>
      </c>
      <c r="BF477" t="str">
        <f>HYPERLINK("http://dx.doi.org/10.1088/1361-6560/ab4d8c","http://dx.doi.org/10.1088/1361-6560/ab4d8c")</f>
        <v>http://dx.doi.org/10.1088/1361-6560/ab4d8c</v>
      </c>
      <c r="BG477" t="s">
        <v>74</v>
      </c>
      <c r="BH477" t="s">
        <v>74</v>
      </c>
      <c r="BI477">
        <v>16</v>
      </c>
      <c r="BJ477" t="s">
        <v>101</v>
      </c>
      <c r="BK477" t="s">
        <v>102</v>
      </c>
      <c r="BL477" t="s">
        <v>103</v>
      </c>
      <c r="BM477" t="s">
        <v>7714</v>
      </c>
      <c r="BN477">
        <v>31610527</v>
      </c>
      <c r="BO477" t="s">
        <v>74</v>
      </c>
      <c r="BP477" t="s">
        <v>74</v>
      </c>
      <c r="BQ477" t="s">
        <v>74</v>
      </c>
      <c r="BR477" t="s">
        <v>106</v>
      </c>
      <c r="BS477" t="s">
        <v>7715</v>
      </c>
      <c r="BT477" t="str">
        <f>HYPERLINK("https%3A%2F%2Fwww.webofscience.com%2Fwos%2Fwoscc%2Ffull-record%2FWOS:000499353200001","View Full Record in Web of Science")</f>
        <v>View Full Record in Web of Science</v>
      </c>
    </row>
    <row r="478" spans="1:72" x14ac:dyDescent="0.25">
      <c r="A478" t="s">
        <v>72</v>
      </c>
      <c r="B478" t="s">
        <v>307</v>
      </c>
      <c r="C478" t="s">
        <v>74</v>
      </c>
      <c r="D478" t="s">
        <v>74</v>
      </c>
      <c r="E478" t="s">
        <v>74</v>
      </c>
      <c r="F478" t="s">
        <v>308</v>
      </c>
      <c r="G478" t="s">
        <v>74</v>
      </c>
      <c r="H478" t="s">
        <v>74</v>
      </c>
      <c r="I478" t="s">
        <v>7716</v>
      </c>
      <c r="J478" t="s">
        <v>77</v>
      </c>
      <c r="K478" t="s">
        <v>74</v>
      </c>
      <c r="L478" t="s">
        <v>74</v>
      </c>
      <c r="M478" t="s">
        <v>78</v>
      </c>
      <c r="N478" t="s">
        <v>79</v>
      </c>
      <c r="O478" t="s">
        <v>74</v>
      </c>
      <c r="P478" t="s">
        <v>74</v>
      </c>
      <c r="Q478" t="s">
        <v>74</v>
      </c>
      <c r="R478" t="s">
        <v>74</v>
      </c>
      <c r="S478" t="s">
        <v>74</v>
      </c>
      <c r="T478" t="s">
        <v>7717</v>
      </c>
      <c r="U478" t="s">
        <v>7718</v>
      </c>
      <c r="V478" t="s">
        <v>7719</v>
      </c>
      <c r="W478" t="s">
        <v>313</v>
      </c>
      <c r="X478" t="s">
        <v>314</v>
      </c>
      <c r="Y478" t="s">
        <v>315</v>
      </c>
      <c r="Z478" t="s">
        <v>316</v>
      </c>
      <c r="AA478" t="s">
        <v>7720</v>
      </c>
      <c r="AB478" t="s">
        <v>318</v>
      </c>
      <c r="AC478" t="s">
        <v>7721</v>
      </c>
      <c r="AD478" t="s">
        <v>7722</v>
      </c>
      <c r="AE478" t="s">
        <v>7723</v>
      </c>
      <c r="AF478" t="s">
        <v>74</v>
      </c>
      <c r="AG478">
        <v>41</v>
      </c>
      <c r="AH478">
        <v>2</v>
      </c>
      <c r="AI478">
        <v>2</v>
      </c>
      <c r="AJ478">
        <v>1</v>
      </c>
      <c r="AK478">
        <v>9</v>
      </c>
      <c r="AL478" t="s">
        <v>92</v>
      </c>
      <c r="AM478" t="s">
        <v>93</v>
      </c>
      <c r="AN478" t="s">
        <v>94</v>
      </c>
      <c r="AO478" t="s">
        <v>95</v>
      </c>
      <c r="AP478" t="s">
        <v>96</v>
      </c>
      <c r="AQ478" t="s">
        <v>74</v>
      </c>
      <c r="AR478" t="s">
        <v>97</v>
      </c>
      <c r="AS478" t="s">
        <v>98</v>
      </c>
      <c r="AT478" t="s">
        <v>137</v>
      </c>
      <c r="AU478">
        <v>2019</v>
      </c>
      <c r="AV478">
        <v>64</v>
      </c>
      <c r="AW478">
        <v>21</v>
      </c>
      <c r="AX478" t="s">
        <v>74</v>
      </c>
      <c r="AY478" t="s">
        <v>74</v>
      </c>
      <c r="AZ478" t="s">
        <v>74</v>
      </c>
      <c r="BA478" t="s">
        <v>74</v>
      </c>
      <c r="BB478" t="s">
        <v>74</v>
      </c>
      <c r="BC478" t="s">
        <v>74</v>
      </c>
      <c r="BD478">
        <v>215013</v>
      </c>
      <c r="BE478" t="s">
        <v>7724</v>
      </c>
      <c r="BF478" t="str">
        <f>HYPERLINK("http://dx.doi.org/10.1088/1361-6560/ab452f","http://dx.doi.org/10.1088/1361-6560/ab452f")</f>
        <v>http://dx.doi.org/10.1088/1361-6560/ab452f</v>
      </c>
      <c r="BG478" t="s">
        <v>74</v>
      </c>
      <c r="BH478" t="s">
        <v>74</v>
      </c>
      <c r="BI478">
        <v>16</v>
      </c>
      <c r="BJ478" t="s">
        <v>101</v>
      </c>
      <c r="BK478" t="s">
        <v>102</v>
      </c>
      <c r="BL478" t="s">
        <v>103</v>
      </c>
      <c r="BM478" t="s">
        <v>7725</v>
      </c>
      <c r="BN478">
        <v>31530762</v>
      </c>
      <c r="BO478" t="s">
        <v>74</v>
      </c>
      <c r="BP478" t="s">
        <v>74</v>
      </c>
      <c r="BQ478" t="s">
        <v>74</v>
      </c>
      <c r="BR478" t="s">
        <v>106</v>
      </c>
      <c r="BS478" t="s">
        <v>7726</v>
      </c>
      <c r="BT478" t="str">
        <f>HYPERLINK("https%3A%2F%2Fwww.webofscience.com%2Fwos%2Fwoscc%2Ffull-record%2FWOS:000494489400001","View Full Record in Web of Science")</f>
        <v>View Full Record in Web of Science</v>
      </c>
    </row>
    <row r="479" spans="1:72" x14ac:dyDescent="0.25">
      <c r="A479" t="s">
        <v>72</v>
      </c>
      <c r="B479" t="s">
        <v>7727</v>
      </c>
      <c r="C479" t="s">
        <v>74</v>
      </c>
      <c r="D479" t="s">
        <v>74</v>
      </c>
      <c r="E479" t="s">
        <v>74</v>
      </c>
      <c r="F479" t="s">
        <v>7728</v>
      </c>
      <c r="G479" t="s">
        <v>74</v>
      </c>
      <c r="H479" t="s">
        <v>74</v>
      </c>
      <c r="I479" t="s">
        <v>7729</v>
      </c>
      <c r="J479" t="s">
        <v>77</v>
      </c>
      <c r="K479" t="s">
        <v>74</v>
      </c>
      <c r="L479" t="s">
        <v>74</v>
      </c>
      <c r="M479" t="s">
        <v>78</v>
      </c>
      <c r="N479" t="s">
        <v>79</v>
      </c>
      <c r="O479" t="s">
        <v>74</v>
      </c>
      <c r="P479" t="s">
        <v>74</v>
      </c>
      <c r="Q479" t="s">
        <v>74</v>
      </c>
      <c r="R479" t="s">
        <v>74</v>
      </c>
      <c r="S479" t="s">
        <v>74</v>
      </c>
      <c r="T479" t="s">
        <v>7730</v>
      </c>
      <c r="U479" t="s">
        <v>7731</v>
      </c>
      <c r="V479" t="s">
        <v>7732</v>
      </c>
      <c r="W479" t="s">
        <v>7733</v>
      </c>
      <c r="X479" t="s">
        <v>7734</v>
      </c>
      <c r="Y479" t="s">
        <v>7735</v>
      </c>
      <c r="Z479" t="s">
        <v>7736</v>
      </c>
      <c r="AA479" t="s">
        <v>7737</v>
      </c>
      <c r="AB479" t="s">
        <v>7738</v>
      </c>
      <c r="AC479" t="s">
        <v>7739</v>
      </c>
      <c r="AD479" t="s">
        <v>7740</v>
      </c>
      <c r="AE479" t="s">
        <v>7741</v>
      </c>
      <c r="AF479" t="s">
        <v>74</v>
      </c>
      <c r="AG479">
        <v>39</v>
      </c>
      <c r="AH479">
        <v>3</v>
      </c>
      <c r="AI479">
        <v>3</v>
      </c>
      <c r="AJ479">
        <v>0</v>
      </c>
      <c r="AK479">
        <v>7</v>
      </c>
      <c r="AL479" t="s">
        <v>92</v>
      </c>
      <c r="AM479" t="s">
        <v>93</v>
      </c>
      <c r="AN479" t="s">
        <v>94</v>
      </c>
      <c r="AO479" t="s">
        <v>95</v>
      </c>
      <c r="AP479" t="s">
        <v>96</v>
      </c>
      <c r="AQ479" t="s">
        <v>74</v>
      </c>
      <c r="AR479" t="s">
        <v>97</v>
      </c>
      <c r="AS479" t="s">
        <v>98</v>
      </c>
      <c r="AT479" t="s">
        <v>176</v>
      </c>
      <c r="AU479">
        <v>2019</v>
      </c>
      <c r="AV479">
        <v>64</v>
      </c>
      <c r="AW479">
        <v>17</v>
      </c>
      <c r="AX479" t="s">
        <v>74</v>
      </c>
      <c r="AY479" t="s">
        <v>74</v>
      </c>
      <c r="AZ479" t="s">
        <v>74</v>
      </c>
      <c r="BA479" t="s">
        <v>74</v>
      </c>
      <c r="BB479" t="s">
        <v>74</v>
      </c>
      <c r="BC479" t="s">
        <v>74</v>
      </c>
      <c r="BD479">
        <v>175002</v>
      </c>
      <c r="BE479" t="s">
        <v>7742</v>
      </c>
      <c r="BF479" t="str">
        <f>HYPERLINK("http://dx.doi.org/10.1088/1361-6560/ab35b4","http://dx.doi.org/10.1088/1361-6560/ab35b4")</f>
        <v>http://dx.doi.org/10.1088/1361-6560/ab35b4</v>
      </c>
      <c r="BG479" t="s">
        <v>74</v>
      </c>
      <c r="BH479" t="s">
        <v>74</v>
      </c>
      <c r="BI479">
        <v>17</v>
      </c>
      <c r="BJ479" t="s">
        <v>101</v>
      </c>
      <c r="BK479" t="s">
        <v>102</v>
      </c>
      <c r="BL479" t="s">
        <v>103</v>
      </c>
      <c r="BM479" t="s">
        <v>776</v>
      </c>
      <c r="BN479">
        <v>31344691</v>
      </c>
      <c r="BO479" t="s">
        <v>74</v>
      </c>
      <c r="BP479" t="s">
        <v>74</v>
      </c>
      <c r="BQ479" t="s">
        <v>74</v>
      </c>
      <c r="BR479" t="s">
        <v>106</v>
      </c>
      <c r="BS479" t="s">
        <v>7743</v>
      </c>
      <c r="BT479" t="str">
        <f>HYPERLINK("https%3A%2F%2Fwww.webofscience.com%2Fwos%2Fwoscc%2Ffull-record%2FWOS:000483095200002","View Full Record in Web of Science")</f>
        <v>View Full Record in Web of Science</v>
      </c>
    </row>
    <row r="480" spans="1:72" x14ac:dyDescent="0.25">
      <c r="A480" t="s">
        <v>72</v>
      </c>
      <c r="B480" t="s">
        <v>7744</v>
      </c>
      <c r="C480" t="s">
        <v>74</v>
      </c>
      <c r="D480" t="s">
        <v>74</v>
      </c>
      <c r="E480" t="s">
        <v>74</v>
      </c>
      <c r="F480" t="s">
        <v>7745</v>
      </c>
      <c r="G480" t="s">
        <v>74</v>
      </c>
      <c r="H480" t="s">
        <v>74</v>
      </c>
      <c r="I480" t="s">
        <v>7746</v>
      </c>
      <c r="J480" t="s">
        <v>77</v>
      </c>
      <c r="K480" t="s">
        <v>74</v>
      </c>
      <c r="L480" t="s">
        <v>74</v>
      </c>
      <c r="M480" t="s">
        <v>78</v>
      </c>
      <c r="N480" t="s">
        <v>79</v>
      </c>
      <c r="O480" t="s">
        <v>74</v>
      </c>
      <c r="P480" t="s">
        <v>74</v>
      </c>
      <c r="Q480" t="s">
        <v>74</v>
      </c>
      <c r="R480" t="s">
        <v>74</v>
      </c>
      <c r="S480" t="s">
        <v>74</v>
      </c>
      <c r="T480" t="s">
        <v>7747</v>
      </c>
      <c r="U480" t="s">
        <v>7748</v>
      </c>
      <c r="V480" t="s">
        <v>7749</v>
      </c>
      <c r="W480" t="s">
        <v>7750</v>
      </c>
      <c r="X480" t="s">
        <v>7751</v>
      </c>
      <c r="Y480" t="s">
        <v>7752</v>
      </c>
      <c r="Z480" t="s">
        <v>7753</v>
      </c>
      <c r="AA480" t="s">
        <v>7754</v>
      </c>
      <c r="AB480" t="s">
        <v>7755</v>
      </c>
      <c r="AC480" t="s">
        <v>7756</v>
      </c>
      <c r="AD480" t="s">
        <v>7757</v>
      </c>
      <c r="AE480" t="s">
        <v>7758</v>
      </c>
      <c r="AF480" t="s">
        <v>74</v>
      </c>
      <c r="AG480">
        <v>36</v>
      </c>
      <c r="AH480">
        <v>25</v>
      </c>
      <c r="AI480">
        <v>25</v>
      </c>
      <c r="AJ480">
        <v>0</v>
      </c>
      <c r="AK480">
        <v>12</v>
      </c>
      <c r="AL480" t="s">
        <v>92</v>
      </c>
      <c r="AM480" t="s">
        <v>93</v>
      </c>
      <c r="AN480" t="s">
        <v>94</v>
      </c>
      <c r="AO480" t="s">
        <v>95</v>
      </c>
      <c r="AP480" t="s">
        <v>96</v>
      </c>
      <c r="AQ480" t="s">
        <v>74</v>
      </c>
      <c r="AR480" t="s">
        <v>97</v>
      </c>
      <c r="AS480" t="s">
        <v>98</v>
      </c>
      <c r="AT480" t="s">
        <v>250</v>
      </c>
      <c r="AU480">
        <v>2019</v>
      </c>
      <c r="AV480">
        <v>64</v>
      </c>
      <c r="AW480">
        <v>12</v>
      </c>
      <c r="AX480" t="s">
        <v>74</v>
      </c>
      <c r="AY480" t="s">
        <v>74</v>
      </c>
      <c r="AZ480" t="s">
        <v>74</v>
      </c>
      <c r="BA480" t="s">
        <v>74</v>
      </c>
      <c r="BB480" t="s">
        <v>74</v>
      </c>
      <c r="BC480" t="s">
        <v>74</v>
      </c>
      <c r="BD480" t="s">
        <v>7759</v>
      </c>
      <c r="BE480" t="s">
        <v>7760</v>
      </c>
      <c r="BF480" t="str">
        <f>HYPERLINK("http://dx.doi.org/10.1088/1361-6560/ab215b","http://dx.doi.org/10.1088/1361-6560/ab215b")</f>
        <v>http://dx.doi.org/10.1088/1361-6560/ab215b</v>
      </c>
      <c r="BG480" t="s">
        <v>74</v>
      </c>
      <c r="BH480" t="s">
        <v>74</v>
      </c>
      <c r="BI480">
        <v>11</v>
      </c>
      <c r="BJ480" t="s">
        <v>101</v>
      </c>
      <c r="BK480" t="s">
        <v>102</v>
      </c>
      <c r="BL480" t="s">
        <v>103</v>
      </c>
      <c r="BM480" t="s">
        <v>7761</v>
      </c>
      <c r="BN480">
        <v>31082807</v>
      </c>
      <c r="BO480" t="s">
        <v>105</v>
      </c>
      <c r="BP480" t="s">
        <v>74</v>
      </c>
      <c r="BQ480" t="s">
        <v>74</v>
      </c>
      <c r="BR480" t="s">
        <v>106</v>
      </c>
      <c r="BS480" t="s">
        <v>7762</v>
      </c>
      <c r="BT480" t="str">
        <f>HYPERLINK("https%3A%2F%2Fwww.webofscience.com%2Fwos%2Fwoscc%2Ffull-record%2FWOS:000518928800001","View Full Record in Web of Science")</f>
        <v>View Full Record in Web of Science</v>
      </c>
    </row>
    <row r="481" spans="1:72" x14ac:dyDescent="0.25">
      <c r="A481" t="s">
        <v>72</v>
      </c>
      <c r="B481" t="s">
        <v>7763</v>
      </c>
      <c r="C481" t="s">
        <v>74</v>
      </c>
      <c r="D481" t="s">
        <v>74</v>
      </c>
      <c r="E481" t="s">
        <v>74</v>
      </c>
      <c r="F481" t="s">
        <v>7764</v>
      </c>
      <c r="G481" t="s">
        <v>74</v>
      </c>
      <c r="H481" t="s">
        <v>74</v>
      </c>
      <c r="I481" t="s">
        <v>7765</v>
      </c>
      <c r="J481" t="s">
        <v>77</v>
      </c>
      <c r="K481" t="s">
        <v>74</v>
      </c>
      <c r="L481" t="s">
        <v>74</v>
      </c>
      <c r="M481" t="s">
        <v>78</v>
      </c>
      <c r="N481" t="s">
        <v>79</v>
      </c>
      <c r="O481" t="s">
        <v>74</v>
      </c>
      <c r="P481" t="s">
        <v>74</v>
      </c>
      <c r="Q481" t="s">
        <v>74</v>
      </c>
      <c r="R481" t="s">
        <v>74</v>
      </c>
      <c r="S481" t="s">
        <v>74</v>
      </c>
      <c r="T481" t="s">
        <v>7766</v>
      </c>
      <c r="U481" t="s">
        <v>7767</v>
      </c>
      <c r="V481" t="s">
        <v>7768</v>
      </c>
      <c r="W481" t="s">
        <v>7769</v>
      </c>
      <c r="X481" t="s">
        <v>7770</v>
      </c>
      <c r="Y481" t="s">
        <v>7771</v>
      </c>
      <c r="Z481" t="s">
        <v>7772</v>
      </c>
      <c r="AA481" t="s">
        <v>7773</v>
      </c>
      <c r="AB481" t="s">
        <v>7774</v>
      </c>
      <c r="AC481" t="s">
        <v>7775</v>
      </c>
      <c r="AD481" t="s">
        <v>7776</v>
      </c>
      <c r="AE481" t="s">
        <v>7777</v>
      </c>
      <c r="AF481" t="s">
        <v>74</v>
      </c>
      <c r="AG481">
        <v>66</v>
      </c>
      <c r="AH481">
        <v>7</v>
      </c>
      <c r="AI481">
        <v>7</v>
      </c>
      <c r="AJ481">
        <v>1</v>
      </c>
      <c r="AK481">
        <v>25</v>
      </c>
      <c r="AL481" t="s">
        <v>157</v>
      </c>
      <c r="AM481" t="s">
        <v>93</v>
      </c>
      <c r="AN481" t="s">
        <v>94</v>
      </c>
      <c r="AO481" t="s">
        <v>95</v>
      </c>
      <c r="AP481" t="s">
        <v>96</v>
      </c>
      <c r="AQ481" t="s">
        <v>74</v>
      </c>
      <c r="AR481" t="s">
        <v>97</v>
      </c>
      <c r="AS481" t="s">
        <v>98</v>
      </c>
      <c r="AT481" t="s">
        <v>250</v>
      </c>
      <c r="AU481">
        <v>2019</v>
      </c>
      <c r="AV481">
        <v>64</v>
      </c>
      <c r="AW481">
        <v>11</v>
      </c>
      <c r="AX481" t="s">
        <v>74</v>
      </c>
      <c r="AY481" t="s">
        <v>74</v>
      </c>
      <c r="AZ481" t="s">
        <v>74</v>
      </c>
      <c r="BA481" t="s">
        <v>74</v>
      </c>
      <c r="BB481" t="s">
        <v>74</v>
      </c>
      <c r="BC481" t="s">
        <v>74</v>
      </c>
      <c r="BD481">
        <v>115006</v>
      </c>
      <c r="BE481" t="s">
        <v>7778</v>
      </c>
      <c r="BF481" t="str">
        <f>HYPERLINK("http://dx.doi.org/10.1088/1361-6560/ab0eee","http://dx.doi.org/10.1088/1361-6560/ab0eee")</f>
        <v>http://dx.doi.org/10.1088/1361-6560/ab0eee</v>
      </c>
      <c r="BG481" t="s">
        <v>74</v>
      </c>
      <c r="BH481" t="s">
        <v>74</v>
      </c>
      <c r="BI481">
        <v>19</v>
      </c>
      <c r="BJ481" t="s">
        <v>101</v>
      </c>
      <c r="BK481" t="s">
        <v>102</v>
      </c>
      <c r="BL481" t="s">
        <v>103</v>
      </c>
      <c r="BM481" t="s">
        <v>323</v>
      </c>
      <c r="BN481">
        <v>30861498</v>
      </c>
      <c r="BO481" t="s">
        <v>74</v>
      </c>
      <c r="BP481" t="s">
        <v>74</v>
      </c>
      <c r="BQ481" t="s">
        <v>74</v>
      </c>
      <c r="BR481" t="s">
        <v>106</v>
      </c>
      <c r="BS481" t="s">
        <v>7779</v>
      </c>
      <c r="BT481" t="str">
        <f>HYPERLINK("https%3A%2F%2Fwww.webofscience.com%2Fwos%2Fwoscc%2Ffull-record%2FWOS:000468942900006","View Full Record in Web of Science")</f>
        <v>View Full Record in Web of Science</v>
      </c>
    </row>
    <row r="482" spans="1:72" x14ac:dyDescent="0.25">
      <c r="A482" t="s">
        <v>72</v>
      </c>
      <c r="B482" t="s">
        <v>7780</v>
      </c>
      <c r="C482" t="s">
        <v>74</v>
      </c>
      <c r="D482" t="s">
        <v>74</v>
      </c>
      <c r="E482" t="s">
        <v>74</v>
      </c>
      <c r="F482" t="s">
        <v>7781</v>
      </c>
      <c r="G482" t="s">
        <v>74</v>
      </c>
      <c r="H482" t="s">
        <v>74</v>
      </c>
      <c r="I482" t="s">
        <v>7782</v>
      </c>
      <c r="J482" t="s">
        <v>77</v>
      </c>
      <c r="K482" t="s">
        <v>74</v>
      </c>
      <c r="L482" t="s">
        <v>74</v>
      </c>
      <c r="M482" t="s">
        <v>78</v>
      </c>
      <c r="N482" t="s">
        <v>79</v>
      </c>
      <c r="O482" t="s">
        <v>74</v>
      </c>
      <c r="P482" t="s">
        <v>74</v>
      </c>
      <c r="Q482" t="s">
        <v>74</v>
      </c>
      <c r="R482" t="s">
        <v>74</v>
      </c>
      <c r="S482" t="s">
        <v>74</v>
      </c>
      <c r="T482" t="s">
        <v>7783</v>
      </c>
      <c r="U482" t="s">
        <v>7784</v>
      </c>
      <c r="V482" t="s">
        <v>7785</v>
      </c>
      <c r="W482" t="s">
        <v>7786</v>
      </c>
      <c r="X482" t="s">
        <v>7787</v>
      </c>
      <c r="Y482" t="s">
        <v>7788</v>
      </c>
      <c r="Z482" t="s">
        <v>7789</v>
      </c>
      <c r="AA482" t="s">
        <v>7790</v>
      </c>
      <c r="AB482" t="s">
        <v>7791</v>
      </c>
      <c r="AC482" t="s">
        <v>7792</v>
      </c>
      <c r="AD482" t="s">
        <v>7793</v>
      </c>
      <c r="AE482" t="s">
        <v>7794</v>
      </c>
      <c r="AF482" t="s">
        <v>74</v>
      </c>
      <c r="AG482">
        <v>29</v>
      </c>
      <c r="AH482">
        <v>13</v>
      </c>
      <c r="AI482">
        <v>16</v>
      </c>
      <c r="AJ482">
        <v>0</v>
      </c>
      <c r="AK482">
        <v>3</v>
      </c>
      <c r="AL482" t="s">
        <v>92</v>
      </c>
      <c r="AM482" t="s">
        <v>93</v>
      </c>
      <c r="AN482" t="s">
        <v>94</v>
      </c>
      <c r="AO482" t="s">
        <v>95</v>
      </c>
      <c r="AP482" t="s">
        <v>96</v>
      </c>
      <c r="AQ482" t="s">
        <v>74</v>
      </c>
      <c r="AR482" t="s">
        <v>97</v>
      </c>
      <c r="AS482" t="s">
        <v>98</v>
      </c>
      <c r="AT482" t="s">
        <v>370</v>
      </c>
      <c r="AU482">
        <v>2019</v>
      </c>
      <c r="AV482">
        <v>64</v>
      </c>
      <c r="AW482">
        <v>9</v>
      </c>
      <c r="AX482" t="s">
        <v>74</v>
      </c>
      <c r="AY482" t="s">
        <v>74</v>
      </c>
      <c r="AZ482" t="s">
        <v>74</v>
      </c>
      <c r="BA482" t="s">
        <v>74</v>
      </c>
      <c r="BB482" t="s">
        <v>74</v>
      </c>
      <c r="BC482" t="s">
        <v>74</v>
      </c>
      <c r="BD482">
        <v>95028</v>
      </c>
      <c r="BE482" t="s">
        <v>7795</v>
      </c>
      <c r="BF482" t="str">
        <f>HYPERLINK("http://dx.doi.org/10.1088/1361-6560/ab0ddd","http://dx.doi.org/10.1088/1361-6560/ab0ddd")</f>
        <v>http://dx.doi.org/10.1088/1361-6560/ab0ddd</v>
      </c>
      <c r="BG482" t="s">
        <v>74</v>
      </c>
      <c r="BH482" t="s">
        <v>74</v>
      </c>
      <c r="BI482">
        <v>15</v>
      </c>
      <c r="BJ482" t="s">
        <v>101</v>
      </c>
      <c r="BK482" t="s">
        <v>102</v>
      </c>
      <c r="BL482" t="s">
        <v>103</v>
      </c>
      <c r="BM482" t="s">
        <v>610</v>
      </c>
      <c r="BN482">
        <v>30844772</v>
      </c>
      <c r="BO482" t="s">
        <v>74</v>
      </c>
      <c r="BP482" t="s">
        <v>74</v>
      </c>
      <c r="BQ482" t="s">
        <v>74</v>
      </c>
      <c r="BR482" t="s">
        <v>106</v>
      </c>
      <c r="BS482" t="s">
        <v>7796</v>
      </c>
      <c r="BT482" t="str">
        <f>HYPERLINK("https%3A%2F%2Fwww.webofscience.com%2Fwos%2Fwoscc%2Ffull-record%2FWOS:000466862700007","View Full Record in Web of Science")</f>
        <v>View Full Record in Web of Science</v>
      </c>
    </row>
    <row r="483" spans="1:72" x14ac:dyDescent="0.25">
      <c r="A483" t="s">
        <v>72</v>
      </c>
      <c r="B483" t="s">
        <v>7797</v>
      </c>
      <c r="C483" t="s">
        <v>74</v>
      </c>
      <c r="D483" t="s">
        <v>74</v>
      </c>
      <c r="E483" t="s">
        <v>74</v>
      </c>
      <c r="F483" t="s">
        <v>7798</v>
      </c>
      <c r="G483" t="s">
        <v>74</v>
      </c>
      <c r="H483" t="s">
        <v>74</v>
      </c>
      <c r="I483" t="s">
        <v>7799</v>
      </c>
      <c r="J483" t="s">
        <v>77</v>
      </c>
      <c r="K483" t="s">
        <v>74</v>
      </c>
      <c r="L483" t="s">
        <v>74</v>
      </c>
      <c r="M483" t="s">
        <v>78</v>
      </c>
      <c r="N483" t="s">
        <v>79</v>
      </c>
      <c r="O483" t="s">
        <v>74</v>
      </c>
      <c r="P483" t="s">
        <v>74</v>
      </c>
      <c r="Q483" t="s">
        <v>74</v>
      </c>
      <c r="R483" t="s">
        <v>74</v>
      </c>
      <c r="S483" t="s">
        <v>74</v>
      </c>
      <c r="T483" t="s">
        <v>7800</v>
      </c>
      <c r="U483" t="s">
        <v>7801</v>
      </c>
      <c r="V483" t="s">
        <v>7802</v>
      </c>
      <c r="W483" t="s">
        <v>7803</v>
      </c>
      <c r="X483" t="s">
        <v>7804</v>
      </c>
      <c r="Y483" t="s">
        <v>7805</v>
      </c>
      <c r="Z483" t="s">
        <v>7806</v>
      </c>
      <c r="AA483" t="s">
        <v>7807</v>
      </c>
      <c r="AB483" t="s">
        <v>7808</v>
      </c>
      <c r="AC483" t="s">
        <v>7809</v>
      </c>
      <c r="AD483" t="s">
        <v>7810</v>
      </c>
      <c r="AE483" t="s">
        <v>7811</v>
      </c>
      <c r="AF483" t="s">
        <v>74</v>
      </c>
      <c r="AG483">
        <v>45</v>
      </c>
      <c r="AH483">
        <v>7</v>
      </c>
      <c r="AI483">
        <v>9</v>
      </c>
      <c r="AJ483">
        <v>2</v>
      </c>
      <c r="AK483">
        <v>8</v>
      </c>
      <c r="AL483" t="s">
        <v>92</v>
      </c>
      <c r="AM483" t="s">
        <v>93</v>
      </c>
      <c r="AN483" t="s">
        <v>94</v>
      </c>
      <c r="AO483" t="s">
        <v>95</v>
      </c>
      <c r="AP483" t="s">
        <v>96</v>
      </c>
      <c r="AQ483" t="s">
        <v>74</v>
      </c>
      <c r="AR483" t="s">
        <v>97</v>
      </c>
      <c r="AS483" t="s">
        <v>98</v>
      </c>
      <c r="AT483" t="s">
        <v>386</v>
      </c>
      <c r="AU483">
        <v>2019</v>
      </c>
      <c r="AV483">
        <v>64</v>
      </c>
      <c r="AW483">
        <v>8</v>
      </c>
      <c r="AX483" t="s">
        <v>74</v>
      </c>
      <c r="AY483" t="s">
        <v>74</v>
      </c>
      <c r="AZ483" t="s">
        <v>74</v>
      </c>
      <c r="BA483" t="s">
        <v>74</v>
      </c>
      <c r="BB483" t="s">
        <v>74</v>
      </c>
      <c r="BC483" t="s">
        <v>74</v>
      </c>
      <c r="BD483">
        <v>85018</v>
      </c>
      <c r="BE483" t="s">
        <v>7812</v>
      </c>
      <c r="BF483" t="str">
        <f>HYPERLINK("http://dx.doi.org/10.1088/1361-6560/ab0db5","http://dx.doi.org/10.1088/1361-6560/ab0db5")</f>
        <v>http://dx.doi.org/10.1088/1361-6560/ab0db5</v>
      </c>
      <c r="BG483" t="s">
        <v>74</v>
      </c>
      <c r="BH483" t="s">
        <v>74</v>
      </c>
      <c r="BI483">
        <v>15</v>
      </c>
      <c r="BJ483" t="s">
        <v>101</v>
      </c>
      <c r="BK483" t="s">
        <v>102</v>
      </c>
      <c r="BL483" t="s">
        <v>103</v>
      </c>
      <c r="BM483" t="s">
        <v>419</v>
      </c>
      <c r="BN483">
        <v>30844777</v>
      </c>
      <c r="BO483" t="s">
        <v>74</v>
      </c>
      <c r="BP483" t="s">
        <v>74</v>
      </c>
      <c r="BQ483" t="s">
        <v>74</v>
      </c>
      <c r="BR483" t="s">
        <v>106</v>
      </c>
      <c r="BS483" t="s">
        <v>7813</v>
      </c>
      <c r="BT483" t="str">
        <f>HYPERLINK("https%3A%2F%2Fwww.webofscience.com%2Fwos%2Fwoscc%2Ffull-record%2FWOS:000464454200004","View Full Record in Web of Science")</f>
        <v>View Full Record in Web of Science</v>
      </c>
    </row>
    <row r="484" spans="1:72" x14ac:dyDescent="0.25">
      <c r="A484" t="s">
        <v>72</v>
      </c>
      <c r="B484" t="s">
        <v>7814</v>
      </c>
      <c r="C484" t="s">
        <v>74</v>
      </c>
      <c r="D484" t="s">
        <v>74</v>
      </c>
      <c r="E484" t="s">
        <v>74</v>
      </c>
      <c r="F484" t="s">
        <v>7815</v>
      </c>
      <c r="G484" t="s">
        <v>74</v>
      </c>
      <c r="H484" t="s">
        <v>74</v>
      </c>
      <c r="I484" t="s">
        <v>7816</v>
      </c>
      <c r="J484" t="s">
        <v>77</v>
      </c>
      <c r="K484" t="s">
        <v>74</v>
      </c>
      <c r="L484" t="s">
        <v>74</v>
      </c>
      <c r="M484" t="s">
        <v>78</v>
      </c>
      <c r="N484" t="s">
        <v>79</v>
      </c>
      <c r="O484" t="s">
        <v>74</v>
      </c>
      <c r="P484" t="s">
        <v>74</v>
      </c>
      <c r="Q484" t="s">
        <v>74</v>
      </c>
      <c r="R484" t="s">
        <v>74</v>
      </c>
      <c r="S484" t="s">
        <v>74</v>
      </c>
      <c r="T484" t="s">
        <v>7817</v>
      </c>
      <c r="U484" t="s">
        <v>7818</v>
      </c>
      <c r="V484" t="s">
        <v>7819</v>
      </c>
      <c r="W484" t="s">
        <v>7820</v>
      </c>
      <c r="X484" t="s">
        <v>7821</v>
      </c>
      <c r="Y484" t="s">
        <v>7822</v>
      </c>
      <c r="Z484" t="s">
        <v>7823</v>
      </c>
      <c r="AA484" t="s">
        <v>7824</v>
      </c>
      <c r="AB484" t="s">
        <v>7825</v>
      </c>
      <c r="AC484" t="s">
        <v>7826</v>
      </c>
      <c r="AD484" t="s">
        <v>7826</v>
      </c>
      <c r="AE484" t="s">
        <v>7827</v>
      </c>
      <c r="AF484" t="s">
        <v>74</v>
      </c>
      <c r="AG484">
        <v>31</v>
      </c>
      <c r="AH484">
        <v>44</v>
      </c>
      <c r="AI484">
        <v>44</v>
      </c>
      <c r="AJ484">
        <v>0</v>
      </c>
      <c r="AK484">
        <v>15</v>
      </c>
      <c r="AL484" t="s">
        <v>92</v>
      </c>
      <c r="AM484" t="s">
        <v>93</v>
      </c>
      <c r="AN484" t="s">
        <v>94</v>
      </c>
      <c r="AO484" t="s">
        <v>95</v>
      </c>
      <c r="AP484" t="s">
        <v>96</v>
      </c>
      <c r="AQ484" t="s">
        <v>74</v>
      </c>
      <c r="AR484" t="s">
        <v>97</v>
      </c>
      <c r="AS484" t="s">
        <v>98</v>
      </c>
      <c r="AT484" t="s">
        <v>436</v>
      </c>
      <c r="AU484">
        <v>2019</v>
      </c>
      <c r="AV484">
        <v>64</v>
      </c>
      <c r="AW484">
        <v>5</v>
      </c>
      <c r="AX484" t="s">
        <v>74</v>
      </c>
      <c r="AY484" t="s">
        <v>74</v>
      </c>
      <c r="AZ484" t="s">
        <v>74</v>
      </c>
      <c r="BA484" t="s">
        <v>74</v>
      </c>
      <c r="BB484" t="s">
        <v>74</v>
      </c>
      <c r="BC484" t="s">
        <v>74</v>
      </c>
      <c r="BD484">
        <v>55006</v>
      </c>
      <c r="BE484" t="s">
        <v>7828</v>
      </c>
      <c r="BF484" t="str">
        <f>HYPERLINK("http://dx.doi.org/10.1088/1361-6560/aafeec","http://dx.doi.org/10.1088/1361-6560/aafeec")</f>
        <v>http://dx.doi.org/10.1088/1361-6560/aafeec</v>
      </c>
      <c r="BG484" t="s">
        <v>74</v>
      </c>
      <c r="BH484" t="s">
        <v>74</v>
      </c>
      <c r="BI484">
        <v>13</v>
      </c>
      <c r="BJ484" t="s">
        <v>101</v>
      </c>
      <c r="BK484" t="s">
        <v>102</v>
      </c>
      <c r="BL484" t="s">
        <v>103</v>
      </c>
      <c r="BM484" t="s">
        <v>5088</v>
      </c>
      <c r="BN484">
        <v>30650384</v>
      </c>
      <c r="BO484" t="s">
        <v>270</v>
      </c>
      <c r="BP484" t="s">
        <v>74</v>
      </c>
      <c r="BQ484" t="s">
        <v>74</v>
      </c>
      <c r="BR484" t="s">
        <v>106</v>
      </c>
      <c r="BS484" t="s">
        <v>7829</v>
      </c>
      <c r="BT484" t="str">
        <f>HYPERLINK("https%3A%2F%2Fwww.webofscience.com%2Fwos%2Fwoscc%2Ffull-record%2FWOS:000459325000006","View Full Record in Web of Science")</f>
        <v>View Full Record in Web of Science</v>
      </c>
    </row>
    <row r="485" spans="1:72" x14ac:dyDescent="0.25">
      <c r="A485" t="s">
        <v>72</v>
      </c>
      <c r="B485" t="s">
        <v>7830</v>
      </c>
      <c r="C485" t="s">
        <v>74</v>
      </c>
      <c r="D485" t="s">
        <v>74</v>
      </c>
      <c r="E485" t="s">
        <v>74</v>
      </c>
      <c r="F485" t="s">
        <v>7831</v>
      </c>
      <c r="G485" t="s">
        <v>74</v>
      </c>
      <c r="H485" t="s">
        <v>74</v>
      </c>
      <c r="I485" t="s">
        <v>7832</v>
      </c>
      <c r="J485" t="s">
        <v>77</v>
      </c>
      <c r="K485" t="s">
        <v>74</v>
      </c>
      <c r="L485" t="s">
        <v>74</v>
      </c>
      <c r="M485" t="s">
        <v>78</v>
      </c>
      <c r="N485" t="s">
        <v>79</v>
      </c>
      <c r="O485" t="s">
        <v>74</v>
      </c>
      <c r="P485" t="s">
        <v>74</v>
      </c>
      <c r="Q485" t="s">
        <v>74</v>
      </c>
      <c r="R485" t="s">
        <v>74</v>
      </c>
      <c r="S485" t="s">
        <v>74</v>
      </c>
      <c r="T485" t="s">
        <v>7833</v>
      </c>
      <c r="U485" t="s">
        <v>7834</v>
      </c>
      <c r="V485" t="s">
        <v>7835</v>
      </c>
      <c r="W485" t="s">
        <v>7836</v>
      </c>
      <c r="X485" t="s">
        <v>7837</v>
      </c>
      <c r="Y485" t="s">
        <v>7838</v>
      </c>
      <c r="Z485" t="s">
        <v>7839</v>
      </c>
      <c r="AA485" t="s">
        <v>7840</v>
      </c>
      <c r="AB485" t="s">
        <v>7841</v>
      </c>
      <c r="AC485" t="s">
        <v>74</v>
      </c>
      <c r="AD485" t="s">
        <v>74</v>
      </c>
      <c r="AE485" t="s">
        <v>74</v>
      </c>
      <c r="AF485" t="s">
        <v>74</v>
      </c>
      <c r="AG485">
        <v>52</v>
      </c>
      <c r="AH485">
        <v>4</v>
      </c>
      <c r="AI485">
        <v>5</v>
      </c>
      <c r="AJ485">
        <v>0</v>
      </c>
      <c r="AK485">
        <v>12</v>
      </c>
      <c r="AL485" t="s">
        <v>92</v>
      </c>
      <c r="AM485" t="s">
        <v>93</v>
      </c>
      <c r="AN485" t="s">
        <v>94</v>
      </c>
      <c r="AO485" t="s">
        <v>95</v>
      </c>
      <c r="AP485" t="s">
        <v>96</v>
      </c>
      <c r="AQ485" t="s">
        <v>74</v>
      </c>
      <c r="AR485" t="s">
        <v>97</v>
      </c>
      <c r="AS485" t="s">
        <v>98</v>
      </c>
      <c r="AT485" t="s">
        <v>436</v>
      </c>
      <c r="AU485">
        <v>2019</v>
      </c>
      <c r="AV485">
        <v>64</v>
      </c>
      <c r="AW485">
        <v>5</v>
      </c>
      <c r="AX485" t="s">
        <v>74</v>
      </c>
      <c r="AY485" t="s">
        <v>74</v>
      </c>
      <c r="AZ485" t="s">
        <v>74</v>
      </c>
      <c r="BA485" t="s">
        <v>74</v>
      </c>
      <c r="BB485" t="s">
        <v>74</v>
      </c>
      <c r="BC485" t="s">
        <v>74</v>
      </c>
      <c r="BD485">
        <v>55009</v>
      </c>
      <c r="BE485" t="s">
        <v>7842</v>
      </c>
      <c r="BF485" t="str">
        <f>HYPERLINK("http://dx.doi.org/10.1088/1361-6560/ab009a","http://dx.doi.org/10.1088/1361-6560/ab009a")</f>
        <v>http://dx.doi.org/10.1088/1361-6560/ab009a</v>
      </c>
      <c r="BG485" t="s">
        <v>74</v>
      </c>
      <c r="BH485" t="s">
        <v>74</v>
      </c>
      <c r="BI485">
        <v>15</v>
      </c>
      <c r="BJ485" t="s">
        <v>101</v>
      </c>
      <c r="BK485" t="s">
        <v>102</v>
      </c>
      <c r="BL485" t="s">
        <v>103</v>
      </c>
      <c r="BM485" t="s">
        <v>2208</v>
      </c>
      <c r="BN485">
        <v>30669126</v>
      </c>
      <c r="BO485" t="s">
        <v>74</v>
      </c>
      <c r="BP485" t="s">
        <v>74</v>
      </c>
      <c r="BQ485" t="s">
        <v>74</v>
      </c>
      <c r="BR485" t="s">
        <v>106</v>
      </c>
      <c r="BS485" t="s">
        <v>7843</v>
      </c>
      <c r="BT485" t="str">
        <f>HYPERLINK("https%3A%2F%2Fwww.webofscience.com%2Fwos%2Fwoscc%2Ffull-record%2FWOS:000459740600003","View Full Record in Web of Science")</f>
        <v>View Full Record in Web of Science</v>
      </c>
    </row>
    <row r="486" spans="1:72" x14ac:dyDescent="0.25">
      <c r="A486" t="s">
        <v>72</v>
      </c>
      <c r="B486" t="s">
        <v>7844</v>
      </c>
      <c r="C486" t="s">
        <v>74</v>
      </c>
      <c r="D486" t="s">
        <v>74</v>
      </c>
      <c r="E486" t="s">
        <v>74</v>
      </c>
      <c r="F486" t="s">
        <v>7845</v>
      </c>
      <c r="G486" t="s">
        <v>74</v>
      </c>
      <c r="H486" t="s">
        <v>74</v>
      </c>
      <c r="I486" t="s">
        <v>7846</v>
      </c>
      <c r="J486" t="s">
        <v>77</v>
      </c>
      <c r="K486" t="s">
        <v>74</v>
      </c>
      <c r="L486" t="s">
        <v>74</v>
      </c>
      <c r="M486" t="s">
        <v>78</v>
      </c>
      <c r="N486" t="s">
        <v>79</v>
      </c>
      <c r="O486" t="s">
        <v>74</v>
      </c>
      <c r="P486" t="s">
        <v>74</v>
      </c>
      <c r="Q486" t="s">
        <v>74</v>
      </c>
      <c r="R486" t="s">
        <v>74</v>
      </c>
      <c r="S486" t="s">
        <v>74</v>
      </c>
      <c r="T486" t="s">
        <v>7847</v>
      </c>
      <c r="U486" t="s">
        <v>7848</v>
      </c>
      <c r="V486" t="s">
        <v>7849</v>
      </c>
      <c r="W486" t="s">
        <v>7850</v>
      </c>
      <c r="X486" t="s">
        <v>7851</v>
      </c>
      <c r="Y486" t="s">
        <v>7852</v>
      </c>
      <c r="Z486" t="s">
        <v>7853</v>
      </c>
      <c r="AA486" t="s">
        <v>7854</v>
      </c>
      <c r="AB486" t="s">
        <v>7855</v>
      </c>
      <c r="AC486" t="s">
        <v>7856</v>
      </c>
      <c r="AD486" t="s">
        <v>7857</v>
      </c>
      <c r="AE486" t="s">
        <v>7858</v>
      </c>
      <c r="AF486" t="s">
        <v>74</v>
      </c>
      <c r="AG486">
        <v>33</v>
      </c>
      <c r="AH486">
        <v>44</v>
      </c>
      <c r="AI486">
        <v>46</v>
      </c>
      <c r="AJ486">
        <v>0</v>
      </c>
      <c r="AK486">
        <v>24</v>
      </c>
      <c r="AL486" t="s">
        <v>92</v>
      </c>
      <c r="AM486" t="s">
        <v>93</v>
      </c>
      <c r="AN486" t="s">
        <v>94</v>
      </c>
      <c r="AO486" t="s">
        <v>95</v>
      </c>
      <c r="AP486" t="s">
        <v>96</v>
      </c>
      <c r="AQ486" t="s">
        <v>74</v>
      </c>
      <c r="AR486" t="s">
        <v>97</v>
      </c>
      <c r="AS486" t="s">
        <v>98</v>
      </c>
      <c r="AT486" t="s">
        <v>436</v>
      </c>
      <c r="AU486">
        <v>2019</v>
      </c>
      <c r="AV486">
        <v>64</v>
      </c>
      <c r="AW486">
        <v>5</v>
      </c>
      <c r="AX486" t="s">
        <v>74</v>
      </c>
      <c r="AY486" t="s">
        <v>74</v>
      </c>
      <c r="AZ486" t="s">
        <v>74</v>
      </c>
      <c r="BA486" t="s">
        <v>74</v>
      </c>
      <c r="BB486" t="s">
        <v>74</v>
      </c>
      <c r="BC486" t="s">
        <v>74</v>
      </c>
      <c r="BD486">
        <v>55002</v>
      </c>
      <c r="BE486" t="s">
        <v>7859</v>
      </c>
      <c r="BF486" t="str">
        <f>HYPERLINK("http://dx.doi.org/10.1088/1361-6560/ab00c9","http://dx.doi.org/10.1088/1361-6560/ab00c9")</f>
        <v>http://dx.doi.org/10.1088/1361-6560/ab00c9</v>
      </c>
      <c r="BG486" t="s">
        <v>74</v>
      </c>
      <c r="BH486" t="s">
        <v>74</v>
      </c>
      <c r="BI486">
        <v>10</v>
      </c>
      <c r="BJ486" t="s">
        <v>101</v>
      </c>
      <c r="BK486" t="s">
        <v>102</v>
      </c>
      <c r="BL486" t="s">
        <v>103</v>
      </c>
      <c r="BM486" t="s">
        <v>5088</v>
      </c>
      <c r="BN486">
        <v>30669128</v>
      </c>
      <c r="BO486" t="s">
        <v>140</v>
      </c>
      <c r="BP486" t="s">
        <v>74</v>
      </c>
      <c r="BQ486" t="s">
        <v>74</v>
      </c>
      <c r="BR486" t="s">
        <v>106</v>
      </c>
      <c r="BS486" t="s">
        <v>7860</v>
      </c>
      <c r="BT486" t="str">
        <f>HYPERLINK("https%3A%2F%2Fwww.webofscience.com%2Fwos%2Fwoscc%2Ffull-record%2FWOS:000459325000002","View Full Record in Web of Science")</f>
        <v>View Full Record in Web of Science</v>
      </c>
    </row>
    <row r="487" spans="1:72" x14ac:dyDescent="0.25">
      <c r="A487" t="s">
        <v>72</v>
      </c>
      <c r="B487" t="s">
        <v>7861</v>
      </c>
      <c r="C487" t="s">
        <v>74</v>
      </c>
      <c r="D487" t="s">
        <v>74</v>
      </c>
      <c r="E487" t="s">
        <v>74</v>
      </c>
      <c r="F487" t="s">
        <v>7862</v>
      </c>
      <c r="G487" t="s">
        <v>74</v>
      </c>
      <c r="H487" t="s">
        <v>74</v>
      </c>
      <c r="I487" t="s">
        <v>7863</v>
      </c>
      <c r="J487" t="s">
        <v>77</v>
      </c>
      <c r="K487" t="s">
        <v>74</v>
      </c>
      <c r="L487" t="s">
        <v>74</v>
      </c>
      <c r="M487" t="s">
        <v>78</v>
      </c>
      <c r="N487" t="s">
        <v>79</v>
      </c>
      <c r="O487" t="s">
        <v>74</v>
      </c>
      <c r="P487" t="s">
        <v>74</v>
      </c>
      <c r="Q487" t="s">
        <v>74</v>
      </c>
      <c r="R487" t="s">
        <v>74</v>
      </c>
      <c r="S487" t="s">
        <v>74</v>
      </c>
      <c r="T487" t="s">
        <v>7864</v>
      </c>
      <c r="U487" t="s">
        <v>7865</v>
      </c>
      <c r="V487" t="s">
        <v>7866</v>
      </c>
      <c r="W487" t="s">
        <v>7867</v>
      </c>
      <c r="X487" t="s">
        <v>7868</v>
      </c>
      <c r="Y487" t="s">
        <v>7869</v>
      </c>
      <c r="Z487" t="s">
        <v>7870</v>
      </c>
      <c r="AA487" t="s">
        <v>7871</v>
      </c>
      <c r="AB487" t="s">
        <v>7872</v>
      </c>
      <c r="AC487" t="s">
        <v>7873</v>
      </c>
      <c r="AD487" t="s">
        <v>7874</v>
      </c>
      <c r="AE487" t="s">
        <v>7875</v>
      </c>
      <c r="AF487" t="s">
        <v>74</v>
      </c>
      <c r="AG487">
        <v>48</v>
      </c>
      <c r="AH487">
        <v>32</v>
      </c>
      <c r="AI487">
        <v>32</v>
      </c>
      <c r="AJ487">
        <v>0</v>
      </c>
      <c r="AK487">
        <v>11</v>
      </c>
      <c r="AL487" t="s">
        <v>92</v>
      </c>
      <c r="AM487" t="s">
        <v>93</v>
      </c>
      <c r="AN487" t="s">
        <v>94</v>
      </c>
      <c r="AO487" t="s">
        <v>95</v>
      </c>
      <c r="AP487" t="s">
        <v>96</v>
      </c>
      <c r="AQ487" t="s">
        <v>74</v>
      </c>
      <c r="AR487" t="s">
        <v>97</v>
      </c>
      <c r="AS487" t="s">
        <v>98</v>
      </c>
      <c r="AT487" t="s">
        <v>436</v>
      </c>
      <c r="AU487">
        <v>2019</v>
      </c>
      <c r="AV487">
        <v>64</v>
      </c>
      <c r="AW487">
        <v>6</v>
      </c>
      <c r="AX487" t="s">
        <v>74</v>
      </c>
      <c r="AY487" t="s">
        <v>74</v>
      </c>
      <c r="AZ487" t="s">
        <v>74</v>
      </c>
      <c r="BA487" t="s">
        <v>74</v>
      </c>
      <c r="BB487" t="s">
        <v>74</v>
      </c>
      <c r="BC487" t="s">
        <v>74</v>
      </c>
      <c r="BD487">
        <v>65004</v>
      </c>
      <c r="BE487" t="s">
        <v>7876</v>
      </c>
      <c r="BF487" t="str">
        <f>HYPERLINK("http://dx.doi.org/10.1088/1361-6560/ab012c","http://dx.doi.org/10.1088/1361-6560/ab012c")</f>
        <v>http://dx.doi.org/10.1088/1361-6560/ab012c</v>
      </c>
      <c r="BG487" t="s">
        <v>74</v>
      </c>
      <c r="BH487" t="s">
        <v>74</v>
      </c>
      <c r="BI487">
        <v>13</v>
      </c>
      <c r="BJ487" t="s">
        <v>101</v>
      </c>
      <c r="BK487" t="s">
        <v>102</v>
      </c>
      <c r="BL487" t="s">
        <v>103</v>
      </c>
      <c r="BM487" t="s">
        <v>1580</v>
      </c>
      <c r="BN487">
        <v>30673654</v>
      </c>
      <c r="BO487" t="s">
        <v>74</v>
      </c>
      <c r="BP487" t="s">
        <v>74</v>
      </c>
      <c r="BQ487" t="s">
        <v>74</v>
      </c>
      <c r="BR487" t="s">
        <v>106</v>
      </c>
      <c r="BS487" t="s">
        <v>7877</v>
      </c>
      <c r="BT487" t="str">
        <f>HYPERLINK("https%3A%2F%2Fwww.webofscience.com%2Fwos%2Fwoscc%2Ffull-record%2FWOS:000460822700004","View Full Record in Web of Science")</f>
        <v>View Full Record in Web of Science</v>
      </c>
    </row>
    <row r="488" spans="1:72" x14ac:dyDescent="0.25">
      <c r="A488" t="s">
        <v>72</v>
      </c>
      <c r="B488" t="s">
        <v>7878</v>
      </c>
      <c r="C488" t="s">
        <v>74</v>
      </c>
      <c r="D488" t="s">
        <v>74</v>
      </c>
      <c r="E488" t="s">
        <v>74</v>
      </c>
      <c r="F488" t="s">
        <v>7879</v>
      </c>
      <c r="G488" t="s">
        <v>74</v>
      </c>
      <c r="H488" t="s">
        <v>74</v>
      </c>
      <c r="I488" t="s">
        <v>7880</v>
      </c>
      <c r="J488" t="s">
        <v>77</v>
      </c>
      <c r="K488" t="s">
        <v>74</v>
      </c>
      <c r="L488" t="s">
        <v>74</v>
      </c>
      <c r="M488" t="s">
        <v>78</v>
      </c>
      <c r="N488" t="s">
        <v>79</v>
      </c>
      <c r="O488" t="s">
        <v>74</v>
      </c>
      <c r="P488" t="s">
        <v>74</v>
      </c>
      <c r="Q488" t="s">
        <v>74</v>
      </c>
      <c r="R488" t="s">
        <v>74</v>
      </c>
      <c r="S488" t="s">
        <v>74</v>
      </c>
      <c r="T488" t="s">
        <v>7881</v>
      </c>
      <c r="U488" t="s">
        <v>7882</v>
      </c>
      <c r="V488" t="s">
        <v>7883</v>
      </c>
      <c r="W488" t="s">
        <v>7884</v>
      </c>
      <c r="X488" t="s">
        <v>7885</v>
      </c>
      <c r="Y488" t="s">
        <v>7886</v>
      </c>
      <c r="Z488" t="s">
        <v>7887</v>
      </c>
      <c r="AA488" t="s">
        <v>7888</v>
      </c>
      <c r="AB488" t="s">
        <v>7889</v>
      </c>
      <c r="AC488" t="s">
        <v>74</v>
      </c>
      <c r="AD488" t="s">
        <v>74</v>
      </c>
      <c r="AE488" t="s">
        <v>74</v>
      </c>
      <c r="AF488" t="s">
        <v>74</v>
      </c>
      <c r="AG488">
        <v>30</v>
      </c>
      <c r="AH488">
        <v>16</v>
      </c>
      <c r="AI488">
        <v>17</v>
      </c>
      <c r="AJ488">
        <v>0</v>
      </c>
      <c r="AK488">
        <v>3</v>
      </c>
      <c r="AL488" t="s">
        <v>92</v>
      </c>
      <c r="AM488" t="s">
        <v>93</v>
      </c>
      <c r="AN488" t="s">
        <v>94</v>
      </c>
      <c r="AO488" t="s">
        <v>95</v>
      </c>
      <c r="AP488" t="s">
        <v>96</v>
      </c>
      <c r="AQ488" t="s">
        <v>74</v>
      </c>
      <c r="AR488" t="s">
        <v>97</v>
      </c>
      <c r="AS488" t="s">
        <v>98</v>
      </c>
      <c r="AT488" t="s">
        <v>436</v>
      </c>
      <c r="AU488">
        <v>2019</v>
      </c>
      <c r="AV488">
        <v>64</v>
      </c>
      <c r="AW488">
        <v>6</v>
      </c>
      <c r="AX488" t="s">
        <v>74</v>
      </c>
      <c r="AY488" t="s">
        <v>74</v>
      </c>
      <c r="AZ488" t="s">
        <v>74</v>
      </c>
      <c r="BA488" t="s">
        <v>74</v>
      </c>
      <c r="BB488" t="s">
        <v>74</v>
      </c>
      <c r="BC488" t="s">
        <v>74</v>
      </c>
      <c r="BD488">
        <v>65011</v>
      </c>
      <c r="BE488" t="s">
        <v>7890</v>
      </c>
      <c r="BF488" t="str">
        <f>HYPERLINK("http://dx.doi.org/10.1088/1361-6560/aafe52","http://dx.doi.org/10.1088/1361-6560/aafe52")</f>
        <v>http://dx.doi.org/10.1088/1361-6560/aafe52</v>
      </c>
      <c r="BG488" t="s">
        <v>74</v>
      </c>
      <c r="BH488" t="s">
        <v>74</v>
      </c>
      <c r="BI488">
        <v>21</v>
      </c>
      <c r="BJ488" t="s">
        <v>101</v>
      </c>
      <c r="BK488" t="s">
        <v>102</v>
      </c>
      <c r="BL488" t="s">
        <v>103</v>
      </c>
      <c r="BM488" t="s">
        <v>6864</v>
      </c>
      <c r="BN488">
        <v>30641502</v>
      </c>
      <c r="BO488" t="s">
        <v>179</v>
      </c>
      <c r="BP488" t="s">
        <v>74</v>
      </c>
      <c r="BQ488" t="s">
        <v>74</v>
      </c>
      <c r="BR488" t="s">
        <v>106</v>
      </c>
      <c r="BS488" t="s">
        <v>7891</v>
      </c>
      <c r="BT488" t="str">
        <f>HYPERLINK("https%3A%2F%2Fwww.webofscience.com%2Fwos%2Fwoscc%2Ffull-record%2FWOS:000461060600005","View Full Record in Web of Science")</f>
        <v>View Full Record in Web of Science</v>
      </c>
    </row>
    <row r="489" spans="1:72" x14ac:dyDescent="0.25">
      <c r="A489" t="s">
        <v>72</v>
      </c>
      <c r="B489" t="s">
        <v>7892</v>
      </c>
      <c r="C489" t="s">
        <v>74</v>
      </c>
      <c r="D489" t="s">
        <v>74</v>
      </c>
      <c r="E489" t="s">
        <v>74</v>
      </c>
      <c r="F489" t="s">
        <v>7893</v>
      </c>
      <c r="G489" t="s">
        <v>74</v>
      </c>
      <c r="H489" t="s">
        <v>74</v>
      </c>
      <c r="I489" t="s">
        <v>7894</v>
      </c>
      <c r="J489" t="s">
        <v>77</v>
      </c>
      <c r="K489" t="s">
        <v>74</v>
      </c>
      <c r="L489" t="s">
        <v>74</v>
      </c>
      <c r="M489" t="s">
        <v>78</v>
      </c>
      <c r="N489" t="s">
        <v>79</v>
      </c>
      <c r="O489" t="s">
        <v>74</v>
      </c>
      <c r="P489" t="s">
        <v>74</v>
      </c>
      <c r="Q489" t="s">
        <v>74</v>
      </c>
      <c r="R489" t="s">
        <v>74</v>
      </c>
      <c r="S489" t="s">
        <v>74</v>
      </c>
      <c r="T489" t="s">
        <v>7895</v>
      </c>
      <c r="U489" t="s">
        <v>7896</v>
      </c>
      <c r="V489" t="s">
        <v>7897</v>
      </c>
      <c r="W489" t="s">
        <v>7898</v>
      </c>
      <c r="X489" t="s">
        <v>7899</v>
      </c>
      <c r="Y489" t="s">
        <v>7900</v>
      </c>
      <c r="Z489" t="s">
        <v>7901</v>
      </c>
      <c r="AA489" t="s">
        <v>7902</v>
      </c>
      <c r="AB489" t="s">
        <v>7903</v>
      </c>
      <c r="AC489" t="s">
        <v>7904</v>
      </c>
      <c r="AD489" t="s">
        <v>7905</v>
      </c>
      <c r="AE489" t="s">
        <v>7906</v>
      </c>
      <c r="AF489" t="s">
        <v>74</v>
      </c>
      <c r="AG489">
        <v>53</v>
      </c>
      <c r="AH489">
        <v>24</v>
      </c>
      <c r="AI489">
        <v>24</v>
      </c>
      <c r="AJ489">
        <v>0</v>
      </c>
      <c r="AK489">
        <v>5</v>
      </c>
      <c r="AL489" t="s">
        <v>92</v>
      </c>
      <c r="AM489" t="s">
        <v>93</v>
      </c>
      <c r="AN489" t="s">
        <v>94</v>
      </c>
      <c r="AO489" t="s">
        <v>95</v>
      </c>
      <c r="AP489" t="s">
        <v>96</v>
      </c>
      <c r="AQ489" t="s">
        <v>74</v>
      </c>
      <c r="AR489" t="s">
        <v>97</v>
      </c>
      <c r="AS489" t="s">
        <v>98</v>
      </c>
      <c r="AT489" t="s">
        <v>436</v>
      </c>
      <c r="AU489">
        <v>2019</v>
      </c>
      <c r="AV489">
        <v>64</v>
      </c>
      <c r="AW489">
        <v>6</v>
      </c>
      <c r="AX489" t="s">
        <v>74</v>
      </c>
      <c r="AY489" t="s">
        <v>74</v>
      </c>
      <c r="AZ489" t="s">
        <v>74</v>
      </c>
      <c r="BA489" t="s">
        <v>74</v>
      </c>
      <c r="BB489" t="s">
        <v>74</v>
      </c>
      <c r="BC489" t="s">
        <v>74</v>
      </c>
      <c r="BD489">
        <v>65009</v>
      </c>
      <c r="BE489" t="s">
        <v>7907</v>
      </c>
      <c r="BF489" t="str">
        <f>HYPERLINK("http://dx.doi.org/10.1088/1361-6560/ab038b","http://dx.doi.org/10.1088/1361-6560/ab038b")</f>
        <v>http://dx.doi.org/10.1088/1361-6560/ab038b</v>
      </c>
      <c r="BG489" t="s">
        <v>74</v>
      </c>
      <c r="BH489" t="s">
        <v>74</v>
      </c>
      <c r="BI489">
        <v>15</v>
      </c>
      <c r="BJ489" t="s">
        <v>101</v>
      </c>
      <c r="BK489" t="s">
        <v>102</v>
      </c>
      <c r="BL489" t="s">
        <v>103</v>
      </c>
      <c r="BM489" t="s">
        <v>6864</v>
      </c>
      <c r="BN489">
        <v>30703756</v>
      </c>
      <c r="BO489" t="s">
        <v>74</v>
      </c>
      <c r="BP489" t="s">
        <v>74</v>
      </c>
      <c r="BQ489" t="s">
        <v>74</v>
      </c>
      <c r="BR489" t="s">
        <v>106</v>
      </c>
      <c r="BS489" t="s">
        <v>7908</v>
      </c>
      <c r="BT489" t="str">
        <f>HYPERLINK("https%3A%2F%2Fwww.webofscience.com%2Fwos%2Fwoscc%2Ffull-record%2FWOS:000461060600003","View Full Record in Web of Science")</f>
        <v>View Full Record in Web of Science</v>
      </c>
    </row>
    <row r="490" spans="1:72" x14ac:dyDescent="0.25">
      <c r="A490" t="s">
        <v>72</v>
      </c>
      <c r="B490" t="s">
        <v>7909</v>
      </c>
      <c r="C490" t="s">
        <v>74</v>
      </c>
      <c r="D490" t="s">
        <v>74</v>
      </c>
      <c r="E490" t="s">
        <v>74</v>
      </c>
      <c r="F490" t="s">
        <v>7910</v>
      </c>
      <c r="G490" t="s">
        <v>74</v>
      </c>
      <c r="H490" t="s">
        <v>74</v>
      </c>
      <c r="I490" t="s">
        <v>7911</v>
      </c>
      <c r="J490" t="s">
        <v>77</v>
      </c>
      <c r="K490" t="s">
        <v>74</v>
      </c>
      <c r="L490" t="s">
        <v>74</v>
      </c>
      <c r="M490" t="s">
        <v>78</v>
      </c>
      <c r="N490" t="s">
        <v>79</v>
      </c>
      <c r="O490" t="s">
        <v>74</v>
      </c>
      <c r="P490" t="s">
        <v>74</v>
      </c>
      <c r="Q490" t="s">
        <v>74</v>
      </c>
      <c r="R490" t="s">
        <v>74</v>
      </c>
      <c r="S490" t="s">
        <v>74</v>
      </c>
      <c r="T490" t="s">
        <v>7912</v>
      </c>
      <c r="U490" t="s">
        <v>7913</v>
      </c>
      <c r="V490" t="s">
        <v>7914</v>
      </c>
      <c r="W490" t="s">
        <v>7915</v>
      </c>
      <c r="X490" t="s">
        <v>7916</v>
      </c>
      <c r="Y490" t="s">
        <v>7917</v>
      </c>
      <c r="Z490" t="s">
        <v>7918</v>
      </c>
      <c r="AA490" t="s">
        <v>7919</v>
      </c>
      <c r="AB490" t="s">
        <v>7920</v>
      </c>
      <c r="AC490" t="s">
        <v>74</v>
      </c>
      <c r="AD490" t="s">
        <v>74</v>
      </c>
      <c r="AE490" t="s">
        <v>74</v>
      </c>
      <c r="AF490" t="s">
        <v>74</v>
      </c>
      <c r="AG490">
        <v>26</v>
      </c>
      <c r="AH490">
        <v>6</v>
      </c>
      <c r="AI490">
        <v>6</v>
      </c>
      <c r="AJ490">
        <v>0</v>
      </c>
      <c r="AK490">
        <v>4</v>
      </c>
      <c r="AL490" t="s">
        <v>92</v>
      </c>
      <c r="AM490" t="s">
        <v>93</v>
      </c>
      <c r="AN490" t="s">
        <v>94</v>
      </c>
      <c r="AO490" t="s">
        <v>95</v>
      </c>
      <c r="AP490" t="s">
        <v>96</v>
      </c>
      <c r="AQ490" t="s">
        <v>74</v>
      </c>
      <c r="AR490" t="s">
        <v>97</v>
      </c>
      <c r="AS490" t="s">
        <v>98</v>
      </c>
      <c r="AT490" t="s">
        <v>646</v>
      </c>
      <c r="AU490">
        <v>2019</v>
      </c>
      <c r="AV490">
        <v>64</v>
      </c>
      <c r="AW490">
        <v>3</v>
      </c>
      <c r="AX490" t="s">
        <v>74</v>
      </c>
      <c r="AY490" t="s">
        <v>74</v>
      </c>
      <c r="AZ490" t="s">
        <v>74</v>
      </c>
      <c r="BA490" t="s">
        <v>74</v>
      </c>
      <c r="BB490" t="s">
        <v>74</v>
      </c>
      <c r="BC490" t="s">
        <v>74</v>
      </c>
      <c r="BD490">
        <v>35006</v>
      </c>
      <c r="BE490" t="s">
        <v>7921</v>
      </c>
      <c r="BF490" t="str">
        <f>HYPERLINK("http://dx.doi.org/10.1088/1361-6560/aaf971","http://dx.doi.org/10.1088/1361-6560/aaf971")</f>
        <v>http://dx.doi.org/10.1088/1361-6560/aaf971</v>
      </c>
      <c r="BG490" t="s">
        <v>74</v>
      </c>
      <c r="BH490" t="s">
        <v>74</v>
      </c>
      <c r="BI490">
        <v>13</v>
      </c>
      <c r="BJ490" t="s">
        <v>101</v>
      </c>
      <c r="BK490" t="s">
        <v>102</v>
      </c>
      <c r="BL490" t="s">
        <v>103</v>
      </c>
      <c r="BM490" t="s">
        <v>648</v>
      </c>
      <c r="BN490">
        <v>30561377</v>
      </c>
      <c r="BO490" t="s">
        <v>74</v>
      </c>
      <c r="BP490" t="s">
        <v>74</v>
      </c>
      <c r="BQ490" t="s">
        <v>74</v>
      </c>
      <c r="BR490" t="s">
        <v>106</v>
      </c>
      <c r="BS490" t="s">
        <v>7922</v>
      </c>
      <c r="BT490" t="str">
        <f>HYPERLINK("https%3A%2F%2Fwww.webofscience.com%2Fwos%2Fwoscc%2Ffull-record%2FWOS:000456840500005","View Full Record in Web of Science")</f>
        <v>View Full Record in Web of Science</v>
      </c>
    </row>
    <row r="491" spans="1:72" x14ac:dyDescent="0.25">
      <c r="A491" t="s">
        <v>72</v>
      </c>
      <c r="B491" t="s">
        <v>7923</v>
      </c>
      <c r="C491" t="s">
        <v>74</v>
      </c>
      <c r="D491" t="s">
        <v>74</v>
      </c>
      <c r="E491" t="s">
        <v>74</v>
      </c>
      <c r="F491" t="s">
        <v>7924</v>
      </c>
      <c r="G491" t="s">
        <v>74</v>
      </c>
      <c r="H491" t="s">
        <v>74</v>
      </c>
      <c r="I491" t="s">
        <v>7925</v>
      </c>
      <c r="J491" t="s">
        <v>77</v>
      </c>
      <c r="K491" t="s">
        <v>74</v>
      </c>
      <c r="L491" t="s">
        <v>74</v>
      </c>
      <c r="M491" t="s">
        <v>78</v>
      </c>
      <c r="N491" t="s">
        <v>79</v>
      </c>
      <c r="O491" t="s">
        <v>74</v>
      </c>
      <c r="P491" t="s">
        <v>74</v>
      </c>
      <c r="Q491" t="s">
        <v>74</v>
      </c>
      <c r="R491" t="s">
        <v>74</v>
      </c>
      <c r="S491" t="s">
        <v>74</v>
      </c>
      <c r="T491" t="s">
        <v>7926</v>
      </c>
      <c r="U491" t="s">
        <v>7927</v>
      </c>
      <c r="V491" t="s">
        <v>7928</v>
      </c>
      <c r="W491" t="s">
        <v>7929</v>
      </c>
      <c r="X491" t="s">
        <v>7930</v>
      </c>
      <c r="Y491" t="s">
        <v>7931</v>
      </c>
      <c r="Z491" t="s">
        <v>7932</v>
      </c>
      <c r="AA491" t="s">
        <v>7933</v>
      </c>
      <c r="AB491" t="s">
        <v>7934</v>
      </c>
      <c r="AC491" t="s">
        <v>7935</v>
      </c>
      <c r="AD491" t="s">
        <v>5462</v>
      </c>
      <c r="AE491" t="s">
        <v>7936</v>
      </c>
      <c r="AF491" t="s">
        <v>74</v>
      </c>
      <c r="AG491">
        <v>28</v>
      </c>
      <c r="AH491">
        <v>4</v>
      </c>
      <c r="AI491">
        <v>4</v>
      </c>
      <c r="AJ491">
        <v>0</v>
      </c>
      <c r="AK491">
        <v>3</v>
      </c>
      <c r="AL491" t="s">
        <v>92</v>
      </c>
      <c r="AM491" t="s">
        <v>93</v>
      </c>
      <c r="AN491" t="s">
        <v>94</v>
      </c>
      <c r="AO491" t="s">
        <v>95</v>
      </c>
      <c r="AP491" t="s">
        <v>96</v>
      </c>
      <c r="AQ491" t="s">
        <v>74</v>
      </c>
      <c r="AR491" t="s">
        <v>97</v>
      </c>
      <c r="AS491" t="s">
        <v>98</v>
      </c>
      <c r="AT491" t="s">
        <v>646</v>
      </c>
      <c r="AU491">
        <v>2019</v>
      </c>
      <c r="AV491">
        <v>64</v>
      </c>
      <c r="AW491">
        <v>3</v>
      </c>
      <c r="AX491" t="s">
        <v>74</v>
      </c>
      <c r="AY491" t="s">
        <v>74</v>
      </c>
      <c r="AZ491" t="s">
        <v>74</v>
      </c>
      <c r="BA491" t="s">
        <v>74</v>
      </c>
      <c r="BB491" t="s">
        <v>74</v>
      </c>
      <c r="BC491" t="s">
        <v>74</v>
      </c>
      <c r="BD491" t="s">
        <v>7937</v>
      </c>
      <c r="BE491" t="s">
        <v>7938</v>
      </c>
      <c r="BF491" t="str">
        <f>HYPERLINK("http://dx.doi.org/10.1088/1361-6560/aaf9dd","http://dx.doi.org/10.1088/1361-6560/aaf9dd")</f>
        <v>http://dx.doi.org/10.1088/1361-6560/aaf9dd</v>
      </c>
      <c r="BG491" t="s">
        <v>74</v>
      </c>
      <c r="BH491" t="s">
        <v>74</v>
      </c>
      <c r="BI491">
        <v>10</v>
      </c>
      <c r="BJ491" t="s">
        <v>101</v>
      </c>
      <c r="BK491" t="s">
        <v>102</v>
      </c>
      <c r="BL491" t="s">
        <v>103</v>
      </c>
      <c r="BM491" t="s">
        <v>7939</v>
      </c>
      <c r="BN491">
        <v>30566913</v>
      </c>
      <c r="BO491" t="s">
        <v>105</v>
      </c>
      <c r="BP491" t="s">
        <v>74</v>
      </c>
      <c r="BQ491" t="s">
        <v>74</v>
      </c>
      <c r="BR491" t="s">
        <v>106</v>
      </c>
      <c r="BS491" t="s">
        <v>7940</v>
      </c>
      <c r="BT491" t="str">
        <f>HYPERLINK("https%3A%2F%2Fwww.webofscience.com%2Fwos%2Fwoscc%2Ffull-record%2FWOS:000456325200001","View Full Record in Web of Science")</f>
        <v>View Full Record in Web of Science</v>
      </c>
    </row>
    <row r="492" spans="1:72" x14ac:dyDescent="0.25">
      <c r="A492" t="s">
        <v>72</v>
      </c>
      <c r="B492" t="s">
        <v>7941</v>
      </c>
      <c r="C492" t="s">
        <v>74</v>
      </c>
      <c r="D492" t="s">
        <v>74</v>
      </c>
      <c r="E492" t="s">
        <v>74</v>
      </c>
      <c r="F492" t="s">
        <v>7942</v>
      </c>
      <c r="G492" t="s">
        <v>74</v>
      </c>
      <c r="H492" t="s">
        <v>74</v>
      </c>
      <c r="I492" t="s">
        <v>7943</v>
      </c>
      <c r="J492" t="s">
        <v>77</v>
      </c>
      <c r="K492" t="s">
        <v>74</v>
      </c>
      <c r="L492" t="s">
        <v>74</v>
      </c>
      <c r="M492" t="s">
        <v>78</v>
      </c>
      <c r="N492" t="s">
        <v>79</v>
      </c>
      <c r="O492" t="s">
        <v>74</v>
      </c>
      <c r="P492" t="s">
        <v>74</v>
      </c>
      <c r="Q492" t="s">
        <v>74</v>
      </c>
      <c r="R492" t="s">
        <v>74</v>
      </c>
      <c r="S492" t="s">
        <v>74</v>
      </c>
      <c r="T492" t="s">
        <v>7944</v>
      </c>
      <c r="U492" t="s">
        <v>7945</v>
      </c>
      <c r="V492" t="s">
        <v>7946</v>
      </c>
      <c r="W492" t="s">
        <v>7947</v>
      </c>
      <c r="X492" t="s">
        <v>7948</v>
      </c>
      <c r="Y492" t="s">
        <v>6294</v>
      </c>
      <c r="Z492" t="s">
        <v>1205</v>
      </c>
      <c r="AA492" t="s">
        <v>7949</v>
      </c>
      <c r="AB492" t="s">
        <v>7950</v>
      </c>
      <c r="AC492" t="s">
        <v>7951</v>
      </c>
      <c r="AD492" t="s">
        <v>7952</v>
      </c>
      <c r="AE492" t="s">
        <v>7953</v>
      </c>
      <c r="AF492" t="s">
        <v>74</v>
      </c>
      <c r="AG492">
        <v>31</v>
      </c>
      <c r="AH492">
        <v>21</v>
      </c>
      <c r="AI492">
        <v>25</v>
      </c>
      <c r="AJ492">
        <v>5</v>
      </c>
      <c r="AK492">
        <v>13</v>
      </c>
      <c r="AL492" t="s">
        <v>157</v>
      </c>
      <c r="AM492" t="s">
        <v>93</v>
      </c>
      <c r="AN492" t="s">
        <v>94</v>
      </c>
      <c r="AO492" t="s">
        <v>95</v>
      </c>
      <c r="AP492" t="s">
        <v>96</v>
      </c>
      <c r="AQ492" t="s">
        <v>74</v>
      </c>
      <c r="AR492" t="s">
        <v>97</v>
      </c>
      <c r="AS492" t="s">
        <v>98</v>
      </c>
      <c r="AT492" t="s">
        <v>646</v>
      </c>
      <c r="AU492">
        <v>2019</v>
      </c>
      <c r="AV492">
        <v>64</v>
      </c>
      <c r="AW492">
        <v>4</v>
      </c>
      <c r="AX492" t="s">
        <v>74</v>
      </c>
      <c r="AY492" t="s">
        <v>74</v>
      </c>
      <c r="AZ492" t="s">
        <v>74</v>
      </c>
      <c r="BA492" t="s">
        <v>74</v>
      </c>
      <c r="BB492" t="s">
        <v>74</v>
      </c>
      <c r="BC492" t="s">
        <v>74</v>
      </c>
      <c r="BD492">
        <v>45005</v>
      </c>
      <c r="BE492" t="s">
        <v>7954</v>
      </c>
      <c r="BF492" t="str">
        <f>HYPERLINK("http://dx.doi.org/10.1088/1361-6560/aafcdb","http://dx.doi.org/10.1088/1361-6560/aafcdb")</f>
        <v>http://dx.doi.org/10.1088/1361-6560/aafcdb</v>
      </c>
      <c r="BG492" t="s">
        <v>74</v>
      </c>
      <c r="BH492" t="s">
        <v>74</v>
      </c>
      <c r="BI492">
        <v>20</v>
      </c>
      <c r="BJ492" t="s">
        <v>101</v>
      </c>
      <c r="BK492" t="s">
        <v>102</v>
      </c>
      <c r="BL492" t="s">
        <v>103</v>
      </c>
      <c r="BM492" t="s">
        <v>2257</v>
      </c>
      <c r="BN492">
        <v>30625430</v>
      </c>
      <c r="BO492" t="s">
        <v>74</v>
      </c>
      <c r="BP492" t="s">
        <v>74</v>
      </c>
      <c r="BQ492" t="s">
        <v>74</v>
      </c>
      <c r="BR492" t="s">
        <v>106</v>
      </c>
      <c r="BS492" t="s">
        <v>7955</v>
      </c>
      <c r="BT492" t="str">
        <f>HYPERLINK("https%3A%2F%2Fwww.webofscience.com%2Fwos%2Fwoscc%2Ffull-record%2FWOS:000457845700005","View Full Record in Web of Science")</f>
        <v>View Full Record in Web of Science</v>
      </c>
    </row>
    <row r="493" spans="1:72" x14ac:dyDescent="0.25">
      <c r="A493" t="s">
        <v>72</v>
      </c>
      <c r="B493" t="s">
        <v>7956</v>
      </c>
      <c r="C493" t="s">
        <v>74</v>
      </c>
      <c r="D493" t="s">
        <v>74</v>
      </c>
      <c r="E493" t="s">
        <v>74</v>
      </c>
      <c r="F493" t="s">
        <v>7957</v>
      </c>
      <c r="G493" t="s">
        <v>74</v>
      </c>
      <c r="H493" t="s">
        <v>74</v>
      </c>
      <c r="I493" t="s">
        <v>7958</v>
      </c>
      <c r="J493" t="s">
        <v>77</v>
      </c>
      <c r="K493" t="s">
        <v>74</v>
      </c>
      <c r="L493" t="s">
        <v>74</v>
      </c>
      <c r="M493" t="s">
        <v>78</v>
      </c>
      <c r="N493" t="s">
        <v>79</v>
      </c>
      <c r="O493" t="s">
        <v>74</v>
      </c>
      <c r="P493" t="s">
        <v>74</v>
      </c>
      <c r="Q493" t="s">
        <v>74</v>
      </c>
      <c r="R493" t="s">
        <v>74</v>
      </c>
      <c r="S493" t="s">
        <v>74</v>
      </c>
      <c r="T493" t="s">
        <v>7959</v>
      </c>
      <c r="U493" t="s">
        <v>7960</v>
      </c>
      <c r="V493" t="s">
        <v>7961</v>
      </c>
      <c r="W493" t="s">
        <v>7962</v>
      </c>
      <c r="X493" t="s">
        <v>7963</v>
      </c>
      <c r="Y493" t="s">
        <v>7964</v>
      </c>
      <c r="Z493" t="s">
        <v>7965</v>
      </c>
      <c r="AA493" t="s">
        <v>7966</v>
      </c>
      <c r="AB493" t="s">
        <v>7967</v>
      </c>
      <c r="AC493" t="s">
        <v>7968</v>
      </c>
      <c r="AD493" t="s">
        <v>7969</v>
      </c>
      <c r="AE493" t="s">
        <v>7970</v>
      </c>
      <c r="AF493" t="s">
        <v>74</v>
      </c>
      <c r="AG493">
        <v>35</v>
      </c>
      <c r="AH493">
        <v>9</v>
      </c>
      <c r="AI493">
        <v>9</v>
      </c>
      <c r="AJ493">
        <v>0</v>
      </c>
      <c r="AK493">
        <v>10</v>
      </c>
      <c r="AL493" t="s">
        <v>92</v>
      </c>
      <c r="AM493" t="s">
        <v>93</v>
      </c>
      <c r="AN493" t="s">
        <v>94</v>
      </c>
      <c r="AO493" t="s">
        <v>95</v>
      </c>
      <c r="AP493" t="s">
        <v>96</v>
      </c>
      <c r="AQ493" t="s">
        <v>74</v>
      </c>
      <c r="AR493" t="s">
        <v>97</v>
      </c>
      <c r="AS493" t="s">
        <v>98</v>
      </c>
      <c r="AT493" t="s">
        <v>471</v>
      </c>
      <c r="AU493">
        <v>2019</v>
      </c>
      <c r="AV493">
        <v>64</v>
      </c>
      <c r="AW493">
        <v>2</v>
      </c>
      <c r="AX493" t="s">
        <v>74</v>
      </c>
      <c r="AY493" t="s">
        <v>74</v>
      </c>
      <c r="AZ493" t="s">
        <v>74</v>
      </c>
      <c r="BA493" t="s">
        <v>74</v>
      </c>
      <c r="BB493" t="s">
        <v>74</v>
      </c>
      <c r="BC493" t="s">
        <v>74</v>
      </c>
      <c r="BD493">
        <v>25016</v>
      </c>
      <c r="BE493" t="s">
        <v>7971</v>
      </c>
      <c r="BF493" t="str">
        <f>HYPERLINK("http://dx.doi.org/10.1088/1361-6560/aaf96f","http://dx.doi.org/10.1088/1361-6560/aaf96f")</f>
        <v>http://dx.doi.org/10.1088/1361-6560/aaf96f</v>
      </c>
      <c r="BG493" t="s">
        <v>74</v>
      </c>
      <c r="BH493" t="s">
        <v>74</v>
      </c>
      <c r="BI493">
        <v>14</v>
      </c>
      <c r="BJ493" t="s">
        <v>101</v>
      </c>
      <c r="BK493" t="s">
        <v>102</v>
      </c>
      <c r="BL493" t="s">
        <v>103</v>
      </c>
      <c r="BM493" t="s">
        <v>680</v>
      </c>
      <c r="BN493">
        <v>30561376</v>
      </c>
      <c r="BO493" t="s">
        <v>74</v>
      </c>
      <c r="BP493" t="s">
        <v>74</v>
      </c>
      <c r="BQ493" t="s">
        <v>74</v>
      </c>
      <c r="BR493" t="s">
        <v>106</v>
      </c>
      <c r="BS493" t="s">
        <v>7972</v>
      </c>
      <c r="BT493" t="str">
        <f>HYPERLINK("https%3A%2F%2Fwww.webofscience.com%2Fwos%2Fwoscc%2Ffull-record%2FWOS:000456065500001","View Full Record in Web of Science")</f>
        <v>View Full Record in Web of Science</v>
      </c>
    </row>
    <row r="494" spans="1:72" x14ac:dyDescent="0.25">
      <c r="A494" t="s">
        <v>72</v>
      </c>
      <c r="B494" t="s">
        <v>7973</v>
      </c>
      <c r="C494" t="s">
        <v>74</v>
      </c>
      <c r="D494" t="s">
        <v>74</v>
      </c>
      <c r="E494" t="s">
        <v>74</v>
      </c>
      <c r="F494" t="s">
        <v>7974</v>
      </c>
      <c r="G494" t="s">
        <v>74</v>
      </c>
      <c r="H494" t="s">
        <v>74</v>
      </c>
      <c r="I494" t="s">
        <v>7975</v>
      </c>
      <c r="J494" t="s">
        <v>77</v>
      </c>
      <c r="K494" t="s">
        <v>74</v>
      </c>
      <c r="L494" t="s">
        <v>74</v>
      </c>
      <c r="M494" t="s">
        <v>78</v>
      </c>
      <c r="N494" t="s">
        <v>79</v>
      </c>
      <c r="O494" t="s">
        <v>74</v>
      </c>
      <c r="P494" t="s">
        <v>74</v>
      </c>
      <c r="Q494" t="s">
        <v>74</v>
      </c>
      <c r="R494" t="s">
        <v>74</v>
      </c>
      <c r="S494" t="s">
        <v>74</v>
      </c>
      <c r="T494" t="s">
        <v>7976</v>
      </c>
      <c r="U494" t="s">
        <v>7977</v>
      </c>
      <c r="V494" t="s">
        <v>7978</v>
      </c>
      <c r="W494" t="s">
        <v>7979</v>
      </c>
      <c r="X494" t="s">
        <v>7980</v>
      </c>
      <c r="Y494" t="s">
        <v>7981</v>
      </c>
      <c r="Z494" t="s">
        <v>7982</v>
      </c>
      <c r="AA494" t="s">
        <v>74</v>
      </c>
      <c r="AB494" t="s">
        <v>7983</v>
      </c>
      <c r="AC494" t="s">
        <v>7984</v>
      </c>
      <c r="AD494" t="s">
        <v>7985</v>
      </c>
      <c r="AE494" t="s">
        <v>7986</v>
      </c>
      <c r="AF494" t="s">
        <v>74</v>
      </c>
      <c r="AG494">
        <v>39</v>
      </c>
      <c r="AH494">
        <v>5</v>
      </c>
      <c r="AI494">
        <v>5</v>
      </c>
      <c r="AJ494">
        <v>0</v>
      </c>
      <c r="AK494">
        <v>1</v>
      </c>
      <c r="AL494" t="s">
        <v>92</v>
      </c>
      <c r="AM494" t="s">
        <v>93</v>
      </c>
      <c r="AN494" t="s">
        <v>94</v>
      </c>
      <c r="AO494" t="s">
        <v>95</v>
      </c>
      <c r="AP494" t="s">
        <v>96</v>
      </c>
      <c r="AQ494" t="s">
        <v>74</v>
      </c>
      <c r="AR494" t="s">
        <v>97</v>
      </c>
      <c r="AS494" t="s">
        <v>98</v>
      </c>
      <c r="AT494" t="s">
        <v>471</v>
      </c>
      <c r="AU494">
        <v>2019</v>
      </c>
      <c r="AV494">
        <v>64</v>
      </c>
      <c r="AW494">
        <v>2</v>
      </c>
      <c r="AX494" t="s">
        <v>74</v>
      </c>
      <c r="AY494" t="s">
        <v>74</v>
      </c>
      <c r="AZ494" t="s">
        <v>74</v>
      </c>
      <c r="BA494" t="s">
        <v>74</v>
      </c>
      <c r="BB494" t="s">
        <v>74</v>
      </c>
      <c r="BC494" t="s">
        <v>74</v>
      </c>
      <c r="BD494">
        <v>25019</v>
      </c>
      <c r="BE494" t="s">
        <v>7987</v>
      </c>
      <c r="BF494" t="str">
        <f>HYPERLINK("http://dx.doi.org/10.1088/1361-6560/aafa0a","http://dx.doi.org/10.1088/1361-6560/aafa0a")</f>
        <v>http://dx.doi.org/10.1088/1361-6560/aafa0a</v>
      </c>
      <c r="BG494" t="s">
        <v>74</v>
      </c>
      <c r="BH494" t="s">
        <v>74</v>
      </c>
      <c r="BI494">
        <v>14</v>
      </c>
      <c r="BJ494" t="s">
        <v>101</v>
      </c>
      <c r="BK494" t="s">
        <v>102</v>
      </c>
      <c r="BL494" t="s">
        <v>103</v>
      </c>
      <c r="BM494" t="s">
        <v>4843</v>
      </c>
      <c r="BN494">
        <v>30566922</v>
      </c>
      <c r="BO494" t="s">
        <v>74</v>
      </c>
      <c r="BP494" t="s">
        <v>74</v>
      </c>
      <c r="BQ494" t="s">
        <v>74</v>
      </c>
      <c r="BR494" t="s">
        <v>106</v>
      </c>
      <c r="BS494" t="s">
        <v>7988</v>
      </c>
      <c r="BT494" t="str">
        <f>HYPERLINK("https%3A%2F%2Fwww.webofscience.com%2Fwos%2Fwoscc%2Ffull-record%2FWOS:000456268100002","View Full Record in Web of Science")</f>
        <v>View Full Record in Web of Science</v>
      </c>
    </row>
    <row r="495" spans="1:72" x14ac:dyDescent="0.25">
      <c r="A495" t="s">
        <v>72</v>
      </c>
      <c r="B495" t="s">
        <v>7989</v>
      </c>
      <c r="C495" t="s">
        <v>74</v>
      </c>
      <c r="D495" t="s">
        <v>74</v>
      </c>
      <c r="E495" t="s">
        <v>74</v>
      </c>
      <c r="F495" t="s">
        <v>7990</v>
      </c>
      <c r="G495" t="s">
        <v>74</v>
      </c>
      <c r="H495" t="s">
        <v>74</v>
      </c>
      <c r="I495" t="s">
        <v>7991</v>
      </c>
      <c r="J495" t="s">
        <v>77</v>
      </c>
      <c r="K495" t="s">
        <v>74</v>
      </c>
      <c r="L495" t="s">
        <v>74</v>
      </c>
      <c r="M495" t="s">
        <v>78</v>
      </c>
      <c r="N495" t="s">
        <v>79</v>
      </c>
      <c r="O495" t="s">
        <v>74</v>
      </c>
      <c r="P495" t="s">
        <v>74</v>
      </c>
      <c r="Q495" t="s">
        <v>74</v>
      </c>
      <c r="R495" t="s">
        <v>74</v>
      </c>
      <c r="S495" t="s">
        <v>74</v>
      </c>
      <c r="T495" t="s">
        <v>7992</v>
      </c>
      <c r="U495" t="s">
        <v>7993</v>
      </c>
      <c r="V495" t="s">
        <v>7994</v>
      </c>
      <c r="W495" t="s">
        <v>7995</v>
      </c>
      <c r="X495" t="s">
        <v>7996</v>
      </c>
      <c r="Y495" t="s">
        <v>7997</v>
      </c>
      <c r="Z495" t="s">
        <v>7998</v>
      </c>
      <c r="AA495" t="s">
        <v>7999</v>
      </c>
      <c r="AB495" t="s">
        <v>8000</v>
      </c>
      <c r="AC495" t="s">
        <v>74</v>
      </c>
      <c r="AD495" t="s">
        <v>74</v>
      </c>
      <c r="AE495" t="s">
        <v>74</v>
      </c>
      <c r="AF495" t="s">
        <v>74</v>
      </c>
      <c r="AG495">
        <v>42</v>
      </c>
      <c r="AH495">
        <v>6</v>
      </c>
      <c r="AI495">
        <v>6</v>
      </c>
      <c r="AJ495">
        <v>1</v>
      </c>
      <c r="AK495">
        <v>29</v>
      </c>
      <c r="AL495" t="s">
        <v>92</v>
      </c>
      <c r="AM495" t="s">
        <v>93</v>
      </c>
      <c r="AN495" t="s">
        <v>94</v>
      </c>
      <c r="AO495" t="s">
        <v>95</v>
      </c>
      <c r="AP495" t="s">
        <v>96</v>
      </c>
      <c r="AQ495" t="s">
        <v>74</v>
      </c>
      <c r="AR495" t="s">
        <v>97</v>
      </c>
      <c r="AS495" t="s">
        <v>98</v>
      </c>
      <c r="AT495" t="s">
        <v>471</v>
      </c>
      <c r="AU495">
        <v>2019</v>
      </c>
      <c r="AV495">
        <v>64</v>
      </c>
      <c r="AW495">
        <v>2</v>
      </c>
      <c r="AX495" t="s">
        <v>74</v>
      </c>
      <c r="AY495" t="s">
        <v>74</v>
      </c>
      <c r="AZ495" t="s">
        <v>74</v>
      </c>
      <c r="BA495" t="s">
        <v>74</v>
      </c>
      <c r="BB495" t="s">
        <v>74</v>
      </c>
      <c r="BC495" t="s">
        <v>74</v>
      </c>
      <c r="BD495">
        <v>25012</v>
      </c>
      <c r="BE495" t="s">
        <v>8001</v>
      </c>
      <c r="BF495" t="str">
        <f>HYPERLINK("http://dx.doi.org/10.1088/1361-6560/aaf5f6","http://dx.doi.org/10.1088/1361-6560/aaf5f6")</f>
        <v>http://dx.doi.org/10.1088/1361-6560/aaf5f6</v>
      </c>
      <c r="BG495" t="s">
        <v>74</v>
      </c>
      <c r="BH495" t="s">
        <v>74</v>
      </c>
      <c r="BI495">
        <v>22</v>
      </c>
      <c r="BJ495" t="s">
        <v>101</v>
      </c>
      <c r="BK495" t="s">
        <v>102</v>
      </c>
      <c r="BL495" t="s">
        <v>103</v>
      </c>
      <c r="BM495" t="s">
        <v>3082</v>
      </c>
      <c r="BN495">
        <v>30523916</v>
      </c>
      <c r="BO495" t="s">
        <v>74</v>
      </c>
      <c r="BP495" t="s">
        <v>74</v>
      </c>
      <c r="BQ495" t="s">
        <v>74</v>
      </c>
      <c r="BR495" t="s">
        <v>106</v>
      </c>
      <c r="BS495" t="s">
        <v>8002</v>
      </c>
      <c r="BT495" t="str">
        <f>HYPERLINK("https%3A%2F%2Fwww.webofscience.com%2Fwos%2Fwoscc%2Ffull-record%2FWOS:000455823300009","View Full Record in Web of Science")</f>
        <v>View Full Record in Web of Science</v>
      </c>
    </row>
    <row r="496" spans="1:72" x14ac:dyDescent="0.25">
      <c r="A496" t="s">
        <v>72</v>
      </c>
      <c r="B496" t="s">
        <v>8003</v>
      </c>
      <c r="C496" t="s">
        <v>74</v>
      </c>
      <c r="D496" t="s">
        <v>74</v>
      </c>
      <c r="E496" t="s">
        <v>74</v>
      </c>
      <c r="F496" t="s">
        <v>8004</v>
      </c>
      <c r="G496" t="s">
        <v>74</v>
      </c>
      <c r="H496" t="s">
        <v>74</v>
      </c>
      <c r="I496" t="s">
        <v>8005</v>
      </c>
      <c r="J496" t="s">
        <v>77</v>
      </c>
      <c r="K496" t="s">
        <v>74</v>
      </c>
      <c r="L496" t="s">
        <v>74</v>
      </c>
      <c r="M496" t="s">
        <v>78</v>
      </c>
      <c r="N496" t="s">
        <v>79</v>
      </c>
      <c r="O496" t="s">
        <v>74</v>
      </c>
      <c r="P496" t="s">
        <v>74</v>
      </c>
      <c r="Q496" t="s">
        <v>74</v>
      </c>
      <c r="R496" t="s">
        <v>74</v>
      </c>
      <c r="S496" t="s">
        <v>74</v>
      </c>
      <c r="T496" t="s">
        <v>8006</v>
      </c>
      <c r="U496" t="s">
        <v>8007</v>
      </c>
      <c r="V496" t="s">
        <v>8008</v>
      </c>
      <c r="W496" t="s">
        <v>8009</v>
      </c>
      <c r="X496" t="s">
        <v>1186</v>
      </c>
      <c r="Y496" t="s">
        <v>8010</v>
      </c>
      <c r="Z496" t="s">
        <v>3404</v>
      </c>
      <c r="AA496" t="s">
        <v>8011</v>
      </c>
      <c r="AB496" t="s">
        <v>8012</v>
      </c>
      <c r="AC496" t="s">
        <v>8013</v>
      </c>
      <c r="AD496" t="s">
        <v>8014</v>
      </c>
      <c r="AE496" t="s">
        <v>8015</v>
      </c>
      <c r="AF496" t="s">
        <v>74</v>
      </c>
      <c r="AG496">
        <v>37</v>
      </c>
      <c r="AH496">
        <v>28</v>
      </c>
      <c r="AI496">
        <v>30</v>
      </c>
      <c r="AJ496">
        <v>0</v>
      </c>
      <c r="AK496">
        <v>6</v>
      </c>
      <c r="AL496" t="s">
        <v>92</v>
      </c>
      <c r="AM496" t="s">
        <v>93</v>
      </c>
      <c r="AN496" t="s">
        <v>94</v>
      </c>
      <c r="AO496" t="s">
        <v>95</v>
      </c>
      <c r="AP496" t="s">
        <v>96</v>
      </c>
      <c r="AQ496" t="s">
        <v>74</v>
      </c>
      <c r="AR496" t="s">
        <v>97</v>
      </c>
      <c r="AS496" t="s">
        <v>98</v>
      </c>
      <c r="AT496" t="s">
        <v>99</v>
      </c>
      <c r="AU496">
        <v>2019</v>
      </c>
      <c r="AV496">
        <v>64</v>
      </c>
      <c r="AW496">
        <v>24</v>
      </c>
      <c r="AX496" t="s">
        <v>74</v>
      </c>
      <c r="AY496" t="s">
        <v>74</v>
      </c>
      <c r="AZ496" t="s">
        <v>74</v>
      </c>
      <c r="BA496" t="s">
        <v>74</v>
      </c>
      <c r="BB496" t="s">
        <v>74</v>
      </c>
      <c r="BC496" t="s">
        <v>74</v>
      </c>
      <c r="BD496">
        <v>245003</v>
      </c>
      <c r="BE496" t="s">
        <v>8016</v>
      </c>
      <c r="BF496" t="str">
        <f>HYPERLINK("http://dx.doi.org/10.1088/1361-6560/ab55bf","http://dx.doi.org/10.1088/1361-6560/ab55bf")</f>
        <v>http://dx.doi.org/10.1088/1361-6560/ab55bf</v>
      </c>
      <c r="BG496" t="s">
        <v>74</v>
      </c>
      <c r="BH496" t="s">
        <v>74</v>
      </c>
      <c r="BI496">
        <v>13</v>
      </c>
      <c r="BJ496" t="s">
        <v>101</v>
      </c>
      <c r="BK496" t="s">
        <v>102</v>
      </c>
      <c r="BL496" t="s">
        <v>103</v>
      </c>
      <c r="BM496" t="s">
        <v>104</v>
      </c>
      <c r="BN496">
        <v>31703217</v>
      </c>
      <c r="BO496" t="s">
        <v>105</v>
      </c>
      <c r="BP496" t="s">
        <v>74</v>
      </c>
      <c r="BQ496" t="s">
        <v>74</v>
      </c>
      <c r="BR496" t="s">
        <v>106</v>
      </c>
      <c r="BS496" t="s">
        <v>8017</v>
      </c>
      <c r="BT496" t="str">
        <f>HYPERLINK("https%3A%2F%2Fwww.webofscience.com%2Fwos%2Fwoscc%2Ffull-record%2FWOS:000513009900003","View Full Record in Web of Science")</f>
        <v>View Full Record in Web of Science</v>
      </c>
    </row>
    <row r="497" spans="1:72" x14ac:dyDescent="0.25">
      <c r="A497" t="s">
        <v>72</v>
      </c>
      <c r="B497" t="s">
        <v>8018</v>
      </c>
      <c r="C497" t="s">
        <v>74</v>
      </c>
      <c r="D497" t="s">
        <v>74</v>
      </c>
      <c r="E497" t="s">
        <v>74</v>
      </c>
      <c r="F497" t="s">
        <v>8019</v>
      </c>
      <c r="G497" t="s">
        <v>74</v>
      </c>
      <c r="H497" t="s">
        <v>74</v>
      </c>
      <c r="I497" t="s">
        <v>8020</v>
      </c>
      <c r="J497" t="s">
        <v>77</v>
      </c>
      <c r="K497" t="s">
        <v>74</v>
      </c>
      <c r="L497" t="s">
        <v>74</v>
      </c>
      <c r="M497" t="s">
        <v>78</v>
      </c>
      <c r="N497" t="s">
        <v>79</v>
      </c>
      <c r="O497" t="s">
        <v>74</v>
      </c>
      <c r="P497" t="s">
        <v>74</v>
      </c>
      <c r="Q497" t="s">
        <v>74</v>
      </c>
      <c r="R497" t="s">
        <v>74</v>
      </c>
      <c r="S497" t="s">
        <v>74</v>
      </c>
      <c r="T497" t="s">
        <v>8021</v>
      </c>
      <c r="U497" t="s">
        <v>8022</v>
      </c>
      <c r="V497" t="s">
        <v>8023</v>
      </c>
      <c r="W497" t="s">
        <v>8024</v>
      </c>
      <c r="X497" t="s">
        <v>8025</v>
      </c>
      <c r="Y497" t="s">
        <v>8026</v>
      </c>
      <c r="Z497" t="s">
        <v>8027</v>
      </c>
      <c r="AA497" t="s">
        <v>8028</v>
      </c>
      <c r="AB497" t="s">
        <v>8029</v>
      </c>
      <c r="AC497" t="s">
        <v>74</v>
      </c>
      <c r="AD497" t="s">
        <v>74</v>
      </c>
      <c r="AE497" t="s">
        <v>74</v>
      </c>
      <c r="AF497" t="s">
        <v>74</v>
      </c>
      <c r="AG497">
        <v>34</v>
      </c>
      <c r="AH497">
        <v>11</v>
      </c>
      <c r="AI497">
        <v>13</v>
      </c>
      <c r="AJ497">
        <v>1</v>
      </c>
      <c r="AK497">
        <v>7</v>
      </c>
      <c r="AL497" t="s">
        <v>92</v>
      </c>
      <c r="AM497" t="s">
        <v>93</v>
      </c>
      <c r="AN497" t="s">
        <v>94</v>
      </c>
      <c r="AO497" t="s">
        <v>95</v>
      </c>
      <c r="AP497" t="s">
        <v>96</v>
      </c>
      <c r="AQ497" t="s">
        <v>74</v>
      </c>
      <c r="AR497" t="s">
        <v>97</v>
      </c>
      <c r="AS497" t="s">
        <v>98</v>
      </c>
      <c r="AT497" t="s">
        <v>137</v>
      </c>
      <c r="AU497">
        <v>2019</v>
      </c>
      <c r="AV497">
        <v>64</v>
      </c>
      <c r="AW497">
        <v>22</v>
      </c>
      <c r="AX497" t="s">
        <v>74</v>
      </c>
      <c r="AY497" t="s">
        <v>74</v>
      </c>
      <c r="AZ497" t="s">
        <v>74</v>
      </c>
      <c r="BA497" t="s">
        <v>74</v>
      </c>
      <c r="BB497" t="s">
        <v>74</v>
      </c>
      <c r="BC497" t="s">
        <v>74</v>
      </c>
      <c r="BD497">
        <v>225005</v>
      </c>
      <c r="BE497" t="s">
        <v>8030</v>
      </c>
      <c r="BF497" t="str">
        <f>HYPERLINK("http://dx.doi.org/10.1088/1361-6560/ab4cd5","http://dx.doi.org/10.1088/1361-6560/ab4cd5")</f>
        <v>http://dx.doi.org/10.1088/1361-6560/ab4cd5</v>
      </c>
      <c r="BG497" t="s">
        <v>74</v>
      </c>
      <c r="BH497" t="s">
        <v>74</v>
      </c>
      <c r="BI497">
        <v>14</v>
      </c>
      <c r="BJ497" t="s">
        <v>101</v>
      </c>
      <c r="BK497" t="s">
        <v>102</v>
      </c>
      <c r="BL497" t="s">
        <v>103</v>
      </c>
      <c r="BM497" t="s">
        <v>8031</v>
      </c>
      <c r="BN497">
        <v>31600743</v>
      </c>
      <c r="BO497" t="s">
        <v>179</v>
      </c>
      <c r="BP497" t="s">
        <v>74</v>
      </c>
      <c r="BQ497" t="s">
        <v>74</v>
      </c>
      <c r="BR497" t="s">
        <v>106</v>
      </c>
      <c r="BS497" t="s">
        <v>8032</v>
      </c>
      <c r="BT497" t="str">
        <f>HYPERLINK("https%3A%2F%2Fwww.webofscience.com%2Fwos%2Fwoscc%2Ffull-record%2FWOS:000499955300001","View Full Record in Web of Science")</f>
        <v>View Full Record in Web of Science</v>
      </c>
    </row>
    <row r="498" spans="1:72" x14ac:dyDescent="0.25">
      <c r="A498" t="s">
        <v>72</v>
      </c>
      <c r="B498" t="s">
        <v>8033</v>
      </c>
      <c r="C498" t="s">
        <v>74</v>
      </c>
      <c r="D498" t="s">
        <v>74</v>
      </c>
      <c r="E498" t="s">
        <v>74</v>
      </c>
      <c r="F498" t="s">
        <v>8034</v>
      </c>
      <c r="G498" t="s">
        <v>74</v>
      </c>
      <c r="H498" t="s">
        <v>74</v>
      </c>
      <c r="I498" t="s">
        <v>8035</v>
      </c>
      <c r="J498" t="s">
        <v>77</v>
      </c>
      <c r="K498" t="s">
        <v>74</v>
      </c>
      <c r="L498" t="s">
        <v>74</v>
      </c>
      <c r="M498" t="s">
        <v>78</v>
      </c>
      <c r="N498" t="s">
        <v>79</v>
      </c>
      <c r="O498" t="s">
        <v>74</v>
      </c>
      <c r="P498" t="s">
        <v>74</v>
      </c>
      <c r="Q498" t="s">
        <v>74</v>
      </c>
      <c r="R498" t="s">
        <v>74</v>
      </c>
      <c r="S498" t="s">
        <v>74</v>
      </c>
      <c r="T498" t="s">
        <v>8036</v>
      </c>
      <c r="U498" t="s">
        <v>8037</v>
      </c>
      <c r="V498" t="s">
        <v>8038</v>
      </c>
      <c r="W498" t="s">
        <v>8039</v>
      </c>
      <c r="X498" t="s">
        <v>8040</v>
      </c>
      <c r="Y498" t="s">
        <v>8041</v>
      </c>
      <c r="Z498" t="s">
        <v>8042</v>
      </c>
      <c r="AA498" t="s">
        <v>8043</v>
      </c>
      <c r="AB498" t="s">
        <v>8044</v>
      </c>
      <c r="AC498" t="s">
        <v>8045</v>
      </c>
      <c r="AD498" t="s">
        <v>8046</v>
      </c>
      <c r="AE498" t="s">
        <v>8047</v>
      </c>
      <c r="AF498" t="s">
        <v>74</v>
      </c>
      <c r="AG498">
        <v>31</v>
      </c>
      <c r="AH498">
        <v>18</v>
      </c>
      <c r="AI498">
        <v>18</v>
      </c>
      <c r="AJ498">
        <v>0</v>
      </c>
      <c r="AK498">
        <v>10</v>
      </c>
      <c r="AL498" t="s">
        <v>92</v>
      </c>
      <c r="AM498" t="s">
        <v>93</v>
      </c>
      <c r="AN498" t="s">
        <v>94</v>
      </c>
      <c r="AO498" t="s">
        <v>95</v>
      </c>
      <c r="AP498" t="s">
        <v>96</v>
      </c>
      <c r="AQ498" t="s">
        <v>74</v>
      </c>
      <c r="AR498" t="s">
        <v>97</v>
      </c>
      <c r="AS498" t="s">
        <v>98</v>
      </c>
      <c r="AT498" t="s">
        <v>176</v>
      </c>
      <c r="AU498">
        <v>2019</v>
      </c>
      <c r="AV498">
        <v>64</v>
      </c>
      <c r="AW498">
        <v>17</v>
      </c>
      <c r="AX498" t="s">
        <v>74</v>
      </c>
      <c r="AY498" t="s">
        <v>74</v>
      </c>
      <c r="AZ498" t="s">
        <v>74</v>
      </c>
      <c r="BA498" t="s">
        <v>74</v>
      </c>
      <c r="BB498" t="s">
        <v>74</v>
      </c>
      <c r="BC498" t="s">
        <v>74</v>
      </c>
      <c r="BD498">
        <v>175015</v>
      </c>
      <c r="BE498" t="s">
        <v>8048</v>
      </c>
      <c r="BF498" t="str">
        <f>HYPERLINK("http://dx.doi.org/10.1088/1361-6560/ab324b","http://dx.doi.org/10.1088/1361-6560/ab324b")</f>
        <v>http://dx.doi.org/10.1088/1361-6560/ab324b</v>
      </c>
      <c r="BG498" t="s">
        <v>74</v>
      </c>
      <c r="BH498" t="s">
        <v>74</v>
      </c>
      <c r="BI498">
        <v>8</v>
      </c>
      <c r="BJ498" t="s">
        <v>101</v>
      </c>
      <c r="BK498" t="s">
        <v>102</v>
      </c>
      <c r="BL498" t="s">
        <v>103</v>
      </c>
      <c r="BM498" t="s">
        <v>794</v>
      </c>
      <c r="BN498">
        <v>31307025</v>
      </c>
      <c r="BO498" t="s">
        <v>179</v>
      </c>
      <c r="BP498" t="s">
        <v>74</v>
      </c>
      <c r="BQ498" t="s">
        <v>74</v>
      </c>
      <c r="BR498" t="s">
        <v>106</v>
      </c>
      <c r="BS498" t="s">
        <v>8049</v>
      </c>
      <c r="BT498" t="str">
        <f>HYPERLINK("https%3A%2F%2Fwww.webofscience.com%2Fwos%2Fwoscc%2Ffull-record%2FWOS:000484508700008","View Full Record in Web of Science")</f>
        <v>View Full Record in Web of Science</v>
      </c>
    </row>
    <row r="499" spans="1:72" x14ac:dyDescent="0.25">
      <c r="A499" t="s">
        <v>72</v>
      </c>
      <c r="B499" t="s">
        <v>8050</v>
      </c>
      <c r="C499" t="s">
        <v>74</v>
      </c>
      <c r="D499" t="s">
        <v>74</v>
      </c>
      <c r="E499" t="s">
        <v>74</v>
      </c>
      <c r="F499" t="s">
        <v>8051</v>
      </c>
      <c r="G499" t="s">
        <v>74</v>
      </c>
      <c r="H499" t="s">
        <v>74</v>
      </c>
      <c r="I499" t="s">
        <v>8052</v>
      </c>
      <c r="J499" t="s">
        <v>77</v>
      </c>
      <c r="K499" t="s">
        <v>74</v>
      </c>
      <c r="L499" t="s">
        <v>74</v>
      </c>
      <c r="M499" t="s">
        <v>78</v>
      </c>
      <c r="N499" t="s">
        <v>79</v>
      </c>
      <c r="O499" t="s">
        <v>74</v>
      </c>
      <c r="P499" t="s">
        <v>74</v>
      </c>
      <c r="Q499" t="s">
        <v>74</v>
      </c>
      <c r="R499" t="s">
        <v>74</v>
      </c>
      <c r="S499" t="s">
        <v>74</v>
      </c>
      <c r="T499" t="s">
        <v>8053</v>
      </c>
      <c r="U499" t="s">
        <v>8054</v>
      </c>
      <c r="V499" t="s">
        <v>8055</v>
      </c>
      <c r="W499" t="s">
        <v>8056</v>
      </c>
      <c r="X499" t="s">
        <v>5433</v>
      </c>
      <c r="Y499" t="s">
        <v>8057</v>
      </c>
      <c r="Z499" t="s">
        <v>8058</v>
      </c>
      <c r="AA499" t="s">
        <v>8059</v>
      </c>
      <c r="AB499" t="s">
        <v>74</v>
      </c>
      <c r="AC499" t="s">
        <v>74</v>
      </c>
      <c r="AD499" t="s">
        <v>74</v>
      </c>
      <c r="AE499" t="s">
        <v>74</v>
      </c>
      <c r="AF499" t="s">
        <v>74</v>
      </c>
      <c r="AG499">
        <v>21</v>
      </c>
      <c r="AH499">
        <v>3</v>
      </c>
      <c r="AI499">
        <v>3</v>
      </c>
      <c r="AJ499">
        <v>0</v>
      </c>
      <c r="AK499">
        <v>2</v>
      </c>
      <c r="AL499" t="s">
        <v>92</v>
      </c>
      <c r="AM499" t="s">
        <v>93</v>
      </c>
      <c r="AN499" t="s">
        <v>94</v>
      </c>
      <c r="AO499" t="s">
        <v>95</v>
      </c>
      <c r="AP499" t="s">
        <v>96</v>
      </c>
      <c r="AQ499" t="s">
        <v>74</v>
      </c>
      <c r="AR499" t="s">
        <v>97</v>
      </c>
      <c r="AS499" t="s">
        <v>98</v>
      </c>
      <c r="AT499" t="s">
        <v>176</v>
      </c>
      <c r="AU499">
        <v>2019</v>
      </c>
      <c r="AV499">
        <v>64</v>
      </c>
      <c r="AW499">
        <v>18</v>
      </c>
      <c r="AX499" t="s">
        <v>74</v>
      </c>
      <c r="AY499" t="s">
        <v>74</v>
      </c>
      <c r="AZ499" t="s">
        <v>74</v>
      </c>
      <c r="BA499" t="s">
        <v>74</v>
      </c>
      <c r="BB499" t="s">
        <v>74</v>
      </c>
      <c r="BC499" t="s">
        <v>74</v>
      </c>
      <c r="BD499">
        <v>185011</v>
      </c>
      <c r="BE499" t="s">
        <v>8060</v>
      </c>
      <c r="BF499" t="str">
        <f>HYPERLINK("http://dx.doi.org/10.1088/1361-6560/ab39c4","http://dx.doi.org/10.1088/1361-6560/ab39c4")</f>
        <v>http://dx.doi.org/10.1088/1361-6560/ab39c4</v>
      </c>
      <c r="BG499" t="s">
        <v>74</v>
      </c>
      <c r="BH499" t="s">
        <v>74</v>
      </c>
      <c r="BI499">
        <v>11</v>
      </c>
      <c r="BJ499" t="s">
        <v>101</v>
      </c>
      <c r="BK499" t="s">
        <v>102</v>
      </c>
      <c r="BL499" t="s">
        <v>103</v>
      </c>
      <c r="BM499" t="s">
        <v>1058</v>
      </c>
      <c r="BN499">
        <v>31394507</v>
      </c>
      <c r="BO499" t="s">
        <v>74</v>
      </c>
      <c r="BP499" t="s">
        <v>74</v>
      </c>
      <c r="BQ499" t="s">
        <v>74</v>
      </c>
      <c r="BR499" t="s">
        <v>106</v>
      </c>
      <c r="BS499" t="s">
        <v>8061</v>
      </c>
      <c r="BT499" t="str">
        <f>HYPERLINK("https%3A%2F%2Fwww.webofscience.com%2Fwos%2Fwoscc%2Ffull-record%2FWOS:000486374400005","View Full Record in Web of Science")</f>
        <v>View Full Record in Web of Science</v>
      </c>
    </row>
    <row r="500" spans="1:72" x14ac:dyDescent="0.25">
      <c r="A500" t="s">
        <v>72</v>
      </c>
      <c r="B500" t="s">
        <v>8062</v>
      </c>
      <c r="C500" t="s">
        <v>74</v>
      </c>
      <c r="D500" t="s">
        <v>74</v>
      </c>
      <c r="E500" t="s">
        <v>74</v>
      </c>
      <c r="F500" t="s">
        <v>8063</v>
      </c>
      <c r="G500" t="s">
        <v>74</v>
      </c>
      <c r="H500" t="s">
        <v>74</v>
      </c>
      <c r="I500" t="s">
        <v>8064</v>
      </c>
      <c r="J500" t="s">
        <v>77</v>
      </c>
      <c r="K500" t="s">
        <v>74</v>
      </c>
      <c r="L500" t="s">
        <v>74</v>
      </c>
      <c r="M500" t="s">
        <v>78</v>
      </c>
      <c r="N500" t="s">
        <v>79</v>
      </c>
      <c r="O500" t="s">
        <v>74</v>
      </c>
      <c r="P500" t="s">
        <v>74</v>
      </c>
      <c r="Q500" t="s">
        <v>74</v>
      </c>
      <c r="R500" t="s">
        <v>74</v>
      </c>
      <c r="S500" t="s">
        <v>74</v>
      </c>
      <c r="T500" t="s">
        <v>8065</v>
      </c>
      <c r="U500" t="s">
        <v>8066</v>
      </c>
      <c r="V500" t="s">
        <v>8067</v>
      </c>
      <c r="W500" t="s">
        <v>8068</v>
      </c>
      <c r="X500" t="s">
        <v>8069</v>
      </c>
      <c r="Y500" t="s">
        <v>8070</v>
      </c>
      <c r="Z500" t="s">
        <v>8071</v>
      </c>
      <c r="AA500" t="s">
        <v>8072</v>
      </c>
      <c r="AB500" t="s">
        <v>8073</v>
      </c>
      <c r="AC500" t="s">
        <v>5962</v>
      </c>
      <c r="AD500" t="s">
        <v>416</v>
      </c>
      <c r="AE500" t="s">
        <v>8074</v>
      </c>
      <c r="AF500" t="s">
        <v>74</v>
      </c>
      <c r="AG500">
        <v>31</v>
      </c>
      <c r="AH500">
        <v>13</v>
      </c>
      <c r="AI500">
        <v>15</v>
      </c>
      <c r="AJ500">
        <v>0</v>
      </c>
      <c r="AK500">
        <v>15</v>
      </c>
      <c r="AL500" t="s">
        <v>92</v>
      </c>
      <c r="AM500" t="s">
        <v>93</v>
      </c>
      <c r="AN500" t="s">
        <v>94</v>
      </c>
      <c r="AO500" t="s">
        <v>95</v>
      </c>
      <c r="AP500" t="s">
        <v>96</v>
      </c>
      <c r="AQ500" t="s">
        <v>74</v>
      </c>
      <c r="AR500" t="s">
        <v>97</v>
      </c>
      <c r="AS500" t="s">
        <v>98</v>
      </c>
      <c r="AT500" t="s">
        <v>196</v>
      </c>
      <c r="AU500">
        <v>2019</v>
      </c>
      <c r="AV500">
        <v>64</v>
      </c>
      <c r="AW500">
        <v>16</v>
      </c>
      <c r="AX500" t="s">
        <v>74</v>
      </c>
      <c r="AY500" t="s">
        <v>74</v>
      </c>
      <c r="AZ500" t="s">
        <v>74</v>
      </c>
      <c r="BA500" t="s">
        <v>74</v>
      </c>
      <c r="BB500" t="s">
        <v>74</v>
      </c>
      <c r="BC500" t="s">
        <v>74</v>
      </c>
      <c r="BD500">
        <v>165016</v>
      </c>
      <c r="BE500" t="s">
        <v>8075</v>
      </c>
      <c r="BF500" t="str">
        <f>HYPERLINK("http://dx.doi.org/10.1088/1361-6560/ab359a","http://dx.doi.org/10.1088/1361-6560/ab359a")</f>
        <v>http://dx.doi.org/10.1088/1361-6560/ab359a</v>
      </c>
      <c r="BG500" t="s">
        <v>74</v>
      </c>
      <c r="BH500" t="s">
        <v>74</v>
      </c>
      <c r="BI500">
        <v>19</v>
      </c>
      <c r="BJ500" t="s">
        <v>101</v>
      </c>
      <c r="BK500" t="s">
        <v>102</v>
      </c>
      <c r="BL500" t="s">
        <v>103</v>
      </c>
      <c r="BM500" t="s">
        <v>2045</v>
      </c>
      <c r="BN500">
        <v>31344693</v>
      </c>
      <c r="BO500" t="s">
        <v>105</v>
      </c>
      <c r="BP500" t="s">
        <v>74</v>
      </c>
      <c r="BQ500" t="s">
        <v>74</v>
      </c>
      <c r="BR500" t="s">
        <v>106</v>
      </c>
      <c r="BS500" t="s">
        <v>8076</v>
      </c>
      <c r="BT500" t="str">
        <f>HYPERLINK("https%3A%2F%2Fwww.webofscience.com%2Fwos%2Fwoscc%2Ffull-record%2FWOS:000482525700007","View Full Record in Web of Science")</f>
        <v>View Full Record in Web of Science</v>
      </c>
    </row>
    <row r="501" spans="1:72" x14ac:dyDescent="0.25">
      <c r="A501" t="s">
        <v>72</v>
      </c>
      <c r="B501" t="s">
        <v>8077</v>
      </c>
      <c r="C501" t="s">
        <v>74</v>
      </c>
      <c r="D501" t="s">
        <v>74</v>
      </c>
      <c r="E501" t="s">
        <v>74</v>
      </c>
      <c r="F501" t="s">
        <v>8078</v>
      </c>
      <c r="G501" t="s">
        <v>74</v>
      </c>
      <c r="H501" t="s">
        <v>74</v>
      </c>
      <c r="I501" t="s">
        <v>8079</v>
      </c>
      <c r="J501" t="s">
        <v>77</v>
      </c>
      <c r="K501" t="s">
        <v>74</v>
      </c>
      <c r="L501" t="s">
        <v>74</v>
      </c>
      <c r="M501" t="s">
        <v>78</v>
      </c>
      <c r="N501" t="s">
        <v>79</v>
      </c>
      <c r="O501" t="s">
        <v>74</v>
      </c>
      <c r="P501" t="s">
        <v>74</v>
      </c>
      <c r="Q501" t="s">
        <v>74</v>
      </c>
      <c r="R501" t="s">
        <v>74</v>
      </c>
      <c r="S501" t="s">
        <v>74</v>
      </c>
      <c r="T501" t="s">
        <v>8080</v>
      </c>
      <c r="U501" t="s">
        <v>8081</v>
      </c>
      <c r="V501" t="s">
        <v>8082</v>
      </c>
      <c r="W501" t="s">
        <v>8083</v>
      </c>
      <c r="X501" t="s">
        <v>3402</v>
      </c>
      <c r="Y501" t="s">
        <v>1187</v>
      </c>
      <c r="Z501" t="s">
        <v>1188</v>
      </c>
      <c r="AA501" t="s">
        <v>8084</v>
      </c>
      <c r="AB501" t="s">
        <v>8085</v>
      </c>
      <c r="AC501" t="s">
        <v>8086</v>
      </c>
      <c r="AD501" t="s">
        <v>416</v>
      </c>
      <c r="AE501" t="s">
        <v>8087</v>
      </c>
      <c r="AF501" t="s">
        <v>74</v>
      </c>
      <c r="AG501">
        <v>25</v>
      </c>
      <c r="AH501">
        <v>8</v>
      </c>
      <c r="AI501">
        <v>8</v>
      </c>
      <c r="AJ501">
        <v>0</v>
      </c>
      <c r="AK501">
        <v>7</v>
      </c>
      <c r="AL501" t="s">
        <v>92</v>
      </c>
      <c r="AM501" t="s">
        <v>93</v>
      </c>
      <c r="AN501" t="s">
        <v>94</v>
      </c>
      <c r="AO501" t="s">
        <v>95</v>
      </c>
      <c r="AP501" t="s">
        <v>96</v>
      </c>
      <c r="AQ501" t="s">
        <v>74</v>
      </c>
      <c r="AR501" t="s">
        <v>97</v>
      </c>
      <c r="AS501" t="s">
        <v>98</v>
      </c>
      <c r="AT501" t="s">
        <v>370</v>
      </c>
      <c r="AU501">
        <v>2019</v>
      </c>
      <c r="AV501">
        <v>64</v>
      </c>
      <c r="AW501">
        <v>10</v>
      </c>
      <c r="AX501" t="s">
        <v>74</v>
      </c>
      <c r="AY501" t="s">
        <v>74</v>
      </c>
      <c r="AZ501" t="s">
        <v>74</v>
      </c>
      <c r="BA501" t="s">
        <v>74</v>
      </c>
      <c r="BB501" t="s">
        <v>74</v>
      </c>
      <c r="BC501" t="s">
        <v>74</v>
      </c>
      <c r="BD501">
        <v>105011</v>
      </c>
      <c r="BE501" t="s">
        <v>8088</v>
      </c>
      <c r="BF501" t="str">
        <f>HYPERLINK("http://dx.doi.org/10.1088/1361-6560/ab1a45","http://dx.doi.org/10.1088/1361-6560/ab1a45")</f>
        <v>http://dx.doi.org/10.1088/1361-6560/ab1a45</v>
      </c>
      <c r="BG501" t="s">
        <v>74</v>
      </c>
      <c r="BH501" t="s">
        <v>74</v>
      </c>
      <c r="BI501">
        <v>12</v>
      </c>
      <c r="BJ501" t="s">
        <v>101</v>
      </c>
      <c r="BK501" t="s">
        <v>102</v>
      </c>
      <c r="BL501" t="s">
        <v>103</v>
      </c>
      <c r="BM501" t="s">
        <v>1160</v>
      </c>
      <c r="BN501">
        <v>30995611</v>
      </c>
      <c r="BO501" t="s">
        <v>105</v>
      </c>
      <c r="BP501" t="s">
        <v>74</v>
      </c>
      <c r="BQ501" t="s">
        <v>74</v>
      </c>
      <c r="BR501" t="s">
        <v>106</v>
      </c>
      <c r="BS501" t="s">
        <v>8089</v>
      </c>
      <c r="BT501" t="str">
        <f>HYPERLINK("https%3A%2F%2Fwww.webofscience.com%2Fwos%2Fwoscc%2Ffull-record%2FWOS:000467702500006","View Full Record in Web of Science")</f>
        <v>View Full Record in Web of Science</v>
      </c>
    </row>
    <row r="502" spans="1:72" x14ac:dyDescent="0.25">
      <c r="A502" t="s">
        <v>72</v>
      </c>
      <c r="B502" t="s">
        <v>8090</v>
      </c>
      <c r="C502" t="s">
        <v>74</v>
      </c>
      <c r="D502" t="s">
        <v>74</v>
      </c>
      <c r="E502" t="s">
        <v>74</v>
      </c>
      <c r="F502" t="s">
        <v>8091</v>
      </c>
      <c r="G502" t="s">
        <v>74</v>
      </c>
      <c r="H502" t="s">
        <v>74</v>
      </c>
      <c r="I502" t="s">
        <v>8092</v>
      </c>
      <c r="J502" t="s">
        <v>77</v>
      </c>
      <c r="K502" t="s">
        <v>74</v>
      </c>
      <c r="L502" t="s">
        <v>74</v>
      </c>
      <c r="M502" t="s">
        <v>78</v>
      </c>
      <c r="N502" t="s">
        <v>79</v>
      </c>
      <c r="O502" t="s">
        <v>74</v>
      </c>
      <c r="P502" t="s">
        <v>74</v>
      </c>
      <c r="Q502" t="s">
        <v>74</v>
      </c>
      <c r="R502" t="s">
        <v>74</v>
      </c>
      <c r="S502" t="s">
        <v>74</v>
      </c>
      <c r="T502" t="s">
        <v>8093</v>
      </c>
      <c r="U502" t="s">
        <v>8094</v>
      </c>
      <c r="V502" t="s">
        <v>8095</v>
      </c>
      <c r="W502" t="s">
        <v>8096</v>
      </c>
      <c r="X502" t="s">
        <v>8097</v>
      </c>
      <c r="Y502" t="s">
        <v>8098</v>
      </c>
      <c r="Z502" t="s">
        <v>8099</v>
      </c>
      <c r="AA502" t="s">
        <v>8100</v>
      </c>
      <c r="AB502" t="s">
        <v>8101</v>
      </c>
      <c r="AC502" t="s">
        <v>8102</v>
      </c>
      <c r="AD502" t="s">
        <v>8103</v>
      </c>
      <c r="AE502" t="s">
        <v>8104</v>
      </c>
      <c r="AF502" t="s">
        <v>74</v>
      </c>
      <c r="AG502">
        <v>32</v>
      </c>
      <c r="AH502">
        <v>5</v>
      </c>
      <c r="AI502">
        <v>5</v>
      </c>
      <c r="AJ502">
        <v>0</v>
      </c>
      <c r="AK502">
        <v>3</v>
      </c>
      <c r="AL502" t="s">
        <v>92</v>
      </c>
      <c r="AM502" t="s">
        <v>93</v>
      </c>
      <c r="AN502" t="s">
        <v>94</v>
      </c>
      <c r="AO502" t="s">
        <v>95</v>
      </c>
      <c r="AP502" t="s">
        <v>96</v>
      </c>
      <c r="AQ502" t="s">
        <v>74</v>
      </c>
      <c r="AR502" t="s">
        <v>97</v>
      </c>
      <c r="AS502" t="s">
        <v>98</v>
      </c>
      <c r="AT502" t="s">
        <v>370</v>
      </c>
      <c r="AU502">
        <v>2019</v>
      </c>
      <c r="AV502">
        <v>64</v>
      </c>
      <c r="AW502">
        <v>9</v>
      </c>
      <c r="AX502" t="s">
        <v>74</v>
      </c>
      <c r="AY502" t="s">
        <v>74</v>
      </c>
      <c r="AZ502" t="s">
        <v>74</v>
      </c>
      <c r="BA502" t="s">
        <v>74</v>
      </c>
      <c r="BB502" t="s">
        <v>74</v>
      </c>
      <c r="BC502" t="s">
        <v>74</v>
      </c>
      <c r="BD502">
        <v>95003</v>
      </c>
      <c r="BE502" t="s">
        <v>8105</v>
      </c>
      <c r="BF502" t="str">
        <f>HYPERLINK("http://dx.doi.org/10.1088/1361-6560/ab13f2","http://dx.doi.org/10.1088/1361-6560/ab13f2")</f>
        <v>http://dx.doi.org/10.1088/1361-6560/ab13f2</v>
      </c>
      <c r="BG502" t="s">
        <v>74</v>
      </c>
      <c r="BH502" t="s">
        <v>74</v>
      </c>
      <c r="BI502">
        <v>11</v>
      </c>
      <c r="BJ502" t="s">
        <v>101</v>
      </c>
      <c r="BK502" t="s">
        <v>102</v>
      </c>
      <c r="BL502" t="s">
        <v>103</v>
      </c>
      <c r="BM502" t="s">
        <v>2125</v>
      </c>
      <c r="BN502">
        <v>30917360</v>
      </c>
      <c r="BO502" t="s">
        <v>759</v>
      </c>
      <c r="BP502" t="s">
        <v>74</v>
      </c>
      <c r="BQ502" t="s">
        <v>74</v>
      </c>
      <c r="BR502" t="s">
        <v>106</v>
      </c>
      <c r="BS502" t="s">
        <v>8106</v>
      </c>
      <c r="BT502" t="str">
        <f>HYPERLINK("https%3A%2F%2Fwww.webofscience.com%2Fwos%2Fwoscc%2Ffull-record%2FWOS:000465824100003","View Full Record in Web of Science")</f>
        <v>View Full Record in Web of Science</v>
      </c>
    </row>
    <row r="503" spans="1:72" x14ac:dyDescent="0.25">
      <c r="A503" t="s">
        <v>72</v>
      </c>
      <c r="B503" t="s">
        <v>8107</v>
      </c>
      <c r="C503" t="s">
        <v>74</v>
      </c>
      <c r="D503" t="s">
        <v>74</v>
      </c>
      <c r="E503" t="s">
        <v>74</v>
      </c>
      <c r="F503" t="s">
        <v>8108</v>
      </c>
      <c r="G503" t="s">
        <v>74</v>
      </c>
      <c r="H503" t="s">
        <v>74</v>
      </c>
      <c r="I503" t="s">
        <v>8109</v>
      </c>
      <c r="J503" t="s">
        <v>77</v>
      </c>
      <c r="K503" t="s">
        <v>74</v>
      </c>
      <c r="L503" t="s">
        <v>74</v>
      </c>
      <c r="M503" t="s">
        <v>78</v>
      </c>
      <c r="N503" t="s">
        <v>79</v>
      </c>
      <c r="O503" t="s">
        <v>74</v>
      </c>
      <c r="P503" t="s">
        <v>74</v>
      </c>
      <c r="Q503" t="s">
        <v>74</v>
      </c>
      <c r="R503" t="s">
        <v>74</v>
      </c>
      <c r="S503" t="s">
        <v>74</v>
      </c>
      <c r="T503" t="s">
        <v>8110</v>
      </c>
      <c r="U503" t="s">
        <v>8111</v>
      </c>
      <c r="V503" t="s">
        <v>8112</v>
      </c>
      <c r="W503" t="s">
        <v>8113</v>
      </c>
      <c r="X503" t="s">
        <v>8114</v>
      </c>
      <c r="Y503" t="s">
        <v>8115</v>
      </c>
      <c r="Z503" t="s">
        <v>8116</v>
      </c>
      <c r="AA503" t="s">
        <v>8117</v>
      </c>
      <c r="AB503" t="s">
        <v>8118</v>
      </c>
      <c r="AC503" t="s">
        <v>74</v>
      </c>
      <c r="AD503" t="s">
        <v>74</v>
      </c>
      <c r="AE503" t="s">
        <v>74</v>
      </c>
      <c r="AF503" t="s">
        <v>74</v>
      </c>
      <c r="AG503">
        <v>31</v>
      </c>
      <c r="AH503">
        <v>9</v>
      </c>
      <c r="AI503">
        <v>10</v>
      </c>
      <c r="AJ503">
        <v>0</v>
      </c>
      <c r="AK503">
        <v>11</v>
      </c>
      <c r="AL503" t="s">
        <v>92</v>
      </c>
      <c r="AM503" t="s">
        <v>93</v>
      </c>
      <c r="AN503" t="s">
        <v>94</v>
      </c>
      <c r="AO503" t="s">
        <v>95</v>
      </c>
      <c r="AP503" t="s">
        <v>96</v>
      </c>
      <c r="AQ503" t="s">
        <v>74</v>
      </c>
      <c r="AR503" t="s">
        <v>97</v>
      </c>
      <c r="AS503" t="s">
        <v>98</v>
      </c>
      <c r="AT503" t="s">
        <v>370</v>
      </c>
      <c r="AU503">
        <v>2019</v>
      </c>
      <c r="AV503">
        <v>64</v>
      </c>
      <c r="AW503">
        <v>10</v>
      </c>
      <c r="AX503" t="s">
        <v>74</v>
      </c>
      <c r="AY503" t="s">
        <v>74</v>
      </c>
      <c r="AZ503" t="s">
        <v>74</v>
      </c>
      <c r="BA503" t="s">
        <v>74</v>
      </c>
      <c r="BB503" t="s">
        <v>74</v>
      </c>
      <c r="BC503" t="s">
        <v>74</v>
      </c>
      <c r="BD503">
        <v>105002</v>
      </c>
      <c r="BE503" t="s">
        <v>8119</v>
      </c>
      <c r="BF503" t="str">
        <f>HYPERLINK("http://dx.doi.org/10.1088/1361-6560/ab1a49","http://dx.doi.org/10.1088/1361-6560/ab1a49")</f>
        <v>http://dx.doi.org/10.1088/1361-6560/ab1a49</v>
      </c>
      <c r="BG503" t="s">
        <v>74</v>
      </c>
      <c r="BH503" t="s">
        <v>74</v>
      </c>
      <c r="BI503">
        <v>10</v>
      </c>
      <c r="BJ503" t="s">
        <v>101</v>
      </c>
      <c r="BK503" t="s">
        <v>102</v>
      </c>
      <c r="BL503" t="s">
        <v>103</v>
      </c>
      <c r="BM503" t="s">
        <v>3890</v>
      </c>
      <c r="BN503">
        <v>30995614</v>
      </c>
      <c r="BO503" t="s">
        <v>74</v>
      </c>
      <c r="BP503" t="s">
        <v>74</v>
      </c>
      <c r="BQ503" t="s">
        <v>74</v>
      </c>
      <c r="BR503" t="s">
        <v>106</v>
      </c>
      <c r="BS503" t="s">
        <v>8120</v>
      </c>
      <c r="BT503" t="str">
        <f>HYPERLINK("https%3A%2F%2Fwww.webofscience.com%2Fwos%2Fwoscc%2Ffull-record%2FWOS:000467464500002","View Full Record in Web of Science")</f>
        <v>View Full Record in Web of Science</v>
      </c>
    </row>
    <row r="504" spans="1:72" x14ac:dyDescent="0.25">
      <c r="A504" t="s">
        <v>72</v>
      </c>
      <c r="B504" t="s">
        <v>8121</v>
      </c>
      <c r="C504" t="s">
        <v>74</v>
      </c>
      <c r="D504" t="s">
        <v>74</v>
      </c>
      <c r="E504" t="s">
        <v>74</v>
      </c>
      <c r="F504" t="s">
        <v>8122</v>
      </c>
      <c r="G504" t="s">
        <v>74</v>
      </c>
      <c r="H504" t="s">
        <v>74</v>
      </c>
      <c r="I504" t="s">
        <v>8123</v>
      </c>
      <c r="J504" t="s">
        <v>77</v>
      </c>
      <c r="K504" t="s">
        <v>74</v>
      </c>
      <c r="L504" t="s">
        <v>74</v>
      </c>
      <c r="M504" t="s">
        <v>78</v>
      </c>
      <c r="N504" t="s">
        <v>79</v>
      </c>
      <c r="O504" t="s">
        <v>74</v>
      </c>
      <c r="P504" t="s">
        <v>74</v>
      </c>
      <c r="Q504" t="s">
        <v>74</v>
      </c>
      <c r="R504" t="s">
        <v>74</v>
      </c>
      <c r="S504" t="s">
        <v>74</v>
      </c>
      <c r="T504" t="s">
        <v>8124</v>
      </c>
      <c r="U504" t="s">
        <v>8125</v>
      </c>
      <c r="V504" t="s">
        <v>8126</v>
      </c>
      <c r="W504" t="s">
        <v>8127</v>
      </c>
      <c r="X504" t="s">
        <v>8128</v>
      </c>
      <c r="Y504" t="s">
        <v>8129</v>
      </c>
      <c r="Z504" t="s">
        <v>8130</v>
      </c>
      <c r="AA504" t="s">
        <v>8131</v>
      </c>
      <c r="AB504" t="s">
        <v>8132</v>
      </c>
      <c r="AC504" t="s">
        <v>74</v>
      </c>
      <c r="AD504" t="s">
        <v>74</v>
      </c>
      <c r="AE504" t="s">
        <v>74</v>
      </c>
      <c r="AF504" t="s">
        <v>74</v>
      </c>
      <c r="AG504">
        <v>30</v>
      </c>
      <c r="AH504">
        <v>12</v>
      </c>
      <c r="AI504">
        <v>13</v>
      </c>
      <c r="AJ504">
        <v>0</v>
      </c>
      <c r="AK504">
        <v>3</v>
      </c>
      <c r="AL504" t="s">
        <v>92</v>
      </c>
      <c r="AM504" t="s">
        <v>93</v>
      </c>
      <c r="AN504" t="s">
        <v>94</v>
      </c>
      <c r="AO504" t="s">
        <v>95</v>
      </c>
      <c r="AP504" t="s">
        <v>96</v>
      </c>
      <c r="AQ504" t="s">
        <v>74</v>
      </c>
      <c r="AR504" t="s">
        <v>97</v>
      </c>
      <c r="AS504" t="s">
        <v>98</v>
      </c>
      <c r="AT504" t="s">
        <v>386</v>
      </c>
      <c r="AU504">
        <v>2019</v>
      </c>
      <c r="AV504">
        <v>64</v>
      </c>
      <c r="AW504">
        <v>7</v>
      </c>
      <c r="AX504" t="s">
        <v>74</v>
      </c>
      <c r="AY504" t="s">
        <v>74</v>
      </c>
      <c r="AZ504" t="s">
        <v>74</v>
      </c>
      <c r="BA504" t="s">
        <v>74</v>
      </c>
      <c r="BB504" t="s">
        <v>74</v>
      </c>
      <c r="BC504" t="s">
        <v>74</v>
      </c>
      <c r="BD504">
        <v>75016</v>
      </c>
      <c r="BE504" t="s">
        <v>8133</v>
      </c>
      <c r="BF504" t="str">
        <f>HYPERLINK("http://dx.doi.org/10.1088/1361-6560/ab0a4d","http://dx.doi.org/10.1088/1361-6560/ab0a4d")</f>
        <v>http://dx.doi.org/10.1088/1361-6560/ab0a4d</v>
      </c>
      <c r="BG504" t="s">
        <v>74</v>
      </c>
      <c r="BH504" t="s">
        <v>74</v>
      </c>
      <c r="BI504">
        <v>11</v>
      </c>
      <c r="BJ504" t="s">
        <v>101</v>
      </c>
      <c r="BK504" t="s">
        <v>102</v>
      </c>
      <c r="BL504" t="s">
        <v>103</v>
      </c>
      <c r="BM504" t="s">
        <v>874</v>
      </c>
      <c r="BN504">
        <v>30802887</v>
      </c>
      <c r="BO504" t="s">
        <v>74</v>
      </c>
      <c r="BP504" t="s">
        <v>74</v>
      </c>
      <c r="BQ504" t="s">
        <v>74</v>
      </c>
      <c r="BR504" t="s">
        <v>106</v>
      </c>
      <c r="BS504" t="s">
        <v>8134</v>
      </c>
      <c r="BT504" t="str">
        <f>HYPERLINK("https%3A%2F%2Fwww.webofscience.com%2Fwos%2Fwoscc%2Ffull-record%2FWOS:000463540400004","View Full Record in Web of Science")</f>
        <v>View Full Record in Web of Science</v>
      </c>
    </row>
    <row r="505" spans="1:72" x14ac:dyDescent="0.25">
      <c r="A505" t="s">
        <v>72</v>
      </c>
      <c r="B505" t="s">
        <v>8135</v>
      </c>
      <c r="C505" t="s">
        <v>74</v>
      </c>
      <c r="D505" t="s">
        <v>74</v>
      </c>
      <c r="E505" t="s">
        <v>74</v>
      </c>
      <c r="F505" t="s">
        <v>8136</v>
      </c>
      <c r="G505" t="s">
        <v>74</v>
      </c>
      <c r="H505" t="s">
        <v>74</v>
      </c>
      <c r="I505" t="s">
        <v>8137</v>
      </c>
      <c r="J505" t="s">
        <v>77</v>
      </c>
      <c r="K505" t="s">
        <v>74</v>
      </c>
      <c r="L505" t="s">
        <v>74</v>
      </c>
      <c r="M505" t="s">
        <v>78</v>
      </c>
      <c r="N505" t="s">
        <v>79</v>
      </c>
      <c r="O505" t="s">
        <v>74</v>
      </c>
      <c r="P505" t="s">
        <v>74</v>
      </c>
      <c r="Q505" t="s">
        <v>74</v>
      </c>
      <c r="R505" t="s">
        <v>74</v>
      </c>
      <c r="S505" t="s">
        <v>74</v>
      </c>
      <c r="T505" t="s">
        <v>8138</v>
      </c>
      <c r="U505" t="s">
        <v>8139</v>
      </c>
      <c r="V505" t="s">
        <v>8140</v>
      </c>
      <c r="W505" t="s">
        <v>8141</v>
      </c>
      <c r="X505" t="s">
        <v>8142</v>
      </c>
      <c r="Y505" t="s">
        <v>8143</v>
      </c>
      <c r="Z505" t="s">
        <v>8144</v>
      </c>
      <c r="AA505" t="s">
        <v>8145</v>
      </c>
      <c r="AB505" t="s">
        <v>8146</v>
      </c>
      <c r="AC505" t="s">
        <v>8147</v>
      </c>
      <c r="AD505" t="s">
        <v>8148</v>
      </c>
      <c r="AE505" t="s">
        <v>8149</v>
      </c>
      <c r="AF505" t="s">
        <v>74</v>
      </c>
      <c r="AG505">
        <v>40</v>
      </c>
      <c r="AH505">
        <v>35</v>
      </c>
      <c r="AI505">
        <v>41</v>
      </c>
      <c r="AJ505">
        <v>0</v>
      </c>
      <c r="AK505">
        <v>15</v>
      </c>
      <c r="AL505" t="s">
        <v>92</v>
      </c>
      <c r="AM505" t="s">
        <v>93</v>
      </c>
      <c r="AN505" t="s">
        <v>94</v>
      </c>
      <c r="AO505" t="s">
        <v>95</v>
      </c>
      <c r="AP505" t="s">
        <v>96</v>
      </c>
      <c r="AQ505" t="s">
        <v>74</v>
      </c>
      <c r="AR505" t="s">
        <v>97</v>
      </c>
      <c r="AS505" t="s">
        <v>98</v>
      </c>
      <c r="AT505" t="s">
        <v>436</v>
      </c>
      <c r="AU505">
        <v>2019</v>
      </c>
      <c r="AV505">
        <v>64</v>
      </c>
      <c r="AW505">
        <v>6</v>
      </c>
      <c r="AX505" t="s">
        <v>74</v>
      </c>
      <c r="AY505" t="s">
        <v>74</v>
      </c>
      <c r="AZ505" t="s">
        <v>74</v>
      </c>
      <c r="BA505" t="s">
        <v>74</v>
      </c>
      <c r="BB505" t="s">
        <v>74</v>
      </c>
      <c r="BC505" t="s">
        <v>74</v>
      </c>
      <c r="BD505">
        <v>65002</v>
      </c>
      <c r="BE505" t="s">
        <v>8150</v>
      </c>
      <c r="BF505" t="str">
        <f>HYPERLINK("http://dx.doi.org/10.1088/1361-6560/ab02c2","http://dx.doi.org/10.1088/1361-6560/ab02c2")</f>
        <v>http://dx.doi.org/10.1088/1361-6560/ab02c2</v>
      </c>
      <c r="BG505" t="s">
        <v>74</v>
      </c>
      <c r="BH505" t="s">
        <v>74</v>
      </c>
      <c r="BI505">
        <v>13</v>
      </c>
      <c r="BJ505" t="s">
        <v>101</v>
      </c>
      <c r="BK505" t="s">
        <v>102</v>
      </c>
      <c r="BL505" t="s">
        <v>103</v>
      </c>
      <c r="BM505" t="s">
        <v>1580</v>
      </c>
      <c r="BN505">
        <v>30695768</v>
      </c>
      <c r="BO505" t="s">
        <v>74</v>
      </c>
      <c r="BP505" t="s">
        <v>74</v>
      </c>
      <c r="BQ505" t="s">
        <v>74</v>
      </c>
      <c r="BR505" t="s">
        <v>106</v>
      </c>
      <c r="BS505" t="s">
        <v>8151</v>
      </c>
      <c r="BT505" t="str">
        <f>HYPERLINK("https%3A%2F%2Fwww.webofscience.com%2Fwos%2Fwoscc%2Ffull-record%2FWOS:000460822700002","View Full Record in Web of Science")</f>
        <v>View Full Record in Web of Science</v>
      </c>
    </row>
    <row r="506" spans="1:72" x14ac:dyDescent="0.25">
      <c r="A506" t="s">
        <v>72</v>
      </c>
      <c r="B506" t="s">
        <v>8152</v>
      </c>
      <c r="C506" t="s">
        <v>74</v>
      </c>
      <c r="D506" t="s">
        <v>74</v>
      </c>
      <c r="E506" t="s">
        <v>74</v>
      </c>
      <c r="F506" t="s">
        <v>8153</v>
      </c>
      <c r="G506" t="s">
        <v>74</v>
      </c>
      <c r="H506" t="s">
        <v>74</v>
      </c>
      <c r="I506" t="s">
        <v>8154</v>
      </c>
      <c r="J506" t="s">
        <v>77</v>
      </c>
      <c r="K506" t="s">
        <v>74</v>
      </c>
      <c r="L506" t="s">
        <v>74</v>
      </c>
      <c r="M506" t="s">
        <v>78</v>
      </c>
      <c r="N506" t="s">
        <v>79</v>
      </c>
      <c r="O506" t="s">
        <v>74</v>
      </c>
      <c r="P506" t="s">
        <v>74</v>
      </c>
      <c r="Q506" t="s">
        <v>74</v>
      </c>
      <c r="R506" t="s">
        <v>74</v>
      </c>
      <c r="S506" t="s">
        <v>74</v>
      </c>
      <c r="T506" t="s">
        <v>8155</v>
      </c>
      <c r="U506" t="s">
        <v>8156</v>
      </c>
      <c r="V506" t="s">
        <v>8157</v>
      </c>
      <c r="W506" t="s">
        <v>8158</v>
      </c>
      <c r="X506" t="s">
        <v>8159</v>
      </c>
      <c r="Y506" t="s">
        <v>8160</v>
      </c>
      <c r="Z506" t="s">
        <v>8161</v>
      </c>
      <c r="AA506" t="s">
        <v>8162</v>
      </c>
      <c r="AB506" t="s">
        <v>8163</v>
      </c>
      <c r="AC506" t="s">
        <v>74</v>
      </c>
      <c r="AD506" t="s">
        <v>74</v>
      </c>
      <c r="AE506" t="s">
        <v>74</v>
      </c>
      <c r="AF506" t="s">
        <v>74</v>
      </c>
      <c r="AG506">
        <v>24</v>
      </c>
      <c r="AH506">
        <v>3</v>
      </c>
      <c r="AI506">
        <v>3</v>
      </c>
      <c r="AJ506">
        <v>0</v>
      </c>
      <c r="AK506">
        <v>1</v>
      </c>
      <c r="AL506" t="s">
        <v>92</v>
      </c>
      <c r="AM506" t="s">
        <v>93</v>
      </c>
      <c r="AN506" t="s">
        <v>94</v>
      </c>
      <c r="AO506" t="s">
        <v>95</v>
      </c>
      <c r="AP506" t="s">
        <v>96</v>
      </c>
      <c r="AQ506" t="s">
        <v>74</v>
      </c>
      <c r="AR506" t="s">
        <v>97</v>
      </c>
      <c r="AS506" t="s">
        <v>98</v>
      </c>
      <c r="AT506" t="s">
        <v>646</v>
      </c>
      <c r="AU506">
        <v>2019</v>
      </c>
      <c r="AV506">
        <v>64</v>
      </c>
      <c r="AW506">
        <v>4</v>
      </c>
      <c r="AX506" t="s">
        <v>74</v>
      </c>
      <c r="AY506" t="s">
        <v>74</v>
      </c>
      <c r="AZ506" t="s">
        <v>74</v>
      </c>
      <c r="BA506" t="s">
        <v>74</v>
      </c>
      <c r="BB506" t="s">
        <v>74</v>
      </c>
      <c r="BC506" t="s">
        <v>74</v>
      </c>
      <c r="BD506">
        <v>45009</v>
      </c>
      <c r="BE506" t="s">
        <v>8164</v>
      </c>
      <c r="BF506" t="str">
        <f>HYPERLINK("http://dx.doi.org/10.1088/1361-6560/aafd47","http://dx.doi.org/10.1088/1361-6560/aafd47")</f>
        <v>http://dx.doi.org/10.1088/1361-6560/aafd47</v>
      </c>
      <c r="BG506" t="s">
        <v>74</v>
      </c>
      <c r="BH506" t="s">
        <v>74</v>
      </c>
      <c r="BI506">
        <v>16</v>
      </c>
      <c r="BJ506" t="s">
        <v>101</v>
      </c>
      <c r="BK506" t="s">
        <v>102</v>
      </c>
      <c r="BL506" t="s">
        <v>103</v>
      </c>
      <c r="BM506" t="s">
        <v>2650</v>
      </c>
      <c r="BN506">
        <v>30630157</v>
      </c>
      <c r="BO506" t="s">
        <v>74</v>
      </c>
      <c r="BP506" t="s">
        <v>74</v>
      </c>
      <c r="BQ506" t="s">
        <v>74</v>
      </c>
      <c r="BR506" t="s">
        <v>106</v>
      </c>
      <c r="BS506" t="s">
        <v>8165</v>
      </c>
      <c r="BT506" t="str">
        <f>HYPERLINK("https%3A%2F%2Fwww.webofscience.com%2Fwos%2Fwoscc%2Ffull-record%2FWOS:000458375200001","View Full Record in Web of Science")</f>
        <v>View Full Record in Web of Science</v>
      </c>
    </row>
    <row r="507" spans="1:72" x14ac:dyDescent="0.25">
      <c r="A507" t="s">
        <v>72</v>
      </c>
      <c r="B507" t="s">
        <v>8166</v>
      </c>
      <c r="C507" t="s">
        <v>74</v>
      </c>
      <c r="D507" t="s">
        <v>74</v>
      </c>
      <c r="E507" t="s">
        <v>74</v>
      </c>
      <c r="F507" t="s">
        <v>8167</v>
      </c>
      <c r="G507" t="s">
        <v>74</v>
      </c>
      <c r="H507" t="s">
        <v>74</v>
      </c>
      <c r="I507" t="s">
        <v>8168</v>
      </c>
      <c r="J507" t="s">
        <v>77</v>
      </c>
      <c r="K507" t="s">
        <v>74</v>
      </c>
      <c r="L507" t="s">
        <v>74</v>
      </c>
      <c r="M507" t="s">
        <v>78</v>
      </c>
      <c r="N507" t="s">
        <v>79</v>
      </c>
      <c r="O507" t="s">
        <v>74</v>
      </c>
      <c r="P507" t="s">
        <v>74</v>
      </c>
      <c r="Q507" t="s">
        <v>74</v>
      </c>
      <c r="R507" t="s">
        <v>74</v>
      </c>
      <c r="S507" t="s">
        <v>74</v>
      </c>
      <c r="T507" t="s">
        <v>8169</v>
      </c>
      <c r="U507" t="s">
        <v>8170</v>
      </c>
      <c r="V507" t="s">
        <v>8171</v>
      </c>
      <c r="W507" t="s">
        <v>8172</v>
      </c>
      <c r="X507" t="s">
        <v>8173</v>
      </c>
      <c r="Y507" t="s">
        <v>8174</v>
      </c>
      <c r="Z507" t="s">
        <v>8175</v>
      </c>
      <c r="AA507" t="s">
        <v>8176</v>
      </c>
      <c r="AB507" t="s">
        <v>8177</v>
      </c>
      <c r="AC507" t="s">
        <v>74</v>
      </c>
      <c r="AD507" t="s">
        <v>74</v>
      </c>
      <c r="AE507" t="s">
        <v>74</v>
      </c>
      <c r="AF507" t="s">
        <v>74</v>
      </c>
      <c r="AG507">
        <v>28</v>
      </c>
      <c r="AH507">
        <v>41</v>
      </c>
      <c r="AI507">
        <v>47</v>
      </c>
      <c r="AJ507">
        <v>0</v>
      </c>
      <c r="AK507">
        <v>13</v>
      </c>
      <c r="AL507" t="s">
        <v>92</v>
      </c>
      <c r="AM507" t="s">
        <v>93</v>
      </c>
      <c r="AN507" t="s">
        <v>94</v>
      </c>
      <c r="AO507" t="s">
        <v>95</v>
      </c>
      <c r="AP507" t="s">
        <v>96</v>
      </c>
      <c r="AQ507" t="s">
        <v>74</v>
      </c>
      <c r="AR507" t="s">
        <v>97</v>
      </c>
      <c r="AS507" t="s">
        <v>98</v>
      </c>
      <c r="AT507" t="s">
        <v>471</v>
      </c>
      <c r="AU507">
        <v>2019</v>
      </c>
      <c r="AV507">
        <v>64</v>
      </c>
      <c r="AW507">
        <v>2</v>
      </c>
      <c r="AX507" t="s">
        <v>74</v>
      </c>
      <c r="AY507" t="s">
        <v>74</v>
      </c>
      <c r="AZ507" t="s">
        <v>74</v>
      </c>
      <c r="BA507" t="s">
        <v>74</v>
      </c>
      <c r="BB507" t="s">
        <v>74</v>
      </c>
      <c r="BC507" t="s">
        <v>74</v>
      </c>
      <c r="BD507">
        <v>25007</v>
      </c>
      <c r="BE507" t="s">
        <v>8178</v>
      </c>
      <c r="BF507" t="str">
        <f>HYPERLINK("http://dx.doi.org/10.1088/1361-6560/aaf5a5","http://dx.doi.org/10.1088/1361-6560/aaf5a5")</f>
        <v>http://dx.doi.org/10.1088/1361-6560/aaf5a5</v>
      </c>
      <c r="BG507" t="s">
        <v>74</v>
      </c>
      <c r="BH507" t="s">
        <v>74</v>
      </c>
      <c r="BI507">
        <v>9</v>
      </c>
      <c r="BJ507" t="s">
        <v>101</v>
      </c>
      <c r="BK507" t="s">
        <v>102</v>
      </c>
      <c r="BL507" t="s">
        <v>103</v>
      </c>
      <c r="BM507" t="s">
        <v>3082</v>
      </c>
      <c r="BN507">
        <v>30524018</v>
      </c>
      <c r="BO507" t="s">
        <v>74</v>
      </c>
      <c r="BP507" t="s">
        <v>74</v>
      </c>
      <c r="BQ507" t="s">
        <v>74</v>
      </c>
      <c r="BR507" t="s">
        <v>106</v>
      </c>
      <c r="BS507" t="s">
        <v>8179</v>
      </c>
      <c r="BT507" t="str">
        <f>HYPERLINK("https%3A%2F%2Fwww.webofscience.com%2Fwos%2Fwoscc%2Ffull-record%2FWOS:000455823300004","View Full Record in Web of Science")</f>
        <v>View Full Record in Web of Science</v>
      </c>
    </row>
    <row r="508" spans="1:72" x14ac:dyDescent="0.25">
      <c r="A508" t="s">
        <v>72</v>
      </c>
      <c r="B508" t="s">
        <v>8180</v>
      </c>
      <c r="C508" t="s">
        <v>74</v>
      </c>
      <c r="D508" t="s">
        <v>74</v>
      </c>
      <c r="E508" t="s">
        <v>74</v>
      </c>
      <c r="F508" t="s">
        <v>8181</v>
      </c>
      <c r="G508" t="s">
        <v>74</v>
      </c>
      <c r="H508" t="s">
        <v>74</v>
      </c>
      <c r="I508" t="s">
        <v>8182</v>
      </c>
      <c r="J508" t="s">
        <v>77</v>
      </c>
      <c r="K508" t="s">
        <v>74</v>
      </c>
      <c r="L508" t="s">
        <v>74</v>
      </c>
      <c r="M508" t="s">
        <v>78</v>
      </c>
      <c r="N508" t="s">
        <v>79</v>
      </c>
      <c r="O508" t="s">
        <v>74</v>
      </c>
      <c r="P508" t="s">
        <v>74</v>
      </c>
      <c r="Q508" t="s">
        <v>74</v>
      </c>
      <c r="R508" t="s">
        <v>74</v>
      </c>
      <c r="S508" t="s">
        <v>74</v>
      </c>
      <c r="T508" t="s">
        <v>8183</v>
      </c>
      <c r="U508" t="s">
        <v>8184</v>
      </c>
      <c r="V508" t="s">
        <v>8185</v>
      </c>
      <c r="W508" t="s">
        <v>8186</v>
      </c>
      <c r="X508" t="s">
        <v>8187</v>
      </c>
      <c r="Y508" t="s">
        <v>8188</v>
      </c>
      <c r="Z508" t="s">
        <v>5743</v>
      </c>
      <c r="AA508" t="s">
        <v>8189</v>
      </c>
      <c r="AB508" t="s">
        <v>74</v>
      </c>
      <c r="AC508" t="s">
        <v>5746</v>
      </c>
      <c r="AD508" t="s">
        <v>2379</v>
      </c>
      <c r="AE508" t="s">
        <v>8190</v>
      </c>
      <c r="AF508" t="s">
        <v>74</v>
      </c>
      <c r="AG508">
        <v>22</v>
      </c>
      <c r="AH508">
        <v>12</v>
      </c>
      <c r="AI508">
        <v>14</v>
      </c>
      <c r="AJ508">
        <v>0</v>
      </c>
      <c r="AK508">
        <v>9</v>
      </c>
      <c r="AL508" t="s">
        <v>157</v>
      </c>
      <c r="AM508" t="s">
        <v>93</v>
      </c>
      <c r="AN508" t="s">
        <v>94</v>
      </c>
      <c r="AO508" t="s">
        <v>95</v>
      </c>
      <c r="AP508" t="s">
        <v>96</v>
      </c>
      <c r="AQ508" t="s">
        <v>74</v>
      </c>
      <c r="AR508" t="s">
        <v>97</v>
      </c>
      <c r="AS508" t="s">
        <v>98</v>
      </c>
      <c r="AT508" t="s">
        <v>99</v>
      </c>
      <c r="AU508">
        <v>2019</v>
      </c>
      <c r="AV508">
        <v>64</v>
      </c>
      <c r="AW508">
        <v>23</v>
      </c>
      <c r="AX508" t="s">
        <v>74</v>
      </c>
      <c r="AY508" t="s">
        <v>74</v>
      </c>
      <c r="AZ508" t="s">
        <v>74</v>
      </c>
      <c r="BA508" t="s">
        <v>74</v>
      </c>
      <c r="BB508" t="s">
        <v>74</v>
      </c>
      <c r="BC508" t="s">
        <v>74</v>
      </c>
      <c r="BD508" t="s">
        <v>8191</v>
      </c>
      <c r="BE508" t="s">
        <v>8192</v>
      </c>
      <c r="BF508" t="str">
        <f>HYPERLINK("http://dx.doi.org/10.1088/1361-6560/ab5433","http://dx.doi.org/10.1088/1361-6560/ab5433")</f>
        <v>http://dx.doi.org/10.1088/1361-6560/ab5433</v>
      </c>
      <c r="BG508" t="s">
        <v>74</v>
      </c>
      <c r="BH508" t="s">
        <v>74</v>
      </c>
      <c r="BI508">
        <v>9</v>
      </c>
      <c r="BJ508" t="s">
        <v>101</v>
      </c>
      <c r="BK508" t="s">
        <v>102</v>
      </c>
      <c r="BL508" t="s">
        <v>103</v>
      </c>
      <c r="BM508" t="s">
        <v>4135</v>
      </c>
      <c r="BN508">
        <v>31683261</v>
      </c>
      <c r="BO508" t="s">
        <v>74</v>
      </c>
      <c r="BP508" t="s">
        <v>74</v>
      </c>
      <c r="BQ508" t="s">
        <v>74</v>
      </c>
      <c r="BR508" t="s">
        <v>106</v>
      </c>
      <c r="BS508" t="s">
        <v>8193</v>
      </c>
      <c r="BT508" t="str">
        <f>HYPERLINK("https%3A%2F%2Fwww.webofscience.com%2Fwos%2Fwoscc%2Ffull-record%2FWOS:000518764700002","View Full Record in Web of Science")</f>
        <v>View Full Record in Web of Science</v>
      </c>
    </row>
    <row r="509" spans="1:72" x14ac:dyDescent="0.25">
      <c r="A509" t="s">
        <v>72</v>
      </c>
      <c r="B509" t="s">
        <v>8194</v>
      </c>
      <c r="C509" t="s">
        <v>74</v>
      </c>
      <c r="D509" t="s">
        <v>74</v>
      </c>
      <c r="E509" t="s">
        <v>74</v>
      </c>
      <c r="F509" t="s">
        <v>8195</v>
      </c>
      <c r="G509" t="s">
        <v>74</v>
      </c>
      <c r="H509" t="s">
        <v>74</v>
      </c>
      <c r="I509" t="s">
        <v>8196</v>
      </c>
      <c r="J509" t="s">
        <v>77</v>
      </c>
      <c r="K509" t="s">
        <v>74</v>
      </c>
      <c r="L509" t="s">
        <v>74</v>
      </c>
      <c r="M509" t="s">
        <v>78</v>
      </c>
      <c r="N509" t="s">
        <v>79</v>
      </c>
      <c r="O509" t="s">
        <v>74</v>
      </c>
      <c r="P509" t="s">
        <v>74</v>
      </c>
      <c r="Q509" t="s">
        <v>74</v>
      </c>
      <c r="R509" t="s">
        <v>74</v>
      </c>
      <c r="S509" t="s">
        <v>74</v>
      </c>
      <c r="T509" t="s">
        <v>8197</v>
      </c>
      <c r="U509" t="s">
        <v>8198</v>
      </c>
      <c r="V509" t="s">
        <v>8199</v>
      </c>
      <c r="W509" t="s">
        <v>8200</v>
      </c>
      <c r="X509" t="s">
        <v>8201</v>
      </c>
      <c r="Y509" t="s">
        <v>8202</v>
      </c>
      <c r="Z509" t="s">
        <v>8203</v>
      </c>
      <c r="AA509" t="s">
        <v>8204</v>
      </c>
      <c r="AB509" t="s">
        <v>8205</v>
      </c>
      <c r="AC509" t="s">
        <v>8206</v>
      </c>
      <c r="AD509" t="s">
        <v>8207</v>
      </c>
      <c r="AE509" t="s">
        <v>8208</v>
      </c>
      <c r="AF509" t="s">
        <v>74</v>
      </c>
      <c r="AG509">
        <v>38</v>
      </c>
      <c r="AH509">
        <v>3</v>
      </c>
      <c r="AI509">
        <v>3</v>
      </c>
      <c r="AJ509">
        <v>0</v>
      </c>
      <c r="AK509">
        <v>3</v>
      </c>
      <c r="AL509" t="s">
        <v>92</v>
      </c>
      <c r="AM509" t="s">
        <v>93</v>
      </c>
      <c r="AN509" t="s">
        <v>94</v>
      </c>
      <c r="AO509" t="s">
        <v>95</v>
      </c>
      <c r="AP509" t="s">
        <v>96</v>
      </c>
      <c r="AQ509" t="s">
        <v>74</v>
      </c>
      <c r="AR509" t="s">
        <v>97</v>
      </c>
      <c r="AS509" t="s">
        <v>98</v>
      </c>
      <c r="AT509" t="s">
        <v>509</v>
      </c>
      <c r="AU509">
        <v>2019</v>
      </c>
      <c r="AV509">
        <v>64</v>
      </c>
      <c r="AW509">
        <v>20</v>
      </c>
      <c r="AX509" t="s">
        <v>74</v>
      </c>
      <c r="AY509" t="s">
        <v>74</v>
      </c>
      <c r="AZ509" t="s">
        <v>74</v>
      </c>
      <c r="BA509" t="s">
        <v>74</v>
      </c>
      <c r="BB509" t="s">
        <v>74</v>
      </c>
      <c r="BC509" t="s">
        <v>74</v>
      </c>
      <c r="BD509">
        <v>205006</v>
      </c>
      <c r="BE509" t="s">
        <v>8209</v>
      </c>
      <c r="BF509" t="str">
        <f>HYPERLINK("http://dx.doi.org/10.1088/1361-6560/ab447c","http://dx.doi.org/10.1088/1361-6560/ab447c")</f>
        <v>http://dx.doi.org/10.1088/1361-6560/ab447c</v>
      </c>
      <c r="BG509" t="s">
        <v>74</v>
      </c>
      <c r="BH509" t="s">
        <v>74</v>
      </c>
      <c r="BI509">
        <v>9</v>
      </c>
      <c r="BJ509" t="s">
        <v>101</v>
      </c>
      <c r="BK509" t="s">
        <v>102</v>
      </c>
      <c r="BL509" t="s">
        <v>103</v>
      </c>
      <c r="BM509" t="s">
        <v>741</v>
      </c>
      <c r="BN509">
        <v>31519018</v>
      </c>
      <c r="BO509" t="s">
        <v>179</v>
      </c>
      <c r="BP509" t="s">
        <v>74</v>
      </c>
      <c r="BQ509" t="s">
        <v>74</v>
      </c>
      <c r="BR509" t="s">
        <v>106</v>
      </c>
      <c r="BS509" t="s">
        <v>8210</v>
      </c>
      <c r="BT509" t="str">
        <f>HYPERLINK("https%3A%2F%2Fwww.webofscience.com%2Fwos%2Fwoscc%2Ffull-record%2FWOS:000500247900006","View Full Record in Web of Science")</f>
        <v>View Full Record in Web of Science</v>
      </c>
    </row>
    <row r="510" spans="1:72" x14ac:dyDescent="0.25">
      <c r="A510" t="s">
        <v>72</v>
      </c>
      <c r="B510" t="s">
        <v>8211</v>
      </c>
      <c r="C510" t="s">
        <v>74</v>
      </c>
      <c r="D510" t="s">
        <v>74</v>
      </c>
      <c r="E510" t="s">
        <v>74</v>
      </c>
      <c r="F510" t="s">
        <v>8212</v>
      </c>
      <c r="G510" t="s">
        <v>74</v>
      </c>
      <c r="H510" t="s">
        <v>74</v>
      </c>
      <c r="I510" t="s">
        <v>8213</v>
      </c>
      <c r="J510" t="s">
        <v>77</v>
      </c>
      <c r="K510" t="s">
        <v>74</v>
      </c>
      <c r="L510" t="s">
        <v>74</v>
      </c>
      <c r="M510" t="s">
        <v>78</v>
      </c>
      <c r="N510" t="s">
        <v>79</v>
      </c>
      <c r="O510" t="s">
        <v>74</v>
      </c>
      <c r="P510" t="s">
        <v>74</v>
      </c>
      <c r="Q510" t="s">
        <v>74</v>
      </c>
      <c r="R510" t="s">
        <v>74</v>
      </c>
      <c r="S510" t="s">
        <v>74</v>
      </c>
      <c r="T510" t="s">
        <v>8214</v>
      </c>
      <c r="U510" t="s">
        <v>8215</v>
      </c>
      <c r="V510" t="s">
        <v>8216</v>
      </c>
      <c r="W510" t="s">
        <v>8217</v>
      </c>
      <c r="X510" t="s">
        <v>8218</v>
      </c>
      <c r="Y510" t="s">
        <v>8219</v>
      </c>
      <c r="Z510" t="s">
        <v>8220</v>
      </c>
      <c r="AA510" t="s">
        <v>74</v>
      </c>
      <c r="AB510" t="s">
        <v>8221</v>
      </c>
      <c r="AC510" t="s">
        <v>8222</v>
      </c>
      <c r="AD510" t="s">
        <v>1003</v>
      </c>
      <c r="AE510" t="s">
        <v>74</v>
      </c>
      <c r="AF510" t="s">
        <v>74</v>
      </c>
      <c r="AG510">
        <v>41</v>
      </c>
      <c r="AH510">
        <v>8</v>
      </c>
      <c r="AI510">
        <v>12</v>
      </c>
      <c r="AJ510">
        <v>0</v>
      </c>
      <c r="AK510">
        <v>0</v>
      </c>
      <c r="AL510" t="s">
        <v>92</v>
      </c>
      <c r="AM510" t="s">
        <v>93</v>
      </c>
      <c r="AN510" t="s">
        <v>94</v>
      </c>
      <c r="AO510" t="s">
        <v>95</v>
      </c>
      <c r="AP510" t="s">
        <v>96</v>
      </c>
      <c r="AQ510" t="s">
        <v>74</v>
      </c>
      <c r="AR510" t="s">
        <v>97</v>
      </c>
      <c r="AS510" t="s">
        <v>98</v>
      </c>
      <c r="AT510" t="s">
        <v>509</v>
      </c>
      <c r="AU510">
        <v>2019</v>
      </c>
      <c r="AV510">
        <v>64</v>
      </c>
      <c r="AW510">
        <v>20</v>
      </c>
      <c r="AX510" t="s">
        <v>74</v>
      </c>
      <c r="AY510" t="s">
        <v>74</v>
      </c>
      <c r="AZ510" t="s">
        <v>74</v>
      </c>
      <c r="BA510" t="s">
        <v>74</v>
      </c>
      <c r="BB510" t="s">
        <v>74</v>
      </c>
      <c r="BC510" t="s">
        <v>74</v>
      </c>
      <c r="BD510">
        <v>205025</v>
      </c>
      <c r="BE510" t="s">
        <v>8223</v>
      </c>
      <c r="BF510" t="str">
        <f>HYPERLINK("http://dx.doi.org/10.1088/1361-6560/ab416d","http://dx.doi.org/10.1088/1361-6560/ab416d")</f>
        <v>http://dx.doi.org/10.1088/1361-6560/ab416d</v>
      </c>
      <c r="BG510" t="s">
        <v>74</v>
      </c>
      <c r="BH510" t="s">
        <v>74</v>
      </c>
      <c r="BI510">
        <v>11</v>
      </c>
      <c r="BJ510" t="s">
        <v>101</v>
      </c>
      <c r="BK510" t="s">
        <v>102</v>
      </c>
      <c r="BL510" t="s">
        <v>103</v>
      </c>
      <c r="BM510" t="s">
        <v>741</v>
      </c>
      <c r="BN510">
        <v>31484170</v>
      </c>
      <c r="BO510" t="s">
        <v>105</v>
      </c>
      <c r="BP510" t="s">
        <v>74</v>
      </c>
      <c r="BQ510" t="s">
        <v>74</v>
      </c>
      <c r="BR510" t="s">
        <v>106</v>
      </c>
      <c r="BS510" t="s">
        <v>8224</v>
      </c>
      <c r="BT510" t="str">
        <f>HYPERLINK("https%3A%2F%2Fwww.webofscience.com%2Fwos%2Fwoscc%2Ffull-record%2FWOS:000500247900025","View Full Record in Web of Science")</f>
        <v>View Full Record in Web of Science</v>
      </c>
    </row>
    <row r="511" spans="1:72" x14ac:dyDescent="0.25">
      <c r="A511" t="s">
        <v>72</v>
      </c>
      <c r="B511" t="s">
        <v>8225</v>
      </c>
      <c r="C511" t="s">
        <v>74</v>
      </c>
      <c r="D511" t="s">
        <v>74</v>
      </c>
      <c r="E511" t="s">
        <v>74</v>
      </c>
      <c r="F511" t="s">
        <v>8226</v>
      </c>
      <c r="G511" t="s">
        <v>74</v>
      </c>
      <c r="H511" t="s">
        <v>74</v>
      </c>
      <c r="I511" t="s">
        <v>8227</v>
      </c>
      <c r="J511" t="s">
        <v>77</v>
      </c>
      <c r="K511" t="s">
        <v>74</v>
      </c>
      <c r="L511" t="s">
        <v>74</v>
      </c>
      <c r="M511" t="s">
        <v>78</v>
      </c>
      <c r="N511" t="s">
        <v>79</v>
      </c>
      <c r="O511" t="s">
        <v>74</v>
      </c>
      <c r="P511" t="s">
        <v>74</v>
      </c>
      <c r="Q511" t="s">
        <v>74</v>
      </c>
      <c r="R511" t="s">
        <v>74</v>
      </c>
      <c r="S511" t="s">
        <v>74</v>
      </c>
      <c r="T511" t="s">
        <v>8228</v>
      </c>
      <c r="U511" t="s">
        <v>8229</v>
      </c>
      <c r="V511" t="s">
        <v>8230</v>
      </c>
      <c r="W511" t="s">
        <v>8231</v>
      </c>
      <c r="X511" t="s">
        <v>8232</v>
      </c>
      <c r="Y511" t="s">
        <v>8233</v>
      </c>
      <c r="Z511" t="s">
        <v>8234</v>
      </c>
      <c r="AA511" t="s">
        <v>8235</v>
      </c>
      <c r="AB511" t="s">
        <v>8236</v>
      </c>
      <c r="AC511" t="s">
        <v>8237</v>
      </c>
      <c r="AD511" t="s">
        <v>8238</v>
      </c>
      <c r="AE511" t="s">
        <v>8239</v>
      </c>
      <c r="AF511" t="s">
        <v>74</v>
      </c>
      <c r="AG511">
        <v>51</v>
      </c>
      <c r="AH511">
        <v>23</v>
      </c>
      <c r="AI511">
        <v>23</v>
      </c>
      <c r="AJ511">
        <v>1</v>
      </c>
      <c r="AK511">
        <v>20</v>
      </c>
      <c r="AL511" t="s">
        <v>92</v>
      </c>
      <c r="AM511" t="s">
        <v>93</v>
      </c>
      <c r="AN511" t="s">
        <v>94</v>
      </c>
      <c r="AO511" t="s">
        <v>95</v>
      </c>
      <c r="AP511" t="s">
        <v>96</v>
      </c>
      <c r="AQ511" t="s">
        <v>74</v>
      </c>
      <c r="AR511" t="s">
        <v>97</v>
      </c>
      <c r="AS511" t="s">
        <v>98</v>
      </c>
      <c r="AT511" t="s">
        <v>176</v>
      </c>
      <c r="AU511">
        <v>2019</v>
      </c>
      <c r="AV511">
        <v>64</v>
      </c>
      <c r="AW511">
        <v>18</v>
      </c>
      <c r="AX511" t="s">
        <v>74</v>
      </c>
      <c r="AY511" t="s">
        <v>74</v>
      </c>
      <c r="AZ511" t="s">
        <v>74</v>
      </c>
      <c r="BA511" t="s">
        <v>74</v>
      </c>
      <c r="BB511" t="s">
        <v>74</v>
      </c>
      <c r="BC511" t="s">
        <v>74</v>
      </c>
      <c r="BD511">
        <v>185006</v>
      </c>
      <c r="BE511" t="s">
        <v>8240</v>
      </c>
      <c r="BF511" t="str">
        <f>HYPERLINK("http://dx.doi.org/10.1088/1361-6560/ab33db","http://dx.doi.org/10.1088/1361-6560/ab33db")</f>
        <v>http://dx.doi.org/10.1088/1361-6560/ab33db</v>
      </c>
      <c r="BG511" t="s">
        <v>74</v>
      </c>
      <c r="BH511" t="s">
        <v>74</v>
      </c>
      <c r="BI511">
        <v>11</v>
      </c>
      <c r="BJ511" t="s">
        <v>101</v>
      </c>
      <c r="BK511" t="s">
        <v>102</v>
      </c>
      <c r="BL511" t="s">
        <v>103</v>
      </c>
      <c r="BM511" t="s">
        <v>2334</v>
      </c>
      <c r="BN511">
        <v>31323649</v>
      </c>
      <c r="BO511" t="s">
        <v>74</v>
      </c>
      <c r="BP511" t="s">
        <v>74</v>
      </c>
      <c r="BQ511" t="s">
        <v>74</v>
      </c>
      <c r="BR511" t="s">
        <v>106</v>
      </c>
      <c r="BS511" t="s">
        <v>8241</v>
      </c>
      <c r="BT511" t="str">
        <f>HYPERLINK("https%3A%2F%2Fwww.webofscience.com%2Fwos%2Fwoscc%2Ffull-record%2FWOS:000485720400006","View Full Record in Web of Science")</f>
        <v>View Full Record in Web of Science</v>
      </c>
    </row>
    <row r="512" spans="1:72" x14ac:dyDescent="0.25">
      <c r="A512" t="s">
        <v>72</v>
      </c>
      <c r="B512" t="s">
        <v>8242</v>
      </c>
      <c r="C512" t="s">
        <v>74</v>
      </c>
      <c r="D512" t="s">
        <v>74</v>
      </c>
      <c r="E512" t="s">
        <v>74</v>
      </c>
      <c r="F512" t="s">
        <v>8243</v>
      </c>
      <c r="G512" t="s">
        <v>74</v>
      </c>
      <c r="H512" t="s">
        <v>74</v>
      </c>
      <c r="I512" t="s">
        <v>8244</v>
      </c>
      <c r="J512" t="s">
        <v>77</v>
      </c>
      <c r="K512" t="s">
        <v>74</v>
      </c>
      <c r="L512" t="s">
        <v>74</v>
      </c>
      <c r="M512" t="s">
        <v>78</v>
      </c>
      <c r="N512" t="s">
        <v>79</v>
      </c>
      <c r="O512" t="s">
        <v>74</v>
      </c>
      <c r="P512" t="s">
        <v>74</v>
      </c>
      <c r="Q512" t="s">
        <v>74</v>
      </c>
      <c r="R512" t="s">
        <v>74</v>
      </c>
      <c r="S512" t="s">
        <v>74</v>
      </c>
      <c r="T512" t="s">
        <v>8245</v>
      </c>
      <c r="U512" t="s">
        <v>8246</v>
      </c>
      <c r="V512" t="s">
        <v>8247</v>
      </c>
      <c r="W512" t="s">
        <v>8248</v>
      </c>
      <c r="X512" t="s">
        <v>8249</v>
      </c>
      <c r="Y512" t="s">
        <v>8250</v>
      </c>
      <c r="Z512" t="s">
        <v>8251</v>
      </c>
      <c r="AA512" t="s">
        <v>8252</v>
      </c>
      <c r="AB512" t="s">
        <v>8253</v>
      </c>
      <c r="AC512" t="s">
        <v>8254</v>
      </c>
      <c r="AD512" t="s">
        <v>8255</v>
      </c>
      <c r="AE512" t="s">
        <v>8256</v>
      </c>
      <c r="AF512" t="s">
        <v>74</v>
      </c>
      <c r="AG512">
        <v>38</v>
      </c>
      <c r="AH512">
        <v>3</v>
      </c>
      <c r="AI512">
        <v>3</v>
      </c>
      <c r="AJ512">
        <v>1</v>
      </c>
      <c r="AK512">
        <v>14</v>
      </c>
      <c r="AL512" t="s">
        <v>92</v>
      </c>
      <c r="AM512" t="s">
        <v>93</v>
      </c>
      <c r="AN512" t="s">
        <v>94</v>
      </c>
      <c r="AO512" t="s">
        <v>95</v>
      </c>
      <c r="AP512" t="s">
        <v>96</v>
      </c>
      <c r="AQ512" t="s">
        <v>74</v>
      </c>
      <c r="AR512" t="s">
        <v>97</v>
      </c>
      <c r="AS512" t="s">
        <v>98</v>
      </c>
      <c r="AT512" t="s">
        <v>196</v>
      </c>
      <c r="AU512">
        <v>2019</v>
      </c>
      <c r="AV512">
        <v>64</v>
      </c>
      <c r="AW512">
        <v>15</v>
      </c>
      <c r="AX512" t="s">
        <v>74</v>
      </c>
      <c r="AY512" t="s">
        <v>74</v>
      </c>
      <c r="AZ512" t="s">
        <v>74</v>
      </c>
      <c r="BA512" t="s">
        <v>74</v>
      </c>
      <c r="BB512" t="s">
        <v>74</v>
      </c>
      <c r="BC512" t="s">
        <v>74</v>
      </c>
      <c r="BD512">
        <v>155012</v>
      </c>
      <c r="BE512" t="s">
        <v>8257</v>
      </c>
      <c r="BF512" t="str">
        <f>HYPERLINK("http://dx.doi.org/10.1088/1361-6560/ab2b62","http://dx.doi.org/10.1088/1361-6560/ab2b62")</f>
        <v>http://dx.doi.org/10.1088/1361-6560/ab2b62</v>
      </c>
      <c r="BG512" t="s">
        <v>74</v>
      </c>
      <c r="BH512" t="s">
        <v>74</v>
      </c>
      <c r="BI512">
        <v>9</v>
      </c>
      <c r="BJ512" t="s">
        <v>101</v>
      </c>
      <c r="BK512" t="s">
        <v>102</v>
      </c>
      <c r="BL512" t="s">
        <v>103</v>
      </c>
      <c r="BM512" t="s">
        <v>198</v>
      </c>
      <c r="BN512">
        <v>31220816</v>
      </c>
      <c r="BO512" t="s">
        <v>105</v>
      </c>
      <c r="BP512" t="s">
        <v>74</v>
      </c>
      <c r="BQ512" t="s">
        <v>74</v>
      </c>
      <c r="BR512" t="s">
        <v>106</v>
      </c>
      <c r="BS512" t="s">
        <v>8258</v>
      </c>
      <c r="BT512" t="str">
        <f>HYPERLINK("https%3A%2F%2Fwww.webofscience.com%2Fwos%2Fwoscc%2Ffull-record%2FWOS:000480292700007","View Full Record in Web of Science")</f>
        <v>View Full Record in Web of Science</v>
      </c>
    </row>
    <row r="513" spans="1:72" x14ac:dyDescent="0.25">
      <c r="A513" t="s">
        <v>72</v>
      </c>
      <c r="B513" t="s">
        <v>8259</v>
      </c>
      <c r="C513" t="s">
        <v>74</v>
      </c>
      <c r="D513" t="s">
        <v>74</v>
      </c>
      <c r="E513" t="s">
        <v>74</v>
      </c>
      <c r="F513" t="s">
        <v>8260</v>
      </c>
      <c r="G513" t="s">
        <v>74</v>
      </c>
      <c r="H513" t="s">
        <v>74</v>
      </c>
      <c r="I513" t="s">
        <v>8261</v>
      </c>
      <c r="J513" t="s">
        <v>77</v>
      </c>
      <c r="K513" t="s">
        <v>74</v>
      </c>
      <c r="L513" t="s">
        <v>74</v>
      </c>
      <c r="M513" t="s">
        <v>78</v>
      </c>
      <c r="N513" t="s">
        <v>79</v>
      </c>
      <c r="O513" t="s">
        <v>74</v>
      </c>
      <c r="P513" t="s">
        <v>74</v>
      </c>
      <c r="Q513" t="s">
        <v>74</v>
      </c>
      <c r="R513" t="s">
        <v>74</v>
      </c>
      <c r="S513" t="s">
        <v>74</v>
      </c>
      <c r="T513" t="s">
        <v>8262</v>
      </c>
      <c r="U513" t="s">
        <v>8263</v>
      </c>
      <c r="V513" t="s">
        <v>8264</v>
      </c>
      <c r="W513" t="s">
        <v>8265</v>
      </c>
      <c r="X513" t="s">
        <v>8266</v>
      </c>
      <c r="Y513" t="s">
        <v>8267</v>
      </c>
      <c r="Z513" t="s">
        <v>3141</v>
      </c>
      <c r="AA513" t="s">
        <v>8268</v>
      </c>
      <c r="AB513" t="s">
        <v>8269</v>
      </c>
      <c r="AC513" t="s">
        <v>8270</v>
      </c>
      <c r="AD513" t="s">
        <v>8271</v>
      </c>
      <c r="AE513" t="s">
        <v>8272</v>
      </c>
      <c r="AF513" t="s">
        <v>74</v>
      </c>
      <c r="AG513">
        <v>53</v>
      </c>
      <c r="AH513">
        <v>20</v>
      </c>
      <c r="AI513">
        <v>21</v>
      </c>
      <c r="AJ513">
        <v>0</v>
      </c>
      <c r="AK513">
        <v>1</v>
      </c>
      <c r="AL513" t="s">
        <v>92</v>
      </c>
      <c r="AM513" t="s">
        <v>93</v>
      </c>
      <c r="AN513" t="s">
        <v>94</v>
      </c>
      <c r="AO513" t="s">
        <v>95</v>
      </c>
      <c r="AP513" t="s">
        <v>96</v>
      </c>
      <c r="AQ513" t="s">
        <v>74</v>
      </c>
      <c r="AR513" t="s">
        <v>97</v>
      </c>
      <c r="AS513" t="s">
        <v>98</v>
      </c>
      <c r="AT513" t="s">
        <v>214</v>
      </c>
      <c r="AU513">
        <v>2019</v>
      </c>
      <c r="AV513">
        <v>64</v>
      </c>
      <c r="AW513">
        <v>14</v>
      </c>
      <c r="AX513" t="s">
        <v>74</v>
      </c>
      <c r="AY513" t="s">
        <v>74</v>
      </c>
      <c r="AZ513" t="s">
        <v>74</v>
      </c>
      <c r="BA513" t="s">
        <v>74</v>
      </c>
      <c r="BB513" t="s">
        <v>74</v>
      </c>
      <c r="BC513" t="s">
        <v>74</v>
      </c>
      <c r="BD513">
        <v>145016</v>
      </c>
      <c r="BE513" t="s">
        <v>8273</v>
      </c>
      <c r="BF513" t="str">
        <f>HYPERLINK("http://dx.doi.org/10.1088/1361-6560/ab2474","http://dx.doi.org/10.1088/1361-6560/ab2474")</f>
        <v>http://dx.doi.org/10.1088/1361-6560/ab2474</v>
      </c>
      <c r="BG513" t="s">
        <v>74</v>
      </c>
      <c r="BH513" t="s">
        <v>74</v>
      </c>
      <c r="BI513">
        <v>19</v>
      </c>
      <c r="BJ513" t="s">
        <v>101</v>
      </c>
      <c r="BK513" t="s">
        <v>102</v>
      </c>
      <c r="BL513" t="s">
        <v>103</v>
      </c>
      <c r="BM513" t="s">
        <v>233</v>
      </c>
      <c r="BN513">
        <v>31125986</v>
      </c>
      <c r="BO513" t="s">
        <v>759</v>
      </c>
      <c r="BP513" t="s">
        <v>74</v>
      </c>
      <c r="BQ513" t="s">
        <v>74</v>
      </c>
      <c r="BR513" t="s">
        <v>106</v>
      </c>
      <c r="BS513" t="s">
        <v>8274</v>
      </c>
      <c r="BT513" t="str">
        <f>HYPERLINK("https%3A%2F%2Fwww.webofscience.com%2Fwos%2Fwoscc%2Ffull-record%2FWOS:000475775200009","View Full Record in Web of Science")</f>
        <v>View Full Record in Web of Science</v>
      </c>
    </row>
    <row r="514" spans="1:72" x14ac:dyDescent="0.25">
      <c r="A514" t="s">
        <v>72</v>
      </c>
      <c r="B514" t="s">
        <v>8275</v>
      </c>
      <c r="C514" t="s">
        <v>74</v>
      </c>
      <c r="D514" t="s">
        <v>74</v>
      </c>
      <c r="E514" t="s">
        <v>74</v>
      </c>
      <c r="F514" t="s">
        <v>8276</v>
      </c>
      <c r="G514" t="s">
        <v>74</v>
      </c>
      <c r="H514" t="s">
        <v>74</v>
      </c>
      <c r="I514" t="s">
        <v>8277</v>
      </c>
      <c r="J514" t="s">
        <v>77</v>
      </c>
      <c r="K514" t="s">
        <v>74</v>
      </c>
      <c r="L514" t="s">
        <v>74</v>
      </c>
      <c r="M514" t="s">
        <v>78</v>
      </c>
      <c r="N514" t="s">
        <v>79</v>
      </c>
      <c r="O514" t="s">
        <v>74</v>
      </c>
      <c r="P514" t="s">
        <v>74</v>
      </c>
      <c r="Q514" t="s">
        <v>74</v>
      </c>
      <c r="R514" t="s">
        <v>74</v>
      </c>
      <c r="S514" t="s">
        <v>74</v>
      </c>
      <c r="T514" t="s">
        <v>8278</v>
      </c>
      <c r="U514" t="s">
        <v>8279</v>
      </c>
      <c r="V514" t="s">
        <v>8280</v>
      </c>
      <c r="W514" t="s">
        <v>8281</v>
      </c>
      <c r="X514" t="s">
        <v>8282</v>
      </c>
      <c r="Y514" t="s">
        <v>8283</v>
      </c>
      <c r="Z514" t="s">
        <v>8284</v>
      </c>
      <c r="AA514" t="s">
        <v>8285</v>
      </c>
      <c r="AB514" t="s">
        <v>8286</v>
      </c>
      <c r="AC514" t="s">
        <v>8287</v>
      </c>
      <c r="AD514" t="s">
        <v>8288</v>
      </c>
      <c r="AE514" t="s">
        <v>8289</v>
      </c>
      <c r="AF514" t="s">
        <v>74</v>
      </c>
      <c r="AG514">
        <v>48</v>
      </c>
      <c r="AH514">
        <v>10</v>
      </c>
      <c r="AI514">
        <v>11</v>
      </c>
      <c r="AJ514">
        <v>0</v>
      </c>
      <c r="AK514">
        <v>6</v>
      </c>
      <c r="AL514" t="s">
        <v>92</v>
      </c>
      <c r="AM514" t="s">
        <v>93</v>
      </c>
      <c r="AN514" t="s">
        <v>94</v>
      </c>
      <c r="AO514" t="s">
        <v>95</v>
      </c>
      <c r="AP514" t="s">
        <v>96</v>
      </c>
      <c r="AQ514" t="s">
        <v>74</v>
      </c>
      <c r="AR514" t="s">
        <v>97</v>
      </c>
      <c r="AS514" t="s">
        <v>98</v>
      </c>
      <c r="AT514" t="s">
        <v>250</v>
      </c>
      <c r="AU514">
        <v>2019</v>
      </c>
      <c r="AV514">
        <v>64</v>
      </c>
      <c r="AW514">
        <v>12</v>
      </c>
      <c r="AX514" t="s">
        <v>74</v>
      </c>
      <c r="AY514" t="s">
        <v>74</v>
      </c>
      <c r="AZ514" t="s">
        <v>74</v>
      </c>
      <c r="BA514" t="s">
        <v>74</v>
      </c>
      <c r="BB514" t="s">
        <v>74</v>
      </c>
      <c r="BC514" t="s">
        <v>74</v>
      </c>
      <c r="BD514">
        <v>125016</v>
      </c>
      <c r="BE514" t="s">
        <v>8290</v>
      </c>
      <c r="BF514" t="str">
        <f>HYPERLINK("http://dx.doi.org/10.1088/1361-6560/ab2328","http://dx.doi.org/10.1088/1361-6560/ab2328")</f>
        <v>http://dx.doi.org/10.1088/1361-6560/ab2328</v>
      </c>
      <c r="BG514" t="s">
        <v>74</v>
      </c>
      <c r="BH514" t="s">
        <v>74</v>
      </c>
      <c r="BI514">
        <v>11</v>
      </c>
      <c r="BJ514" t="s">
        <v>101</v>
      </c>
      <c r="BK514" t="s">
        <v>102</v>
      </c>
      <c r="BL514" t="s">
        <v>103</v>
      </c>
      <c r="BM514" t="s">
        <v>357</v>
      </c>
      <c r="BN514">
        <v>31108468</v>
      </c>
      <c r="BO514" t="s">
        <v>270</v>
      </c>
      <c r="BP514" t="s">
        <v>74</v>
      </c>
      <c r="BQ514" t="s">
        <v>74</v>
      </c>
      <c r="BR514" t="s">
        <v>106</v>
      </c>
      <c r="BS514" t="s">
        <v>8291</v>
      </c>
      <c r="BT514" t="str">
        <f>HYPERLINK("https%3A%2F%2Fwww.webofscience.com%2Fwos%2Fwoscc%2Ffull-record%2FWOS:000518929400006","View Full Record in Web of Science")</f>
        <v>View Full Record in Web of Science</v>
      </c>
    </row>
    <row r="515" spans="1:72" x14ac:dyDescent="0.25">
      <c r="A515" t="s">
        <v>72</v>
      </c>
      <c r="B515" t="s">
        <v>8292</v>
      </c>
      <c r="C515" t="s">
        <v>74</v>
      </c>
      <c r="D515" t="s">
        <v>74</v>
      </c>
      <c r="E515" t="s">
        <v>74</v>
      </c>
      <c r="F515" t="s">
        <v>8293</v>
      </c>
      <c r="G515" t="s">
        <v>74</v>
      </c>
      <c r="H515" t="s">
        <v>74</v>
      </c>
      <c r="I515" t="s">
        <v>8294</v>
      </c>
      <c r="J515" t="s">
        <v>77</v>
      </c>
      <c r="K515" t="s">
        <v>74</v>
      </c>
      <c r="L515" t="s">
        <v>74</v>
      </c>
      <c r="M515" t="s">
        <v>78</v>
      </c>
      <c r="N515" t="s">
        <v>79</v>
      </c>
      <c r="O515" t="s">
        <v>74</v>
      </c>
      <c r="P515" t="s">
        <v>74</v>
      </c>
      <c r="Q515" t="s">
        <v>74</v>
      </c>
      <c r="R515" t="s">
        <v>74</v>
      </c>
      <c r="S515" t="s">
        <v>74</v>
      </c>
      <c r="T515" t="s">
        <v>8295</v>
      </c>
      <c r="U515" t="s">
        <v>8296</v>
      </c>
      <c r="V515" t="s">
        <v>8297</v>
      </c>
      <c r="W515" t="s">
        <v>8298</v>
      </c>
      <c r="X515" t="s">
        <v>7868</v>
      </c>
      <c r="Y515" t="s">
        <v>8299</v>
      </c>
      <c r="Z515" t="s">
        <v>8300</v>
      </c>
      <c r="AA515" t="s">
        <v>8301</v>
      </c>
      <c r="AB515" t="s">
        <v>8302</v>
      </c>
      <c r="AC515" t="s">
        <v>8303</v>
      </c>
      <c r="AD515" t="s">
        <v>7874</v>
      </c>
      <c r="AE515" t="s">
        <v>8304</v>
      </c>
      <c r="AF515" t="s">
        <v>74</v>
      </c>
      <c r="AG515">
        <v>20</v>
      </c>
      <c r="AH515">
        <v>4</v>
      </c>
      <c r="AI515">
        <v>4</v>
      </c>
      <c r="AJ515">
        <v>0</v>
      </c>
      <c r="AK515">
        <v>4</v>
      </c>
      <c r="AL515" t="s">
        <v>157</v>
      </c>
      <c r="AM515" t="s">
        <v>93</v>
      </c>
      <c r="AN515" t="s">
        <v>94</v>
      </c>
      <c r="AO515" t="s">
        <v>95</v>
      </c>
      <c r="AP515" t="s">
        <v>96</v>
      </c>
      <c r="AQ515" t="s">
        <v>74</v>
      </c>
      <c r="AR515" t="s">
        <v>97</v>
      </c>
      <c r="AS515" t="s">
        <v>98</v>
      </c>
      <c r="AT515" t="s">
        <v>250</v>
      </c>
      <c r="AU515">
        <v>2019</v>
      </c>
      <c r="AV515">
        <v>64</v>
      </c>
      <c r="AW515">
        <v>12</v>
      </c>
      <c r="AX515" t="s">
        <v>74</v>
      </c>
      <c r="AY515" t="s">
        <v>74</v>
      </c>
      <c r="AZ515" t="s">
        <v>74</v>
      </c>
      <c r="BA515" t="s">
        <v>74</v>
      </c>
      <c r="BB515" t="s">
        <v>74</v>
      </c>
      <c r="BC515" t="s">
        <v>74</v>
      </c>
      <c r="BD515">
        <v>125003</v>
      </c>
      <c r="BE515" t="s">
        <v>8305</v>
      </c>
      <c r="BF515" t="str">
        <f>HYPERLINK("http://dx.doi.org/10.1088/1361-6560/ab221d","http://dx.doi.org/10.1088/1361-6560/ab221d")</f>
        <v>http://dx.doi.org/10.1088/1361-6560/ab221d</v>
      </c>
      <c r="BG515" t="s">
        <v>74</v>
      </c>
      <c r="BH515" t="s">
        <v>74</v>
      </c>
      <c r="BI515">
        <v>13</v>
      </c>
      <c r="BJ515" t="s">
        <v>101</v>
      </c>
      <c r="BK515" t="s">
        <v>102</v>
      </c>
      <c r="BL515" t="s">
        <v>103</v>
      </c>
      <c r="BM515" t="s">
        <v>4299</v>
      </c>
      <c r="BN515">
        <v>31096205</v>
      </c>
      <c r="BO515" t="s">
        <v>74</v>
      </c>
      <c r="BP515" t="s">
        <v>74</v>
      </c>
      <c r="BQ515" t="s">
        <v>74</v>
      </c>
      <c r="BR515" t="s">
        <v>106</v>
      </c>
      <c r="BS515" t="s">
        <v>8306</v>
      </c>
      <c r="BT515" t="str">
        <f>HYPERLINK("https%3A%2F%2Fwww.webofscience.com%2Fwos%2Fwoscc%2Ffull-record%2FWOS:000471166400003","View Full Record in Web of Science")</f>
        <v>View Full Record in Web of Science</v>
      </c>
    </row>
    <row r="516" spans="1:72" x14ac:dyDescent="0.25">
      <c r="A516" t="s">
        <v>72</v>
      </c>
      <c r="B516" t="s">
        <v>8307</v>
      </c>
      <c r="C516" t="s">
        <v>74</v>
      </c>
      <c r="D516" t="s">
        <v>74</v>
      </c>
      <c r="E516" t="s">
        <v>74</v>
      </c>
      <c r="F516" t="s">
        <v>8308</v>
      </c>
      <c r="G516" t="s">
        <v>74</v>
      </c>
      <c r="H516" t="s">
        <v>74</v>
      </c>
      <c r="I516" t="s">
        <v>8309</v>
      </c>
      <c r="J516" t="s">
        <v>77</v>
      </c>
      <c r="K516" t="s">
        <v>74</v>
      </c>
      <c r="L516" t="s">
        <v>74</v>
      </c>
      <c r="M516" t="s">
        <v>78</v>
      </c>
      <c r="N516" t="s">
        <v>79</v>
      </c>
      <c r="O516" t="s">
        <v>74</v>
      </c>
      <c r="P516" t="s">
        <v>74</v>
      </c>
      <c r="Q516" t="s">
        <v>74</v>
      </c>
      <c r="R516" t="s">
        <v>74</v>
      </c>
      <c r="S516" t="s">
        <v>74</v>
      </c>
      <c r="T516" t="s">
        <v>8310</v>
      </c>
      <c r="U516" t="s">
        <v>8311</v>
      </c>
      <c r="V516" t="s">
        <v>8312</v>
      </c>
      <c r="W516" t="s">
        <v>8313</v>
      </c>
      <c r="X516" t="s">
        <v>8314</v>
      </c>
      <c r="Y516" t="s">
        <v>8315</v>
      </c>
      <c r="Z516" t="s">
        <v>8316</v>
      </c>
      <c r="AA516" t="s">
        <v>8317</v>
      </c>
      <c r="AB516" t="s">
        <v>8318</v>
      </c>
      <c r="AC516" t="s">
        <v>8319</v>
      </c>
      <c r="AD516" t="s">
        <v>8320</v>
      </c>
      <c r="AE516" t="s">
        <v>8321</v>
      </c>
      <c r="AF516" t="s">
        <v>74</v>
      </c>
      <c r="AG516">
        <v>33</v>
      </c>
      <c r="AH516">
        <v>10</v>
      </c>
      <c r="AI516">
        <v>10</v>
      </c>
      <c r="AJ516">
        <v>1</v>
      </c>
      <c r="AK516">
        <v>8</v>
      </c>
      <c r="AL516" t="s">
        <v>92</v>
      </c>
      <c r="AM516" t="s">
        <v>93</v>
      </c>
      <c r="AN516" t="s">
        <v>94</v>
      </c>
      <c r="AO516" t="s">
        <v>95</v>
      </c>
      <c r="AP516" t="s">
        <v>96</v>
      </c>
      <c r="AQ516" t="s">
        <v>74</v>
      </c>
      <c r="AR516" t="s">
        <v>97</v>
      </c>
      <c r="AS516" t="s">
        <v>98</v>
      </c>
      <c r="AT516" t="s">
        <v>250</v>
      </c>
      <c r="AU516">
        <v>2019</v>
      </c>
      <c r="AV516">
        <v>64</v>
      </c>
      <c r="AW516">
        <v>12</v>
      </c>
      <c r="AX516" t="s">
        <v>74</v>
      </c>
      <c r="AY516" t="s">
        <v>74</v>
      </c>
      <c r="AZ516" t="s">
        <v>74</v>
      </c>
      <c r="BA516" t="s">
        <v>74</v>
      </c>
      <c r="BB516" t="s">
        <v>74</v>
      </c>
      <c r="BC516" t="s">
        <v>74</v>
      </c>
      <c r="BD516">
        <v>125019</v>
      </c>
      <c r="BE516" t="s">
        <v>8322</v>
      </c>
      <c r="BF516" t="str">
        <f>HYPERLINK("http://dx.doi.org/10.1088/1361-6560/ab1f2b","http://dx.doi.org/10.1088/1361-6560/ab1f2b")</f>
        <v>http://dx.doi.org/10.1088/1361-6560/ab1f2b</v>
      </c>
      <c r="BG516" t="s">
        <v>74</v>
      </c>
      <c r="BH516" t="s">
        <v>74</v>
      </c>
      <c r="BI516">
        <v>13</v>
      </c>
      <c r="BJ516" t="s">
        <v>101</v>
      </c>
      <c r="BK516" t="s">
        <v>102</v>
      </c>
      <c r="BL516" t="s">
        <v>103</v>
      </c>
      <c r="BM516" t="s">
        <v>357</v>
      </c>
      <c r="BN516">
        <v>31051477</v>
      </c>
      <c r="BO516" t="s">
        <v>420</v>
      </c>
      <c r="BP516" t="s">
        <v>74</v>
      </c>
      <c r="BQ516" t="s">
        <v>74</v>
      </c>
      <c r="BR516" t="s">
        <v>106</v>
      </c>
      <c r="BS516" t="s">
        <v>8323</v>
      </c>
      <c r="BT516" t="str">
        <f>HYPERLINK("https%3A%2F%2Fwww.webofscience.com%2Fwos%2Fwoscc%2Ffull-record%2FWOS:000518929400009","View Full Record in Web of Science")</f>
        <v>View Full Record in Web of Science</v>
      </c>
    </row>
    <row r="517" spans="1:72" x14ac:dyDescent="0.25">
      <c r="A517" t="s">
        <v>72</v>
      </c>
      <c r="B517" t="s">
        <v>8324</v>
      </c>
      <c r="C517" t="s">
        <v>74</v>
      </c>
      <c r="D517" t="s">
        <v>74</v>
      </c>
      <c r="E517" t="s">
        <v>74</v>
      </c>
      <c r="F517" t="s">
        <v>8325</v>
      </c>
      <c r="G517" t="s">
        <v>74</v>
      </c>
      <c r="H517" t="s">
        <v>74</v>
      </c>
      <c r="I517" t="s">
        <v>8326</v>
      </c>
      <c r="J517" t="s">
        <v>77</v>
      </c>
      <c r="K517" t="s">
        <v>74</v>
      </c>
      <c r="L517" t="s">
        <v>74</v>
      </c>
      <c r="M517" t="s">
        <v>78</v>
      </c>
      <c r="N517" t="s">
        <v>79</v>
      </c>
      <c r="O517" t="s">
        <v>74</v>
      </c>
      <c r="P517" t="s">
        <v>74</v>
      </c>
      <c r="Q517" t="s">
        <v>74</v>
      </c>
      <c r="R517" t="s">
        <v>74</v>
      </c>
      <c r="S517" t="s">
        <v>74</v>
      </c>
      <c r="T517" t="s">
        <v>8327</v>
      </c>
      <c r="U517" t="s">
        <v>8328</v>
      </c>
      <c r="V517" t="s">
        <v>8329</v>
      </c>
      <c r="W517" t="s">
        <v>8330</v>
      </c>
      <c r="X517" t="s">
        <v>8331</v>
      </c>
      <c r="Y517" t="s">
        <v>8332</v>
      </c>
      <c r="Z517" t="s">
        <v>8333</v>
      </c>
      <c r="AA517" t="s">
        <v>8334</v>
      </c>
      <c r="AB517" t="s">
        <v>8335</v>
      </c>
      <c r="AC517" t="s">
        <v>74</v>
      </c>
      <c r="AD517" t="s">
        <v>74</v>
      </c>
      <c r="AE517" t="s">
        <v>74</v>
      </c>
      <c r="AF517" t="s">
        <v>74</v>
      </c>
      <c r="AG517">
        <v>41</v>
      </c>
      <c r="AH517">
        <v>6</v>
      </c>
      <c r="AI517">
        <v>11</v>
      </c>
      <c r="AJ517">
        <v>0</v>
      </c>
      <c r="AK517">
        <v>3</v>
      </c>
      <c r="AL517" t="s">
        <v>92</v>
      </c>
      <c r="AM517" t="s">
        <v>93</v>
      </c>
      <c r="AN517" t="s">
        <v>94</v>
      </c>
      <c r="AO517" t="s">
        <v>95</v>
      </c>
      <c r="AP517" t="s">
        <v>96</v>
      </c>
      <c r="AQ517" t="s">
        <v>74</v>
      </c>
      <c r="AR517" t="s">
        <v>97</v>
      </c>
      <c r="AS517" t="s">
        <v>98</v>
      </c>
      <c r="AT517" t="s">
        <v>370</v>
      </c>
      <c r="AU517">
        <v>2019</v>
      </c>
      <c r="AV517">
        <v>64</v>
      </c>
      <c r="AW517">
        <v>9</v>
      </c>
      <c r="AX517" t="s">
        <v>74</v>
      </c>
      <c r="AY517" t="s">
        <v>74</v>
      </c>
      <c r="AZ517" t="s">
        <v>74</v>
      </c>
      <c r="BA517" t="s">
        <v>74</v>
      </c>
      <c r="BB517" t="s">
        <v>74</v>
      </c>
      <c r="BC517" t="s">
        <v>74</v>
      </c>
      <c r="BD517">
        <v>95026</v>
      </c>
      <c r="BE517" t="s">
        <v>8336</v>
      </c>
      <c r="BF517" t="str">
        <f>HYPERLINK("http://dx.doi.org/10.1088/1361-6560/ab10d0","http://dx.doi.org/10.1088/1361-6560/ab10d0")</f>
        <v>http://dx.doi.org/10.1088/1361-6560/ab10d0</v>
      </c>
      <c r="BG517" t="s">
        <v>74</v>
      </c>
      <c r="BH517" t="s">
        <v>74</v>
      </c>
      <c r="BI517">
        <v>9</v>
      </c>
      <c r="BJ517" t="s">
        <v>101</v>
      </c>
      <c r="BK517" t="s">
        <v>102</v>
      </c>
      <c r="BL517" t="s">
        <v>103</v>
      </c>
      <c r="BM517" t="s">
        <v>610</v>
      </c>
      <c r="BN517">
        <v>30884469</v>
      </c>
      <c r="BO517" t="s">
        <v>74</v>
      </c>
      <c r="BP517" t="s">
        <v>74</v>
      </c>
      <c r="BQ517" t="s">
        <v>74</v>
      </c>
      <c r="BR517" t="s">
        <v>106</v>
      </c>
      <c r="BS517" t="s">
        <v>8337</v>
      </c>
      <c r="BT517" t="str">
        <f>HYPERLINK("https%3A%2F%2Fwww.webofscience.com%2Fwos%2Fwoscc%2Ffull-record%2FWOS:000466862700005","View Full Record in Web of Science")</f>
        <v>View Full Record in Web of Science</v>
      </c>
    </row>
    <row r="518" spans="1:72" x14ac:dyDescent="0.25">
      <c r="A518" t="s">
        <v>72</v>
      </c>
      <c r="B518" t="s">
        <v>8338</v>
      </c>
      <c r="C518" t="s">
        <v>74</v>
      </c>
      <c r="D518" t="s">
        <v>74</v>
      </c>
      <c r="E518" t="s">
        <v>74</v>
      </c>
      <c r="F518" t="s">
        <v>8339</v>
      </c>
      <c r="G518" t="s">
        <v>74</v>
      </c>
      <c r="H518" t="s">
        <v>74</v>
      </c>
      <c r="I518" t="s">
        <v>8340</v>
      </c>
      <c r="J518" t="s">
        <v>77</v>
      </c>
      <c r="K518" t="s">
        <v>74</v>
      </c>
      <c r="L518" t="s">
        <v>74</v>
      </c>
      <c r="M518" t="s">
        <v>78</v>
      </c>
      <c r="N518" t="s">
        <v>79</v>
      </c>
      <c r="O518" t="s">
        <v>74</v>
      </c>
      <c r="P518" t="s">
        <v>74</v>
      </c>
      <c r="Q518" t="s">
        <v>74</v>
      </c>
      <c r="R518" t="s">
        <v>74</v>
      </c>
      <c r="S518" t="s">
        <v>74</v>
      </c>
      <c r="T518" t="s">
        <v>8341</v>
      </c>
      <c r="U518" t="s">
        <v>8342</v>
      </c>
      <c r="V518" t="s">
        <v>8343</v>
      </c>
      <c r="W518" t="s">
        <v>8344</v>
      </c>
      <c r="X518" t="s">
        <v>8345</v>
      </c>
      <c r="Y518" t="s">
        <v>8346</v>
      </c>
      <c r="Z518" t="s">
        <v>8347</v>
      </c>
      <c r="AA518" t="s">
        <v>8348</v>
      </c>
      <c r="AB518" t="s">
        <v>8349</v>
      </c>
      <c r="AC518" t="s">
        <v>8350</v>
      </c>
      <c r="AD518" t="s">
        <v>8351</v>
      </c>
      <c r="AE518" t="s">
        <v>8352</v>
      </c>
      <c r="AF518" t="s">
        <v>74</v>
      </c>
      <c r="AG518">
        <v>17</v>
      </c>
      <c r="AH518">
        <v>5</v>
      </c>
      <c r="AI518">
        <v>5</v>
      </c>
      <c r="AJ518">
        <v>0</v>
      </c>
      <c r="AK518">
        <v>5</v>
      </c>
      <c r="AL518" t="s">
        <v>92</v>
      </c>
      <c r="AM518" t="s">
        <v>93</v>
      </c>
      <c r="AN518" t="s">
        <v>94</v>
      </c>
      <c r="AO518" t="s">
        <v>95</v>
      </c>
      <c r="AP518" t="s">
        <v>96</v>
      </c>
      <c r="AQ518" t="s">
        <v>74</v>
      </c>
      <c r="AR518" t="s">
        <v>97</v>
      </c>
      <c r="AS518" t="s">
        <v>98</v>
      </c>
      <c r="AT518" t="s">
        <v>386</v>
      </c>
      <c r="AU518">
        <v>2019</v>
      </c>
      <c r="AV518">
        <v>64</v>
      </c>
      <c r="AW518">
        <v>8</v>
      </c>
      <c r="AX518" t="s">
        <v>74</v>
      </c>
      <c r="AY518" t="s">
        <v>74</v>
      </c>
      <c r="AZ518" t="s">
        <v>74</v>
      </c>
      <c r="BA518" t="s">
        <v>74</v>
      </c>
      <c r="BB518" t="s">
        <v>74</v>
      </c>
      <c r="BC518" t="s">
        <v>74</v>
      </c>
      <c r="BD518">
        <v>85017</v>
      </c>
      <c r="BE518" t="s">
        <v>8353</v>
      </c>
      <c r="BF518" t="str">
        <f>HYPERLINK("http://dx.doi.org/10.1088/1361-6560/ab0efa","http://dx.doi.org/10.1088/1361-6560/ab0efa")</f>
        <v>http://dx.doi.org/10.1088/1361-6560/ab0efa</v>
      </c>
      <c r="BG518" t="s">
        <v>74</v>
      </c>
      <c r="BH518" t="s">
        <v>74</v>
      </c>
      <c r="BI518">
        <v>12</v>
      </c>
      <c r="BJ518" t="s">
        <v>101</v>
      </c>
      <c r="BK518" t="s">
        <v>102</v>
      </c>
      <c r="BL518" t="s">
        <v>103</v>
      </c>
      <c r="BM518" t="s">
        <v>419</v>
      </c>
      <c r="BN518">
        <v>30861504</v>
      </c>
      <c r="BO518" t="s">
        <v>74</v>
      </c>
      <c r="BP518" t="s">
        <v>74</v>
      </c>
      <c r="BQ518" t="s">
        <v>74</v>
      </c>
      <c r="BR518" t="s">
        <v>106</v>
      </c>
      <c r="BS518" t="s">
        <v>8354</v>
      </c>
      <c r="BT518" t="str">
        <f>HYPERLINK("https%3A%2F%2Fwww.webofscience.com%2Fwos%2Fwoscc%2Ffull-record%2FWOS:000464454200003","View Full Record in Web of Science")</f>
        <v>View Full Record in Web of Science</v>
      </c>
    </row>
    <row r="519" spans="1:72" x14ac:dyDescent="0.25">
      <c r="A519" t="s">
        <v>72</v>
      </c>
      <c r="B519" t="s">
        <v>8355</v>
      </c>
      <c r="C519" t="s">
        <v>74</v>
      </c>
      <c r="D519" t="s">
        <v>74</v>
      </c>
      <c r="E519" t="s">
        <v>74</v>
      </c>
      <c r="F519" t="s">
        <v>8356</v>
      </c>
      <c r="G519" t="s">
        <v>74</v>
      </c>
      <c r="H519" t="s">
        <v>74</v>
      </c>
      <c r="I519" t="s">
        <v>8357</v>
      </c>
      <c r="J519" t="s">
        <v>77</v>
      </c>
      <c r="K519" t="s">
        <v>74</v>
      </c>
      <c r="L519" t="s">
        <v>74</v>
      </c>
      <c r="M519" t="s">
        <v>78</v>
      </c>
      <c r="N519" t="s">
        <v>79</v>
      </c>
      <c r="O519" t="s">
        <v>74</v>
      </c>
      <c r="P519" t="s">
        <v>74</v>
      </c>
      <c r="Q519" t="s">
        <v>74</v>
      </c>
      <c r="R519" t="s">
        <v>74</v>
      </c>
      <c r="S519" t="s">
        <v>74</v>
      </c>
      <c r="T519" t="s">
        <v>8358</v>
      </c>
      <c r="U519" t="s">
        <v>8359</v>
      </c>
      <c r="V519" t="s">
        <v>8360</v>
      </c>
      <c r="W519" t="s">
        <v>8361</v>
      </c>
      <c r="X519" t="s">
        <v>8362</v>
      </c>
      <c r="Y519" t="s">
        <v>8363</v>
      </c>
      <c r="Z519" t="s">
        <v>8364</v>
      </c>
      <c r="AA519" t="s">
        <v>8365</v>
      </c>
      <c r="AB519" t="s">
        <v>8366</v>
      </c>
      <c r="AC519" t="s">
        <v>8367</v>
      </c>
      <c r="AD519" t="s">
        <v>8368</v>
      </c>
      <c r="AE519" t="s">
        <v>8369</v>
      </c>
      <c r="AF519" t="s">
        <v>74</v>
      </c>
      <c r="AG519">
        <v>52</v>
      </c>
      <c r="AH519">
        <v>13</v>
      </c>
      <c r="AI519">
        <v>15</v>
      </c>
      <c r="AJ519">
        <v>0</v>
      </c>
      <c r="AK519">
        <v>23</v>
      </c>
      <c r="AL519" t="s">
        <v>92</v>
      </c>
      <c r="AM519" t="s">
        <v>93</v>
      </c>
      <c r="AN519" t="s">
        <v>94</v>
      </c>
      <c r="AO519" t="s">
        <v>95</v>
      </c>
      <c r="AP519" t="s">
        <v>96</v>
      </c>
      <c r="AQ519" t="s">
        <v>74</v>
      </c>
      <c r="AR519" t="s">
        <v>97</v>
      </c>
      <c r="AS519" t="s">
        <v>98</v>
      </c>
      <c r="AT519" t="s">
        <v>386</v>
      </c>
      <c r="AU519">
        <v>2019</v>
      </c>
      <c r="AV519">
        <v>64</v>
      </c>
      <c r="AW519">
        <v>7</v>
      </c>
      <c r="AX519" t="s">
        <v>74</v>
      </c>
      <c r="AY519" t="s">
        <v>74</v>
      </c>
      <c r="AZ519" t="s">
        <v>74</v>
      </c>
      <c r="BA519" t="s">
        <v>74</v>
      </c>
      <c r="BB519" t="s">
        <v>74</v>
      </c>
      <c r="BC519" t="s">
        <v>74</v>
      </c>
      <c r="BD519">
        <v>75002</v>
      </c>
      <c r="BE519" t="s">
        <v>8370</v>
      </c>
      <c r="BF519" t="str">
        <f>HYPERLINK("http://dx.doi.org/10.1088/1361-6560/ab03e7","http://dx.doi.org/10.1088/1361-6560/ab03e7")</f>
        <v>http://dx.doi.org/10.1088/1361-6560/ab03e7</v>
      </c>
      <c r="BG519" t="s">
        <v>74</v>
      </c>
      <c r="BH519" t="s">
        <v>74</v>
      </c>
      <c r="BI519">
        <v>14</v>
      </c>
      <c r="BJ519" t="s">
        <v>101</v>
      </c>
      <c r="BK519" t="s">
        <v>102</v>
      </c>
      <c r="BL519" t="s">
        <v>103</v>
      </c>
      <c r="BM519" t="s">
        <v>2615</v>
      </c>
      <c r="BN519">
        <v>30708354</v>
      </c>
      <c r="BO519" t="s">
        <v>105</v>
      </c>
      <c r="BP519" t="s">
        <v>74</v>
      </c>
      <c r="BQ519" t="s">
        <v>74</v>
      </c>
      <c r="BR519" t="s">
        <v>106</v>
      </c>
      <c r="BS519" t="s">
        <v>8371</v>
      </c>
      <c r="BT519" t="str">
        <f>HYPERLINK("https%3A%2F%2Fwww.webofscience.com%2Fwos%2Fwoscc%2Ffull-record%2FWOS:000462050200002","View Full Record in Web of Science")</f>
        <v>View Full Record in Web of Science</v>
      </c>
    </row>
    <row r="520" spans="1:72" x14ac:dyDescent="0.25">
      <c r="A520" t="s">
        <v>72</v>
      </c>
      <c r="B520" t="s">
        <v>8372</v>
      </c>
      <c r="C520" t="s">
        <v>74</v>
      </c>
      <c r="D520" t="s">
        <v>74</v>
      </c>
      <c r="E520" t="s">
        <v>74</v>
      </c>
      <c r="F520" t="s">
        <v>8373</v>
      </c>
      <c r="G520" t="s">
        <v>74</v>
      </c>
      <c r="H520" t="s">
        <v>74</v>
      </c>
      <c r="I520" t="s">
        <v>8374</v>
      </c>
      <c r="J520" t="s">
        <v>77</v>
      </c>
      <c r="K520" t="s">
        <v>74</v>
      </c>
      <c r="L520" t="s">
        <v>74</v>
      </c>
      <c r="M520" t="s">
        <v>78</v>
      </c>
      <c r="N520" t="s">
        <v>79</v>
      </c>
      <c r="O520" t="s">
        <v>74</v>
      </c>
      <c r="P520" t="s">
        <v>74</v>
      </c>
      <c r="Q520" t="s">
        <v>74</v>
      </c>
      <c r="R520" t="s">
        <v>74</v>
      </c>
      <c r="S520" t="s">
        <v>74</v>
      </c>
      <c r="T520" t="s">
        <v>8375</v>
      </c>
      <c r="U520" t="s">
        <v>74</v>
      </c>
      <c r="V520" t="s">
        <v>8376</v>
      </c>
      <c r="W520" t="s">
        <v>8377</v>
      </c>
      <c r="X520" t="s">
        <v>8378</v>
      </c>
      <c r="Y520" t="s">
        <v>8379</v>
      </c>
      <c r="Z520" t="s">
        <v>8380</v>
      </c>
      <c r="AA520" t="s">
        <v>8381</v>
      </c>
      <c r="AB520" t="s">
        <v>8382</v>
      </c>
      <c r="AC520" t="s">
        <v>8383</v>
      </c>
      <c r="AD520" t="s">
        <v>8384</v>
      </c>
      <c r="AE520" t="s">
        <v>8385</v>
      </c>
      <c r="AF520" t="s">
        <v>74</v>
      </c>
      <c r="AG520">
        <v>30</v>
      </c>
      <c r="AH520">
        <v>68</v>
      </c>
      <c r="AI520">
        <v>72</v>
      </c>
      <c r="AJ520">
        <v>2</v>
      </c>
      <c r="AK520">
        <v>28</v>
      </c>
      <c r="AL520" t="s">
        <v>157</v>
      </c>
      <c r="AM520" t="s">
        <v>93</v>
      </c>
      <c r="AN520" t="s">
        <v>94</v>
      </c>
      <c r="AO520" t="s">
        <v>95</v>
      </c>
      <c r="AP520" t="s">
        <v>96</v>
      </c>
      <c r="AQ520" t="s">
        <v>74</v>
      </c>
      <c r="AR520" t="s">
        <v>97</v>
      </c>
      <c r="AS520" t="s">
        <v>98</v>
      </c>
      <c r="AT520" t="s">
        <v>386</v>
      </c>
      <c r="AU520">
        <v>2019</v>
      </c>
      <c r="AV520">
        <v>64</v>
      </c>
      <c r="AW520">
        <v>7</v>
      </c>
      <c r="AX520" t="s">
        <v>74</v>
      </c>
      <c r="AY520" t="s">
        <v>74</v>
      </c>
      <c r="AZ520" t="s">
        <v>74</v>
      </c>
      <c r="BA520" t="s">
        <v>74</v>
      </c>
      <c r="BB520" t="s">
        <v>74</v>
      </c>
      <c r="BC520" t="s">
        <v>74</v>
      </c>
      <c r="BD520">
        <v>75019</v>
      </c>
      <c r="BE520" t="s">
        <v>8386</v>
      </c>
      <c r="BF520" t="str">
        <f>HYPERLINK("http://dx.doi.org/10.1088/1361-6560/ab0606","http://dx.doi.org/10.1088/1361-6560/ab0606")</f>
        <v>http://dx.doi.org/10.1088/1361-6560/ab0606</v>
      </c>
      <c r="BG520" t="s">
        <v>74</v>
      </c>
      <c r="BH520" t="s">
        <v>74</v>
      </c>
      <c r="BI520">
        <v>11</v>
      </c>
      <c r="BJ520" t="s">
        <v>101</v>
      </c>
      <c r="BK520" t="s">
        <v>102</v>
      </c>
      <c r="BL520" t="s">
        <v>103</v>
      </c>
      <c r="BM520" t="s">
        <v>874</v>
      </c>
      <c r="BN520">
        <v>30743246</v>
      </c>
      <c r="BO520" t="s">
        <v>8387</v>
      </c>
      <c r="BP520" t="s">
        <v>74</v>
      </c>
      <c r="BQ520" t="s">
        <v>74</v>
      </c>
      <c r="BR520" t="s">
        <v>106</v>
      </c>
      <c r="BS520" t="s">
        <v>8388</v>
      </c>
      <c r="BT520" t="str">
        <f>HYPERLINK("https%3A%2F%2Fwww.webofscience.com%2Fwos%2Fwoscc%2Ffull-record%2FWOS:000463540400007","View Full Record in Web of Science")</f>
        <v>View Full Record in Web of Science</v>
      </c>
    </row>
    <row r="521" spans="1:72" x14ac:dyDescent="0.25">
      <c r="A521" t="s">
        <v>72</v>
      </c>
      <c r="B521" t="s">
        <v>8389</v>
      </c>
      <c r="C521" t="s">
        <v>74</v>
      </c>
      <c r="D521" t="s">
        <v>74</v>
      </c>
      <c r="E521" t="s">
        <v>74</v>
      </c>
      <c r="F521" t="s">
        <v>8390</v>
      </c>
      <c r="G521" t="s">
        <v>74</v>
      </c>
      <c r="H521" t="s">
        <v>74</v>
      </c>
      <c r="I521" t="s">
        <v>8391</v>
      </c>
      <c r="J521" t="s">
        <v>77</v>
      </c>
      <c r="K521" t="s">
        <v>74</v>
      </c>
      <c r="L521" t="s">
        <v>74</v>
      </c>
      <c r="M521" t="s">
        <v>78</v>
      </c>
      <c r="N521" t="s">
        <v>79</v>
      </c>
      <c r="O521" t="s">
        <v>74</v>
      </c>
      <c r="P521" t="s">
        <v>74</v>
      </c>
      <c r="Q521" t="s">
        <v>74</v>
      </c>
      <c r="R521" t="s">
        <v>74</v>
      </c>
      <c r="S521" t="s">
        <v>74</v>
      </c>
      <c r="T521" t="s">
        <v>8392</v>
      </c>
      <c r="U521" t="s">
        <v>8393</v>
      </c>
      <c r="V521" t="s">
        <v>8394</v>
      </c>
      <c r="W521" t="s">
        <v>8395</v>
      </c>
      <c r="X521" t="s">
        <v>8396</v>
      </c>
      <c r="Y521" t="s">
        <v>8397</v>
      </c>
      <c r="Z521" t="s">
        <v>8398</v>
      </c>
      <c r="AA521" t="s">
        <v>8399</v>
      </c>
      <c r="AB521" t="s">
        <v>5647</v>
      </c>
      <c r="AC521" t="s">
        <v>8400</v>
      </c>
      <c r="AD521" t="s">
        <v>8401</v>
      </c>
      <c r="AE521" t="s">
        <v>8402</v>
      </c>
      <c r="AF521" t="s">
        <v>74</v>
      </c>
      <c r="AG521">
        <v>34</v>
      </c>
      <c r="AH521">
        <v>23</v>
      </c>
      <c r="AI521">
        <v>23</v>
      </c>
      <c r="AJ521">
        <v>0</v>
      </c>
      <c r="AK521">
        <v>9</v>
      </c>
      <c r="AL521" t="s">
        <v>92</v>
      </c>
      <c r="AM521" t="s">
        <v>93</v>
      </c>
      <c r="AN521" t="s">
        <v>94</v>
      </c>
      <c r="AO521" t="s">
        <v>95</v>
      </c>
      <c r="AP521" t="s">
        <v>96</v>
      </c>
      <c r="AQ521" t="s">
        <v>74</v>
      </c>
      <c r="AR521" t="s">
        <v>97</v>
      </c>
      <c r="AS521" t="s">
        <v>98</v>
      </c>
      <c r="AT521" t="s">
        <v>436</v>
      </c>
      <c r="AU521">
        <v>2019</v>
      </c>
      <c r="AV521">
        <v>64</v>
      </c>
      <c r="AW521">
        <v>6</v>
      </c>
      <c r="AX521" t="s">
        <v>74</v>
      </c>
      <c r="AY521" t="s">
        <v>74</v>
      </c>
      <c r="AZ521" t="s">
        <v>74</v>
      </c>
      <c r="BA521" t="s">
        <v>74</v>
      </c>
      <c r="BB521" t="s">
        <v>74</v>
      </c>
      <c r="BC521" t="s">
        <v>74</v>
      </c>
      <c r="BD521" t="s">
        <v>8403</v>
      </c>
      <c r="BE521" t="s">
        <v>8404</v>
      </c>
      <c r="BF521" t="str">
        <f>HYPERLINK("http://dx.doi.org/10.1088/1361-6560/ab0503","http://dx.doi.org/10.1088/1361-6560/ab0503")</f>
        <v>http://dx.doi.org/10.1088/1361-6560/ab0503</v>
      </c>
      <c r="BG521" t="s">
        <v>74</v>
      </c>
      <c r="BH521" t="s">
        <v>74</v>
      </c>
      <c r="BI521">
        <v>9</v>
      </c>
      <c r="BJ521" t="s">
        <v>101</v>
      </c>
      <c r="BK521" t="s">
        <v>102</v>
      </c>
      <c r="BL521" t="s">
        <v>103</v>
      </c>
      <c r="BM521" t="s">
        <v>8405</v>
      </c>
      <c r="BN521">
        <v>30731443</v>
      </c>
      <c r="BO521" t="s">
        <v>140</v>
      </c>
      <c r="BP521" t="s">
        <v>74</v>
      </c>
      <c r="BQ521" t="s">
        <v>74</v>
      </c>
      <c r="BR521" t="s">
        <v>106</v>
      </c>
      <c r="BS521" t="s">
        <v>8406</v>
      </c>
      <c r="BT521" t="str">
        <f>HYPERLINK("https%3A%2F%2Fwww.webofscience.com%2Fwos%2Fwoscc%2Ffull-record%2FWOS:000461427000001","View Full Record in Web of Science")</f>
        <v>View Full Record in Web of Science</v>
      </c>
    </row>
    <row r="522" spans="1:72" x14ac:dyDescent="0.25">
      <c r="A522" t="s">
        <v>72</v>
      </c>
      <c r="B522" t="s">
        <v>8407</v>
      </c>
      <c r="C522" t="s">
        <v>74</v>
      </c>
      <c r="D522" t="s">
        <v>74</v>
      </c>
      <c r="E522" t="s">
        <v>74</v>
      </c>
      <c r="F522" t="s">
        <v>8408</v>
      </c>
      <c r="G522" t="s">
        <v>74</v>
      </c>
      <c r="H522" t="s">
        <v>74</v>
      </c>
      <c r="I522" t="s">
        <v>8409</v>
      </c>
      <c r="J522" t="s">
        <v>77</v>
      </c>
      <c r="K522" t="s">
        <v>74</v>
      </c>
      <c r="L522" t="s">
        <v>74</v>
      </c>
      <c r="M522" t="s">
        <v>78</v>
      </c>
      <c r="N522" t="s">
        <v>79</v>
      </c>
      <c r="O522" t="s">
        <v>74</v>
      </c>
      <c r="P522" t="s">
        <v>74</v>
      </c>
      <c r="Q522" t="s">
        <v>74</v>
      </c>
      <c r="R522" t="s">
        <v>74</v>
      </c>
      <c r="S522" t="s">
        <v>74</v>
      </c>
      <c r="T522" t="s">
        <v>8410</v>
      </c>
      <c r="U522" t="s">
        <v>8411</v>
      </c>
      <c r="V522" t="s">
        <v>8412</v>
      </c>
      <c r="W522" t="s">
        <v>8413</v>
      </c>
      <c r="X522" t="s">
        <v>8414</v>
      </c>
      <c r="Y522" t="s">
        <v>8415</v>
      </c>
      <c r="Z522" t="s">
        <v>1949</v>
      </c>
      <c r="AA522" t="s">
        <v>8416</v>
      </c>
      <c r="AB522" t="s">
        <v>8417</v>
      </c>
      <c r="AC522" t="s">
        <v>8418</v>
      </c>
      <c r="AD522" t="s">
        <v>8419</v>
      </c>
      <c r="AE522" t="s">
        <v>8420</v>
      </c>
      <c r="AF522" t="s">
        <v>74</v>
      </c>
      <c r="AG522">
        <v>39</v>
      </c>
      <c r="AH522">
        <v>28</v>
      </c>
      <c r="AI522">
        <v>28</v>
      </c>
      <c r="AJ522">
        <v>0</v>
      </c>
      <c r="AK522">
        <v>9</v>
      </c>
      <c r="AL522" t="s">
        <v>92</v>
      </c>
      <c r="AM522" t="s">
        <v>93</v>
      </c>
      <c r="AN522" t="s">
        <v>94</v>
      </c>
      <c r="AO522" t="s">
        <v>95</v>
      </c>
      <c r="AP522" t="s">
        <v>96</v>
      </c>
      <c r="AQ522" t="s">
        <v>74</v>
      </c>
      <c r="AR522" t="s">
        <v>97</v>
      </c>
      <c r="AS522" t="s">
        <v>98</v>
      </c>
      <c r="AT522" t="s">
        <v>436</v>
      </c>
      <c r="AU522">
        <v>2019</v>
      </c>
      <c r="AV522">
        <v>64</v>
      </c>
      <c r="AW522">
        <v>6</v>
      </c>
      <c r="AX522" t="s">
        <v>74</v>
      </c>
      <c r="AY522" t="s">
        <v>74</v>
      </c>
      <c r="AZ522" t="s">
        <v>74</v>
      </c>
      <c r="BA522" t="s">
        <v>74</v>
      </c>
      <c r="BB522" t="s">
        <v>74</v>
      </c>
      <c r="BC522" t="s">
        <v>74</v>
      </c>
      <c r="BD522">
        <v>65008</v>
      </c>
      <c r="BE522" t="s">
        <v>8421</v>
      </c>
      <c r="BF522" t="str">
        <f>HYPERLINK("http://dx.doi.org/10.1088/1361-6560/ab03db","http://dx.doi.org/10.1088/1361-6560/ab03db")</f>
        <v>http://dx.doi.org/10.1088/1361-6560/ab03db</v>
      </c>
      <c r="BG522" t="s">
        <v>74</v>
      </c>
      <c r="BH522" t="s">
        <v>74</v>
      </c>
      <c r="BI522">
        <v>17</v>
      </c>
      <c r="BJ522" t="s">
        <v>101</v>
      </c>
      <c r="BK522" t="s">
        <v>102</v>
      </c>
      <c r="BL522" t="s">
        <v>103</v>
      </c>
      <c r="BM522" t="s">
        <v>6864</v>
      </c>
      <c r="BN522">
        <v>30708365</v>
      </c>
      <c r="BO522" t="s">
        <v>270</v>
      </c>
      <c r="BP522" t="s">
        <v>74</v>
      </c>
      <c r="BQ522" t="s">
        <v>74</v>
      </c>
      <c r="BR522" t="s">
        <v>106</v>
      </c>
      <c r="BS522" t="s">
        <v>8422</v>
      </c>
      <c r="BT522" t="str">
        <f>HYPERLINK("https%3A%2F%2Fwww.webofscience.com%2Fwos%2Fwoscc%2Ffull-record%2FWOS:000461060600002","View Full Record in Web of Science")</f>
        <v>View Full Record in Web of Science</v>
      </c>
    </row>
    <row r="523" spans="1:72" x14ac:dyDescent="0.25">
      <c r="A523" t="s">
        <v>72</v>
      </c>
      <c r="B523" t="s">
        <v>8423</v>
      </c>
      <c r="C523" t="s">
        <v>74</v>
      </c>
      <c r="D523" t="s">
        <v>74</v>
      </c>
      <c r="E523" t="s">
        <v>74</v>
      </c>
      <c r="F523" t="s">
        <v>8424</v>
      </c>
      <c r="G523" t="s">
        <v>74</v>
      </c>
      <c r="H523" t="s">
        <v>74</v>
      </c>
      <c r="I523" t="s">
        <v>8425</v>
      </c>
      <c r="J523" t="s">
        <v>77</v>
      </c>
      <c r="K523" t="s">
        <v>74</v>
      </c>
      <c r="L523" t="s">
        <v>74</v>
      </c>
      <c r="M523" t="s">
        <v>78</v>
      </c>
      <c r="N523" t="s">
        <v>79</v>
      </c>
      <c r="O523" t="s">
        <v>74</v>
      </c>
      <c r="P523" t="s">
        <v>74</v>
      </c>
      <c r="Q523" t="s">
        <v>74</v>
      </c>
      <c r="R523" t="s">
        <v>74</v>
      </c>
      <c r="S523" t="s">
        <v>74</v>
      </c>
      <c r="T523" t="s">
        <v>8426</v>
      </c>
      <c r="U523" t="s">
        <v>8427</v>
      </c>
      <c r="V523" t="s">
        <v>8428</v>
      </c>
      <c r="W523" t="s">
        <v>8429</v>
      </c>
      <c r="X523" t="s">
        <v>8430</v>
      </c>
      <c r="Y523" t="s">
        <v>8431</v>
      </c>
      <c r="Z523" t="s">
        <v>8432</v>
      </c>
      <c r="AA523" t="s">
        <v>2541</v>
      </c>
      <c r="AB523" t="s">
        <v>8433</v>
      </c>
      <c r="AC523" t="s">
        <v>8434</v>
      </c>
      <c r="AD523" t="s">
        <v>8435</v>
      </c>
      <c r="AE523" t="s">
        <v>8436</v>
      </c>
      <c r="AF523" t="s">
        <v>74</v>
      </c>
      <c r="AG523">
        <v>41</v>
      </c>
      <c r="AH523">
        <v>3</v>
      </c>
      <c r="AI523">
        <v>3</v>
      </c>
      <c r="AJ523">
        <v>0</v>
      </c>
      <c r="AK523">
        <v>2</v>
      </c>
      <c r="AL523" t="s">
        <v>157</v>
      </c>
      <c r="AM523" t="s">
        <v>93</v>
      </c>
      <c r="AN523" t="s">
        <v>94</v>
      </c>
      <c r="AO523" t="s">
        <v>95</v>
      </c>
      <c r="AP523" t="s">
        <v>96</v>
      </c>
      <c r="AQ523" t="s">
        <v>74</v>
      </c>
      <c r="AR523" t="s">
        <v>97</v>
      </c>
      <c r="AS523" t="s">
        <v>98</v>
      </c>
      <c r="AT523" t="s">
        <v>436</v>
      </c>
      <c r="AU523">
        <v>2019</v>
      </c>
      <c r="AV523">
        <v>64</v>
      </c>
      <c r="AW523">
        <v>6</v>
      </c>
      <c r="AX523" t="s">
        <v>74</v>
      </c>
      <c r="AY523" t="s">
        <v>74</v>
      </c>
      <c r="AZ523" t="s">
        <v>74</v>
      </c>
      <c r="BA523" t="s">
        <v>74</v>
      </c>
      <c r="BB523" t="s">
        <v>74</v>
      </c>
      <c r="BC523" t="s">
        <v>74</v>
      </c>
      <c r="BD523">
        <v>65006</v>
      </c>
      <c r="BE523" t="s">
        <v>8437</v>
      </c>
      <c r="BF523" t="str">
        <f>HYPERLINK("http://dx.doi.org/10.1088/1361-6560/ab03f4","http://dx.doi.org/10.1088/1361-6560/ab03f4")</f>
        <v>http://dx.doi.org/10.1088/1361-6560/ab03f4</v>
      </c>
      <c r="BG523" t="s">
        <v>74</v>
      </c>
      <c r="BH523" t="s">
        <v>74</v>
      </c>
      <c r="BI523">
        <v>14</v>
      </c>
      <c r="BJ523" t="s">
        <v>101</v>
      </c>
      <c r="BK523" t="s">
        <v>102</v>
      </c>
      <c r="BL523" t="s">
        <v>103</v>
      </c>
      <c r="BM523" t="s">
        <v>8438</v>
      </c>
      <c r="BN523">
        <v>30708356</v>
      </c>
      <c r="BO523" t="s">
        <v>74</v>
      </c>
      <c r="BP523" t="s">
        <v>74</v>
      </c>
      <c r="BQ523" t="s">
        <v>74</v>
      </c>
      <c r="BR523" t="s">
        <v>106</v>
      </c>
      <c r="BS523" t="s">
        <v>8439</v>
      </c>
      <c r="BT523" t="str">
        <f>HYPERLINK("https%3A%2F%2Fwww.webofscience.com%2Fwos%2Fwoscc%2Ffull-record%2FWOS:000460964400001","View Full Record in Web of Science")</f>
        <v>View Full Record in Web of Science</v>
      </c>
    </row>
    <row r="524" spans="1:72" x14ac:dyDescent="0.25">
      <c r="A524" t="s">
        <v>72</v>
      </c>
      <c r="B524" t="s">
        <v>8440</v>
      </c>
      <c r="C524" t="s">
        <v>74</v>
      </c>
      <c r="D524" t="s">
        <v>74</v>
      </c>
      <c r="E524" t="s">
        <v>74</v>
      </c>
      <c r="F524" t="s">
        <v>8441</v>
      </c>
      <c r="G524" t="s">
        <v>74</v>
      </c>
      <c r="H524" t="s">
        <v>74</v>
      </c>
      <c r="I524" t="s">
        <v>8442</v>
      </c>
      <c r="J524" t="s">
        <v>77</v>
      </c>
      <c r="K524" t="s">
        <v>74</v>
      </c>
      <c r="L524" t="s">
        <v>74</v>
      </c>
      <c r="M524" t="s">
        <v>78</v>
      </c>
      <c r="N524" t="s">
        <v>79</v>
      </c>
      <c r="O524" t="s">
        <v>74</v>
      </c>
      <c r="P524" t="s">
        <v>74</v>
      </c>
      <c r="Q524" t="s">
        <v>74</v>
      </c>
      <c r="R524" t="s">
        <v>74</v>
      </c>
      <c r="S524" t="s">
        <v>74</v>
      </c>
      <c r="T524" t="s">
        <v>8443</v>
      </c>
      <c r="U524" t="s">
        <v>8444</v>
      </c>
      <c r="V524" t="s">
        <v>8445</v>
      </c>
      <c r="W524" t="s">
        <v>8446</v>
      </c>
      <c r="X524" t="s">
        <v>8447</v>
      </c>
      <c r="Y524" t="s">
        <v>8448</v>
      </c>
      <c r="Z524" t="s">
        <v>8449</v>
      </c>
      <c r="AA524" t="s">
        <v>74</v>
      </c>
      <c r="AB524" t="s">
        <v>8450</v>
      </c>
      <c r="AC524" t="s">
        <v>8451</v>
      </c>
      <c r="AD524" t="s">
        <v>8452</v>
      </c>
      <c r="AE524" t="s">
        <v>8453</v>
      </c>
      <c r="AF524" t="s">
        <v>74</v>
      </c>
      <c r="AG524">
        <v>36</v>
      </c>
      <c r="AH524">
        <v>8</v>
      </c>
      <c r="AI524">
        <v>9</v>
      </c>
      <c r="AJ524">
        <v>0</v>
      </c>
      <c r="AK524">
        <v>17</v>
      </c>
      <c r="AL524" t="s">
        <v>92</v>
      </c>
      <c r="AM524" t="s">
        <v>93</v>
      </c>
      <c r="AN524" t="s">
        <v>94</v>
      </c>
      <c r="AO524" t="s">
        <v>95</v>
      </c>
      <c r="AP524" t="s">
        <v>96</v>
      </c>
      <c r="AQ524" t="s">
        <v>74</v>
      </c>
      <c r="AR524" t="s">
        <v>97</v>
      </c>
      <c r="AS524" t="s">
        <v>98</v>
      </c>
      <c r="AT524" t="s">
        <v>436</v>
      </c>
      <c r="AU524">
        <v>2019</v>
      </c>
      <c r="AV524">
        <v>64</v>
      </c>
      <c r="AW524">
        <v>6</v>
      </c>
      <c r="AX524" t="s">
        <v>74</v>
      </c>
      <c r="AY524" t="s">
        <v>74</v>
      </c>
      <c r="AZ524" t="s">
        <v>74</v>
      </c>
      <c r="BA524" t="s">
        <v>74</v>
      </c>
      <c r="BB524" t="s">
        <v>74</v>
      </c>
      <c r="BC524" t="s">
        <v>74</v>
      </c>
      <c r="BD524">
        <v>65015</v>
      </c>
      <c r="BE524" t="s">
        <v>8454</v>
      </c>
      <c r="BF524" t="str">
        <f>HYPERLINK("http://dx.doi.org/10.1088/1361-6560/ab0475","http://dx.doi.org/10.1088/1361-6560/ab0475")</f>
        <v>http://dx.doi.org/10.1088/1361-6560/ab0475</v>
      </c>
      <c r="BG524" t="s">
        <v>74</v>
      </c>
      <c r="BH524" t="s">
        <v>74</v>
      </c>
      <c r="BI524">
        <v>11</v>
      </c>
      <c r="BJ524" t="s">
        <v>101</v>
      </c>
      <c r="BK524" t="s">
        <v>102</v>
      </c>
      <c r="BL524" t="s">
        <v>103</v>
      </c>
      <c r="BM524" t="s">
        <v>1243</v>
      </c>
      <c r="BN524">
        <v>30721886</v>
      </c>
      <c r="BO524" t="s">
        <v>105</v>
      </c>
      <c r="BP524" t="s">
        <v>74</v>
      </c>
      <c r="BQ524" t="s">
        <v>74</v>
      </c>
      <c r="BR524" t="s">
        <v>106</v>
      </c>
      <c r="BS524" t="s">
        <v>8455</v>
      </c>
      <c r="BT524" t="str">
        <f>HYPERLINK("https%3A%2F%2Fwww.webofscience.com%2Fwos%2Fwoscc%2Ffull-record%2FWOS:000461207800002","View Full Record in Web of Science")</f>
        <v>View Full Record in Web of Science</v>
      </c>
    </row>
    <row r="525" spans="1:72" x14ac:dyDescent="0.25">
      <c r="A525" t="s">
        <v>72</v>
      </c>
      <c r="B525" t="s">
        <v>8456</v>
      </c>
      <c r="C525" t="s">
        <v>74</v>
      </c>
      <c r="D525" t="s">
        <v>74</v>
      </c>
      <c r="E525" t="s">
        <v>74</v>
      </c>
      <c r="F525" t="s">
        <v>8457</v>
      </c>
      <c r="G525" t="s">
        <v>74</v>
      </c>
      <c r="H525" t="s">
        <v>74</v>
      </c>
      <c r="I525" t="s">
        <v>8458</v>
      </c>
      <c r="J525" t="s">
        <v>77</v>
      </c>
      <c r="K525" t="s">
        <v>74</v>
      </c>
      <c r="L525" t="s">
        <v>74</v>
      </c>
      <c r="M525" t="s">
        <v>78</v>
      </c>
      <c r="N525" t="s">
        <v>79</v>
      </c>
      <c r="O525" t="s">
        <v>74</v>
      </c>
      <c r="P525" t="s">
        <v>74</v>
      </c>
      <c r="Q525" t="s">
        <v>74</v>
      </c>
      <c r="R525" t="s">
        <v>74</v>
      </c>
      <c r="S525" t="s">
        <v>74</v>
      </c>
      <c r="T525" t="s">
        <v>8459</v>
      </c>
      <c r="U525" t="s">
        <v>8460</v>
      </c>
      <c r="V525" t="s">
        <v>8461</v>
      </c>
      <c r="W525" t="s">
        <v>8462</v>
      </c>
      <c r="X525" t="s">
        <v>8463</v>
      </c>
      <c r="Y525" t="s">
        <v>8464</v>
      </c>
      <c r="Z525" t="s">
        <v>8465</v>
      </c>
      <c r="AA525" t="s">
        <v>8466</v>
      </c>
      <c r="AB525" t="s">
        <v>8467</v>
      </c>
      <c r="AC525" t="s">
        <v>8468</v>
      </c>
      <c r="AD525" t="s">
        <v>8469</v>
      </c>
      <c r="AE525" t="s">
        <v>8470</v>
      </c>
      <c r="AF525" t="s">
        <v>74</v>
      </c>
      <c r="AG525">
        <v>37</v>
      </c>
      <c r="AH525">
        <v>21</v>
      </c>
      <c r="AI525">
        <v>23</v>
      </c>
      <c r="AJ525">
        <v>0</v>
      </c>
      <c r="AK525">
        <v>11</v>
      </c>
      <c r="AL525" t="s">
        <v>92</v>
      </c>
      <c r="AM525" t="s">
        <v>93</v>
      </c>
      <c r="AN525" t="s">
        <v>94</v>
      </c>
      <c r="AO525" t="s">
        <v>95</v>
      </c>
      <c r="AP525" t="s">
        <v>96</v>
      </c>
      <c r="AQ525" t="s">
        <v>74</v>
      </c>
      <c r="AR525" t="s">
        <v>97</v>
      </c>
      <c r="AS525" t="s">
        <v>98</v>
      </c>
      <c r="AT525" t="s">
        <v>471</v>
      </c>
      <c r="AU525">
        <v>2019</v>
      </c>
      <c r="AV525">
        <v>64</v>
      </c>
      <c r="AW525">
        <v>1</v>
      </c>
      <c r="AX525" t="s">
        <v>74</v>
      </c>
      <c r="AY525" t="s">
        <v>74</v>
      </c>
      <c r="AZ525" t="s">
        <v>74</v>
      </c>
      <c r="BA525" t="s">
        <v>74</v>
      </c>
      <c r="BB525" t="s">
        <v>74</v>
      </c>
      <c r="BC525" t="s">
        <v>74</v>
      </c>
      <c r="BD525">
        <v>15007</v>
      </c>
      <c r="BE525" t="s">
        <v>8471</v>
      </c>
      <c r="BF525" t="str">
        <f>HYPERLINK("http://dx.doi.org/10.1088/1361-6560/aaf246","http://dx.doi.org/10.1088/1361-6560/aaf246")</f>
        <v>http://dx.doi.org/10.1088/1361-6560/aaf246</v>
      </c>
      <c r="BG525" t="s">
        <v>74</v>
      </c>
      <c r="BH525" t="s">
        <v>74</v>
      </c>
      <c r="BI525">
        <v>12</v>
      </c>
      <c r="BJ525" t="s">
        <v>101</v>
      </c>
      <c r="BK525" t="s">
        <v>102</v>
      </c>
      <c r="BL525" t="s">
        <v>103</v>
      </c>
      <c r="BM525" t="s">
        <v>666</v>
      </c>
      <c r="BN525">
        <v>30566409</v>
      </c>
      <c r="BO525" t="s">
        <v>270</v>
      </c>
      <c r="BP525" t="s">
        <v>74</v>
      </c>
      <c r="BQ525" t="s">
        <v>74</v>
      </c>
      <c r="BR525" t="s">
        <v>106</v>
      </c>
      <c r="BS525" t="s">
        <v>8472</v>
      </c>
      <c r="BT525" t="str">
        <f>HYPERLINK("https%3A%2F%2Fwww.webofscience.com%2Fwos%2Fwoscc%2Ffull-record%2FWOS:000454078500005","View Full Record in Web of Science")</f>
        <v>View Full Record in Web of Science</v>
      </c>
    </row>
    <row r="526" spans="1:72" x14ac:dyDescent="0.25">
      <c r="A526" t="s">
        <v>72</v>
      </c>
      <c r="B526" t="s">
        <v>8473</v>
      </c>
      <c r="C526" t="s">
        <v>74</v>
      </c>
      <c r="D526" t="s">
        <v>74</v>
      </c>
      <c r="E526" t="s">
        <v>74</v>
      </c>
      <c r="F526" t="s">
        <v>8474</v>
      </c>
      <c r="G526" t="s">
        <v>74</v>
      </c>
      <c r="H526" t="s">
        <v>74</v>
      </c>
      <c r="I526" t="s">
        <v>8475</v>
      </c>
      <c r="J526" t="s">
        <v>77</v>
      </c>
      <c r="K526" t="s">
        <v>74</v>
      </c>
      <c r="L526" t="s">
        <v>74</v>
      </c>
      <c r="M526" t="s">
        <v>78</v>
      </c>
      <c r="N526" t="s">
        <v>79</v>
      </c>
      <c r="O526" t="s">
        <v>74</v>
      </c>
      <c r="P526" t="s">
        <v>74</v>
      </c>
      <c r="Q526" t="s">
        <v>74</v>
      </c>
      <c r="R526" t="s">
        <v>74</v>
      </c>
      <c r="S526" t="s">
        <v>74</v>
      </c>
      <c r="T526" t="s">
        <v>8476</v>
      </c>
      <c r="U526" t="s">
        <v>8477</v>
      </c>
      <c r="V526" t="s">
        <v>8478</v>
      </c>
      <c r="W526" t="s">
        <v>8479</v>
      </c>
      <c r="X526" t="s">
        <v>8480</v>
      </c>
      <c r="Y526" t="s">
        <v>8481</v>
      </c>
      <c r="Z526" t="s">
        <v>6695</v>
      </c>
      <c r="AA526" t="s">
        <v>6696</v>
      </c>
      <c r="AB526" t="s">
        <v>74</v>
      </c>
      <c r="AC526" t="s">
        <v>74</v>
      </c>
      <c r="AD526" t="s">
        <v>74</v>
      </c>
      <c r="AE526" t="s">
        <v>74</v>
      </c>
      <c r="AF526" t="s">
        <v>74</v>
      </c>
      <c r="AG526">
        <v>40</v>
      </c>
      <c r="AH526">
        <v>23</v>
      </c>
      <c r="AI526">
        <v>23</v>
      </c>
      <c r="AJ526">
        <v>1</v>
      </c>
      <c r="AK526">
        <v>9</v>
      </c>
      <c r="AL526" t="s">
        <v>92</v>
      </c>
      <c r="AM526" t="s">
        <v>93</v>
      </c>
      <c r="AN526" t="s">
        <v>94</v>
      </c>
      <c r="AO526" t="s">
        <v>95</v>
      </c>
      <c r="AP526" t="s">
        <v>96</v>
      </c>
      <c r="AQ526" t="s">
        <v>74</v>
      </c>
      <c r="AR526" t="s">
        <v>97</v>
      </c>
      <c r="AS526" t="s">
        <v>98</v>
      </c>
      <c r="AT526" t="s">
        <v>137</v>
      </c>
      <c r="AU526">
        <v>2019</v>
      </c>
      <c r="AV526">
        <v>64</v>
      </c>
      <c r="AW526">
        <v>21</v>
      </c>
      <c r="AX526" t="s">
        <v>74</v>
      </c>
      <c r="AY526" t="s">
        <v>74</v>
      </c>
      <c r="AZ526" t="s">
        <v>74</v>
      </c>
      <c r="BA526" t="s">
        <v>74</v>
      </c>
      <c r="BB526" t="s">
        <v>74</v>
      </c>
      <c r="BC526" t="s">
        <v>74</v>
      </c>
      <c r="BD526">
        <v>215015</v>
      </c>
      <c r="BE526" t="s">
        <v>8482</v>
      </c>
      <c r="BF526" t="str">
        <f>HYPERLINK("http://dx.doi.org/10.1088/1361-6560/ab436a","http://dx.doi.org/10.1088/1361-6560/ab436a")</f>
        <v>http://dx.doi.org/10.1088/1361-6560/ab436a</v>
      </c>
      <c r="BG526" t="s">
        <v>74</v>
      </c>
      <c r="BH526" t="s">
        <v>74</v>
      </c>
      <c r="BI526">
        <v>16</v>
      </c>
      <c r="BJ526" t="s">
        <v>101</v>
      </c>
      <c r="BK526" t="s">
        <v>102</v>
      </c>
      <c r="BL526" t="s">
        <v>103</v>
      </c>
      <c r="BM526" t="s">
        <v>8483</v>
      </c>
      <c r="BN526">
        <v>31509819</v>
      </c>
      <c r="BO526" t="s">
        <v>74</v>
      </c>
      <c r="BP526" t="s">
        <v>74</v>
      </c>
      <c r="BQ526" t="s">
        <v>74</v>
      </c>
      <c r="BR526" t="s">
        <v>106</v>
      </c>
      <c r="BS526" t="s">
        <v>8484</v>
      </c>
      <c r="BT526" t="str">
        <f>HYPERLINK("https%3A%2F%2Fwww.webofscience.com%2Fwos%2Fwoscc%2Ffull-record%2FWOS:000494859100001","View Full Record in Web of Science")</f>
        <v>View Full Record in Web of Science</v>
      </c>
    </row>
    <row r="527" spans="1:72" x14ac:dyDescent="0.25">
      <c r="A527" t="s">
        <v>72</v>
      </c>
      <c r="B527" t="s">
        <v>8485</v>
      </c>
      <c r="C527" t="s">
        <v>74</v>
      </c>
      <c r="D527" t="s">
        <v>74</v>
      </c>
      <c r="E527" t="s">
        <v>74</v>
      </c>
      <c r="F527" t="s">
        <v>8486</v>
      </c>
      <c r="G527" t="s">
        <v>74</v>
      </c>
      <c r="H527" t="s">
        <v>74</v>
      </c>
      <c r="I527" t="s">
        <v>8487</v>
      </c>
      <c r="J527" t="s">
        <v>77</v>
      </c>
      <c r="K527" t="s">
        <v>74</v>
      </c>
      <c r="L527" t="s">
        <v>74</v>
      </c>
      <c r="M527" t="s">
        <v>78</v>
      </c>
      <c r="N527" t="s">
        <v>79</v>
      </c>
      <c r="O527" t="s">
        <v>74</v>
      </c>
      <c r="P527" t="s">
        <v>74</v>
      </c>
      <c r="Q527" t="s">
        <v>74</v>
      </c>
      <c r="R527" t="s">
        <v>74</v>
      </c>
      <c r="S527" t="s">
        <v>74</v>
      </c>
      <c r="T527" t="s">
        <v>8488</v>
      </c>
      <c r="U527" t="s">
        <v>8489</v>
      </c>
      <c r="V527" t="s">
        <v>8490</v>
      </c>
      <c r="W527" t="s">
        <v>8491</v>
      </c>
      <c r="X527" t="s">
        <v>8492</v>
      </c>
      <c r="Y527" t="s">
        <v>8493</v>
      </c>
      <c r="Z527" t="s">
        <v>2776</v>
      </c>
      <c r="AA527" t="s">
        <v>74</v>
      </c>
      <c r="AB527" t="s">
        <v>8494</v>
      </c>
      <c r="AC527" t="s">
        <v>8495</v>
      </c>
      <c r="AD527" t="s">
        <v>6653</v>
      </c>
      <c r="AE527" t="s">
        <v>8496</v>
      </c>
      <c r="AF527" t="s">
        <v>74</v>
      </c>
      <c r="AG527">
        <v>52</v>
      </c>
      <c r="AH527">
        <v>34</v>
      </c>
      <c r="AI527">
        <v>38</v>
      </c>
      <c r="AJ527">
        <v>1</v>
      </c>
      <c r="AK527">
        <v>17</v>
      </c>
      <c r="AL527" t="s">
        <v>92</v>
      </c>
      <c r="AM527" t="s">
        <v>93</v>
      </c>
      <c r="AN527" t="s">
        <v>94</v>
      </c>
      <c r="AO527" t="s">
        <v>95</v>
      </c>
      <c r="AP527" t="s">
        <v>96</v>
      </c>
      <c r="AQ527" t="s">
        <v>74</v>
      </c>
      <c r="AR527" t="s">
        <v>97</v>
      </c>
      <c r="AS527" t="s">
        <v>98</v>
      </c>
      <c r="AT527" t="s">
        <v>137</v>
      </c>
      <c r="AU527">
        <v>2019</v>
      </c>
      <c r="AV527">
        <v>64</v>
      </c>
      <c r="AW527">
        <v>22</v>
      </c>
      <c r="AX527" t="s">
        <v>74</v>
      </c>
      <c r="AY527" t="s">
        <v>74</v>
      </c>
      <c r="AZ527" t="s">
        <v>74</v>
      </c>
      <c r="BA527" t="s">
        <v>74</v>
      </c>
      <c r="BB527" t="s">
        <v>74</v>
      </c>
      <c r="BC527" t="s">
        <v>74</v>
      </c>
      <c r="BD527">
        <v>225018</v>
      </c>
      <c r="BE527" t="s">
        <v>8497</v>
      </c>
      <c r="BF527" t="str">
        <f>HYPERLINK("http://dx.doi.org/10.1088/1361-6560/ab421f","http://dx.doi.org/10.1088/1361-6560/ab421f")</f>
        <v>http://dx.doi.org/10.1088/1361-6560/ab421f</v>
      </c>
      <c r="BG527" t="s">
        <v>74</v>
      </c>
      <c r="BH527" t="s">
        <v>74</v>
      </c>
      <c r="BI527">
        <v>20</v>
      </c>
      <c r="BJ527" t="s">
        <v>101</v>
      </c>
      <c r="BK527" t="s">
        <v>102</v>
      </c>
      <c r="BL527" t="s">
        <v>103</v>
      </c>
      <c r="BM527" t="s">
        <v>8498</v>
      </c>
      <c r="BN527">
        <v>31491777</v>
      </c>
      <c r="BO527" t="s">
        <v>74</v>
      </c>
      <c r="BP527" t="s">
        <v>74</v>
      </c>
      <c r="BQ527" t="s">
        <v>74</v>
      </c>
      <c r="BR527" t="s">
        <v>106</v>
      </c>
      <c r="BS527" t="s">
        <v>8499</v>
      </c>
      <c r="BT527" t="str">
        <f>HYPERLINK("https%3A%2F%2Fwww.webofscience.com%2Fwos%2Fwoscc%2Ffull-record%2FWOS:000501813100001","View Full Record in Web of Science")</f>
        <v>View Full Record in Web of Science</v>
      </c>
    </row>
    <row r="528" spans="1:72" x14ac:dyDescent="0.25">
      <c r="A528" t="s">
        <v>72</v>
      </c>
      <c r="B528" t="s">
        <v>8500</v>
      </c>
      <c r="C528" t="s">
        <v>74</v>
      </c>
      <c r="D528" t="s">
        <v>74</v>
      </c>
      <c r="E528" t="s">
        <v>74</v>
      </c>
      <c r="F528" t="s">
        <v>8501</v>
      </c>
      <c r="G528" t="s">
        <v>74</v>
      </c>
      <c r="H528" t="s">
        <v>74</v>
      </c>
      <c r="I528" t="s">
        <v>8502</v>
      </c>
      <c r="J528" t="s">
        <v>77</v>
      </c>
      <c r="K528" t="s">
        <v>74</v>
      </c>
      <c r="L528" t="s">
        <v>74</v>
      </c>
      <c r="M528" t="s">
        <v>78</v>
      </c>
      <c r="N528" t="s">
        <v>79</v>
      </c>
      <c r="O528" t="s">
        <v>74</v>
      </c>
      <c r="P528" t="s">
        <v>74</v>
      </c>
      <c r="Q528" t="s">
        <v>74</v>
      </c>
      <c r="R528" t="s">
        <v>74</v>
      </c>
      <c r="S528" t="s">
        <v>74</v>
      </c>
      <c r="T528" t="s">
        <v>8503</v>
      </c>
      <c r="U528" t="s">
        <v>8504</v>
      </c>
      <c r="V528" t="s">
        <v>8505</v>
      </c>
      <c r="W528" t="s">
        <v>8506</v>
      </c>
      <c r="X528" t="s">
        <v>8507</v>
      </c>
      <c r="Y528" t="s">
        <v>8508</v>
      </c>
      <c r="Z528" t="s">
        <v>8509</v>
      </c>
      <c r="AA528" t="s">
        <v>74</v>
      </c>
      <c r="AB528" t="s">
        <v>8510</v>
      </c>
      <c r="AC528" t="s">
        <v>8511</v>
      </c>
      <c r="AD528" t="s">
        <v>8512</v>
      </c>
      <c r="AE528" t="s">
        <v>8513</v>
      </c>
      <c r="AF528" t="s">
        <v>74</v>
      </c>
      <c r="AG528">
        <v>35</v>
      </c>
      <c r="AH528">
        <v>9</v>
      </c>
      <c r="AI528">
        <v>10</v>
      </c>
      <c r="AJ528">
        <v>0</v>
      </c>
      <c r="AK528">
        <v>12</v>
      </c>
      <c r="AL528" t="s">
        <v>92</v>
      </c>
      <c r="AM528" t="s">
        <v>93</v>
      </c>
      <c r="AN528" t="s">
        <v>94</v>
      </c>
      <c r="AO528" t="s">
        <v>95</v>
      </c>
      <c r="AP528" t="s">
        <v>96</v>
      </c>
      <c r="AQ528" t="s">
        <v>74</v>
      </c>
      <c r="AR528" t="s">
        <v>97</v>
      </c>
      <c r="AS528" t="s">
        <v>98</v>
      </c>
      <c r="AT528" t="s">
        <v>509</v>
      </c>
      <c r="AU528">
        <v>2019</v>
      </c>
      <c r="AV528">
        <v>64</v>
      </c>
      <c r="AW528">
        <v>20</v>
      </c>
      <c r="AX528" t="s">
        <v>74</v>
      </c>
      <c r="AY528" t="s">
        <v>74</v>
      </c>
      <c r="AZ528" t="s">
        <v>74</v>
      </c>
      <c r="BA528" t="s">
        <v>74</v>
      </c>
      <c r="BB528" t="s">
        <v>74</v>
      </c>
      <c r="BC528" t="s">
        <v>74</v>
      </c>
      <c r="BD528">
        <v>205020</v>
      </c>
      <c r="BE528" t="s">
        <v>8514</v>
      </c>
      <c r="BF528" t="str">
        <f>HYPERLINK("http://dx.doi.org/10.1088/1361-6560/ab41db","http://dx.doi.org/10.1088/1361-6560/ab41db")</f>
        <v>http://dx.doi.org/10.1088/1361-6560/ab41db</v>
      </c>
      <c r="BG528" t="s">
        <v>74</v>
      </c>
      <c r="BH528" t="s">
        <v>74</v>
      </c>
      <c r="BI528">
        <v>10</v>
      </c>
      <c r="BJ528" t="s">
        <v>101</v>
      </c>
      <c r="BK528" t="s">
        <v>102</v>
      </c>
      <c r="BL528" t="s">
        <v>103</v>
      </c>
      <c r="BM528" t="s">
        <v>741</v>
      </c>
      <c r="BN528">
        <v>31487696</v>
      </c>
      <c r="BO528" t="s">
        <v>179</v>
      </c>
      <c r="BP528" t="s">
        <v>74</v>
      </c>
      <c r="BQ528" t="s">
        <v>74</v>
      </c>
      <c r="BR528" t="s">
        <v>106</v>
      </c>
      <c r="BS528" t="s">
        <v>8515</v>
      </c>
      <c r="BT528" t="str">
        <f>HYPERLINK("https%3A%2F%2Fwww.webofscience.com%2Fwos%2Fwoscc%2Ffull-record%2FWOS:000500247900020","View Full Record in Web of Science")</f>
        <v>View Full Record in Web of Science</v>
      </c>
    </row>
    <row r="529" spans="1:72" x14ac:dyDescent="0.25">
      <c r="A529" t="s">
        <v>72</v>
      </c>
      <c r="B529" t="s">
        <v>8516</v>
      </c>
      <c r="C529" t="s">
        <v>74</v>
      </c>
      <c r="D529" t="s">
        <v>74</v>
      </c>
      <c r="E529" t="s">
        <v>74</v>
      </c>
      <c r="F529" t="s">
        <v>8517</v>
      </c>
      <c r="G529" t="s">
        <v>74</v>
      </c>
      <c r="H529" t="s">
        <v>74</v>
      </c>
      <c r="I529" t="s">
        <v>8518</v>
      </c>
      <c r="J529" t="s">
        <v>77</v>
      </c>
      <c r="K529" t="s">
        <v>74</v>
      </c>
      <c r="L529" t="s">
        <v>74</v>
      </c>
      <c r="M529" t="s">
        <v>78</v>
      </c>
      <c r="N529" t="s">
        <v>79</v>
      </c>
      <c r="O529" t="s">
        <v>74</v>
      </c>
      <c r="P529" t="s">
        <v>74</v>
      </c>
      <c r="Q529" t="s">
        <v>74</v>
      </c>
      <c r="R529" t="s">
        <v>74</v>
      </c>
      <c r="S529" t="s">
        <v>74</v>
      </c>
      <c r="T529" t="s">
        <v>8519</v>
      </c>
      <c r="U529" t="s">
        <v>8520</v>
      </c>
      <c r="V529" t="s">
        <v>8521</v>
      </c>
      <c r="W529" t="s">
        <v>8522</v>
      </c>
      <c r="X529" t="s">
        <v>8523</v>
      </c>
      <c r="Y529" t="s">
        <v>8524</v>
      </c>
      <c r="Z529" t="s">
        <v>8525</v>
      </c>
      <c r="AA529" t="s">
        <v>8526</v>
      </c>
      <c r="AB529" t="s">
        <v>8527</v>
      </c>
      <c r="AC529" t="s">
        <v>74</v>
      </c>
      <c r="AD529" t="s">
        <v>74</v>
      </c>
      <c r="AE529" t="s">
        <v>74</v>
      </c>
      <c r="AF529" t="s">
        <v>74</v>
      </c>
      <c r="AG529">
        <v>42</v>
      </c>
      <c r="AH529">
        <v>28</v>
      </c>
      <c r="AI529">
        <v>28</v>
      </c>
      <c r="AJ529">
        <v>1</v>
      </c>
      <c r="AK529">
        <v>23</v>
      </c>
      <c r="AL529" t="s">
        <v>157</v>
      </c>
      <c r="AM529" t="s">
        <v>93</v>
      </c>
      <c r="AN529" t="s">
        <v>94</v>
      </c>
      <c r="AO529" t="s">
        <v>95</v>
      </c>
      <c r="AP529" t="s">
        <v>96</v>
      </c>
      <c r="AQ529" t="s">
        <v>74</v>
      </c>
      <c r="AR529" t="s">
        <v>97</v>
      </c>
      <c r="AS529" t="s">
        <v>98</v>
      </c>
      <c r="AT529" t="s">
        <v>176</v>
      </c>
      <c r="AU529">
        <v>2019</v>
      </c>
      <c r="AV529">
        <v>64</v>
      </c>
      <c r="AW529">
        <v>17</v>
      </c>
      <c r="AX529" t="s">
        <v>74</v>
      </c>
      <c r="AY529" t="s">
        <v>74</v>
      </c>
      <c r="AZ529" t="s">
        <v>74</v>
      </c>
      <c r="BA529" t="s">
        <v>74</v>
      </c>
      <c r="BB529" t="s">
        <v>74</v>
      </c>
      <c r="BC529" t="s">
        <v>74</v>
      </c>
      <c r="BD529">
        <v>175009</v>
      </c>
      <c r="BE529" t="s">
        <v>8528</v>
      </c>
      <c r="BF529" t="str">
        <f>HYPERLINK("http://dx.doi.org/10.1088/1361-6560/ab3564","http://dx.doi.org/10.1088/1361-6560/ab3564")</f>
        <v>http://dx.doi.org/10.1088/1361-6560/ab3564</v>
      </c>
      <c r="BG529" t="s">
        <v>74</v>
      </c>
      <c r="BH529" t="s">
        <v>74</v>
      </c>
      <c r="BI529">
        <v>16</v>
      </c>
      <c r="BJ529" t="s">
        <v>101</v>
      </c>
      <c r="BK529" t="s">
        <v>102</v>
      </c>
      <c r="BL529" t="s">
        <v>103</v>
      </c>
      <c r="BM529" t="s">
        <v>794</v>
      </c>
      <c r="BN529">
        <v>31342940</v>
      </c>
      <c r="BO529" t="s">
        <v>74</v>
      </c>
      <c r="BP529" t="s">
        <v>74</v>
      </c>
      <c r="BQ529" t="s">
        <v>74</v>
      </c>
      <c r="BR529" t="s">
        <v>106</v>
      </c>
      <c r="BS529" t="s">
        <v>8529</v>
      </c>
      <c r="BT529" t="str">
        <f>HYPERLINK("https%3A%2F%2Fwww.webofscience.com%2Fwos%2Fwoscc%2Ffull-record%2FWOS:000484508700002","View Full Record in Web of Science")</f>
        <v>View Full Record in Web of Science</v>
      </c>
    </row>
    <row r="530" spans="1:72" x14ac:dyDescent="0.25">
      <c r="A530" t="s">
        <v>72</v>
      </c>
      <c r="B530" t="s">
        <v>8530</v>
      </c>
      <c r="C530" t="s">
        <v>74</v>
      </c>
      <c r="D530" t="s">
        <v>74</v>
      </c>
      <c r="E530" t="s">
        <v>74</v>
      </c>
      <c r="F530" t="s">
        <v>8531</v>
      </c>
      <c r="G530" t="s">
        <v>74</v>
      </c>
      <c r="H530" t="s">
        <v>74</v>
      </c>
      <c r="I530" t="s">
        <v>8532</v>
      </c>
      <c r="J530" t="s">
        <v>77</v>
      </c>
      <c r="K530" t="s">
        <v>74</v>
      </c>
      <c r="L530" t="s">
        <v>74</v>
      </c>
      <c r="M530" t="s">
        <v>78</v>
      </c>
      <c r="N530" t="s">
        <v>79</v>
      </c>
      <c r="O530" t="s">
        <v>74</v>
      </c>
      <c r="P530" t="s">
        <v>74</v>
      </c>
      <c r="Q530" t="s">
        <v>74</v>
      </c>
      <c r="R530" t="s">
        <v>74</v>
      </c>
      <c r="S530" t="s">
        <v>74</v>
      </c>
      <c r="T530" t="s">
        <v>8533</v>
      </c>
      <c r="U530" t="s">
        <v>8534</v>
      </c>
      <c r="V530" t="s">
        <v>8535</v>
      </c>
      <c r="W530" t="s">
        <v>8536</v>
      </c>
      <c r="X530" t="s">
        <v>8537</v>
      </c>
      <c r="Y530" t="s">
        <v>8538</v>
      </c>
      <c r="Z530" t="s">
        <v>5558</v>
      </c>
      <c r="AA530" t="s">
        <v>74</v>
      </c>
      <c r="AB530" t="s">
        <v>74</v>
      </c>
      <c r="AC530" t="s">
        <v>8539</v>
      </c>
      <c r="AD530" t="s">
        <v>8540</v>
      </c>
      <c r="AE530" t="s">
        <v>8541</v>
      </c>
      <c r="AF530" t="s">
        <v>74</v>
      </c>
      <c r="AG530">
        <v>27</v>
      </c>
      <c r="AH530">
        <v>25</v>
      </c>
      <c r="AI530">
        <v>27</v>
      </c>
      <c r="AJ530">
        <v>5</v>
      </c>
      <c r="AK530">
        <v>45</v>
      </c>
      <c r="AL530" t="s">
        <v>92</v>
      </c>
      <c r="AM530" t="s">
        <v>93</v>
      </c>
      <c r="AN530" t="s">
        <v>94</v>
      </c>
      <c r="AO530" t="s">
        <v>95</v>
      </c>
      <c r="AP530" t="s">
        <v>96</v>
      </c>
      <c r="AQ530" t="s">
        <v>74</v>
      </c>
      <c r="AR530" t="s">
        <v>97</v>
      </c>
      <c r="AS530" t="s">
        <v>98</v>
      </c>
      <c r="AT530" t="s">
        <v>176</v>
      </c>
      <c r="AU530">
        <v>2019</v>
      </c>
      <c r="AV530">
        <v>64</v>
      </c>
      <c r="AW530">
        <v>18</v>
      </c>
      <c r="AX530" t="s">
        <v>74</v>
      </c>
      <c r="AY530" t="s">
        <v>74</v>
      </c>
      <c r="AZ530" t="s">
        <v>74</v>
      </c>
      <c r="BA530" t="s">
        <v>74</v>
      </c>
      <c r="BB530" t="s">
        <v>74</v>
      </c>
      <c r="BC530" t="s">
        <v>74</v>
      </c>
      <c r="BD530">
        <v>185016</v>
      </c>
      <c r="BE530" t="s">
        <v>8542</v>
      </c>
      <c r="BF530" t="str">
        <f>HYPERLINK("http://dx.doi.org/10.1088/1361-6560/ab3103","http://dx.doi.org/10.1088/1361-6560/ab3103")</f>
        <v>http://dx.doi.org/10.1088/1361-6560/ab3103</v>
      </c>
      <c r="BG530" t="s">
        <v>74</v>
      </c>
      <c r="BH530" t="s">
        <v>74</v>
      </c>
      <c r="BI530">
        <v>16</v>
      </c>
      <c r="BJ530" t="s">
        <v>101</v>
      </c>
      <c r="BK530" t="s">
        <v>102</v>
      </c>
      <c r="BL530" t="s">
        <v>103</v>
      </c>
      <c r="BM530" t="s">
        <v>1992</v>
      </c>
      <c r="BN530">
        <v>31292287</v>
      </c>
      <c r="BO530" t="s">
        <v>74</v>
      </c>
      <c r="BP530" t="s">
        <v>74</v>
      </c>
      <c r="BQ530" t="s">
        <v>74</v>
      </c>
      <c r="BR530" t="s">
        <v>106</v>
      </c>
      <c r="BS530" t="s">
        <v>8543</v>
      </c>
      <c r="BT530" t="str">
        <f>HYPERLINK("https%3A%2F%2Fwww.webofscience.com%2Fwos%2Fwoscc%2Ffull-record%2FWOS:000487116400005","View Full Record in Web of Science")</f>
        <v>View Full Record in Web of Science</v>
      </c>
    </row>
    <row r="531" spans="1:72" x14ac:dyDescent="0.25">
      <c r="A531" t="s">
        <v>72</v>
      </c>
      <c r="B531" t="s">
        <v>8544</v>
      </c>
      <c r="C531" t="s">
        <v>74</v>
      </c>
      <c r="D531" t="s">
        <v>74</v>
      </c>
      <c r="E531" t="s">
        <v>74</v>
      </c>
      <c r="F531" t="s">
        <v>8545</v>
      </c>
      <c r="G531" t="s">
        <v>74</v>
      </c>
      <c r="H531" t="s">
        <v>74</v>
      </c>
      <c r="I531" t="s">
        <v>8546</v>
      </c>
      <c r="J531" t="s">
        <v>77</v>
      </c>
      <c r="K531" t="s">
        <v>74</v>
      </c>
      <c r="L531" t="s">
        <v>74</v>
      </c>
      <c r="M531" t="s">
        <v>78</v>
      </c>
      <c r="N531" t="s">
        <v>79</v>
      </c>
      <c r="O531" t="s">
        <v>74</v>
      </c>
      <c r="P531" t="s">
        <v>74</v>
      </c>
      <c r="Q531" t="s">
        <v>74</v>
      </c>
      <c r="R531" t="s">
        <v>74</v>
      </c>
      <c r="S531" t="s">
        <v>74</v>
      </c>
      <c r="T531" t="s">
        <v>8547</v>
      </c>
      <c r="U531" t="s">
        <v>8548</v>
      </c>
      <c r="V531" t="s">
        <v>8549</v>
      </c>
      <c r="W531" t="s">
        <v>8550</v>
      </c>
      <c r="X531" t="s">
        <v>8551</v>
      </c>
      <c r="Y531" t="s">
        <v>8552</v>
      </c>
      <c r="Z531" t="s">
        <v>8553</v>
      </c>
      <c r="AA531" t="s">
        <v>8554</v>
      </c>
      <c r="AB531" t="s">
        <v>8555</v>
      </c>
      <c r="AC531" t="s">
        <v>8556</v>
      </c>
      <c r="AD531" t="s">
        <v>8557</v>
      </c>
      <c r="AE531" t="s">
        <v>8558</v>
      </c>
      <c r="AF531" t="s">
        <v>74</v>
      </c>
      <c r="AG531">
        <v>26</v>
      </c>
      <c r="AH531">
        <v>4</v>
      </c>
      <c r="AI531">
        <v>4</v>
      </c>
      <c r="AJ531">
        <v>0</v>
      </c>
      <c r="AK531">
        <v>4</v>
      </c>
      <c r="AL531" t="s">
        <v>157</v>
      </c>
      <c r="AM531" t="s">
        <v>93</v>
      </c>
      <c r="AN531" t="s">
        <v>94</v>
      </c>
      <c r="AO531" t="s">
        <v>95</v>
      </c>
      <c r="AP531" t="s">
        <v>96</v>
      </c>
      <c r="AQ531" t="s">
        <v>74</v>
      </c>
      <c r="AR531" t="s">
        <v>97</v>
      </c>
      <c r="AS531" t="s">
        <v>98</v>
      </c>
      <c r="AT531" t="s">
        <v>214</v>
      </c>
      <c r="AU531">
        <v>2019</v>
      </c>
      <c r="AV531">
        <v>64</v>
      </c>
      <c r="AW531">
        <v>13</v>
      </c>
      <c r="AX531" t="s">
        <v>74</v>
      </c>
      <c r="AY531" t="s">
        <v>74</v>
      </c>
      <c r="AZ531" t="s">
        <v>74</v>
      </c>
      <c r="BA531" t="s">
        <v>74</v>
      </c>
      <c r="BB531" t="s">
        <v>74</v>
      </c>
      <c r="BC531" t="s">
        <v>74</v>
      </c>
      <c r="BD531">
        <v>135009</v>
      </c>
      <c r="BE531" t="s">
        <v>8559</v>
      </c>
      <c r="BF531" t="str">
        <f>HYPERLINK("http://dx.doi.org/10.1088/1361-6560/ab2940","http://dx.doi.org/10.1088/1361-6560/ab2940")</f>
        <v>http://dx.doi.org/10.1088/1361-6560/ab2940</v>
      </c>
      <c r="BG531" t="s">
        <v>74</v>
      </c>
      <c r="BH531" t="s">
        <v>74</v>
      </c>
      <c r="BI531">
        <v>8</v>
      </c>
      <c r="BJ531" t="s">
        <v>101</v>
      </c>
      <c r="BK531" t="s">
        <v>102</v>
      </c>
      <c r="BL531" t="s">
        <v>103</v>
      </c>
      <c r="BM531" t="s">
        <v>2061</v>
      </c>
      <c r="BN531">
        <v>31189137</v>
      </c>
      <c r="BO531" t="s">
        <v>74</v>
      </c>
      <c r="BP531" t="s">
        <v>74</v>
      </c>
      <c r="BQ531" t="s">
        <v>74</v>
      </c>
      <c r="BR531" t="s">
        <v>106</v>
      </c>
      <c r="BS531" t="s">
        <v>8560</v>
      </c>
      <c r="BT531" t="str">
        <f>HYPERLINK("https%3A%2F%2Fwww.webofscience.com%2Fwos%2Fwoscc%2Ffull-record%2FWOS:000474298100001","View Full Record in Web of Science")</f>
        <v>View Full Record in Web of Science</v>
      </c>
    </row>
    <row r="532" spans="1:72" x14ac:dyDescent="0.25">
      <c r="A532" t="s">
        <v>72</v>
      </c>
      <c r="B532" t="s">
        <v>8561</v>
      </c>
      <c r="C532" t="s">
        <v>74</v>
      </c>
      <c r="D532" t="s">
        <v>74</v>
      </c>
      <c r="E532" t="s">
        <v>74</v>
      </c>
      <c r="F532" t="s">
        <v>8562</v>
      </c>
      <c r="G532" t="s">
        <v>74</v>
      </c>
      <c r="H532" t="s">
        <v>74</v>
      </c>
      <c r="I532" t="s">
        <v>8563</v>
      </c>
      <c r="J532" t="s">
        <v>77</v>
      </c>
      <c r="K532" t="s">
        <v>74</v>
      </c>
      <c r="L532" t="s">
        <v>74</v>
      </c>
      <c r="M532" t="s">
        <v>78</v>
      </c>
      <c r="N532" t="s">
        <v>79</v>
      </c>
      <c r="O532" t="s">
        <v>74</v>
      </c>
      <c r="P532" t="s">
        <v>74</v>
      </c>
      <c r="Q532" t="s">
        <v>74</v>
      </c>
      <c r="R532" t="s">
        <v>74</v>
      </c>
      <c r="S532" t="s">
        <v>74</v>
      </c>
      <c r="T532" t="s">
        <v>8564</v>
      </c>
      <c r="U532" t="s">
        <v>8565</v>
      </c>
      <c r="V532" t="s">
        <v>8566</v>
      </c>
      <c r="W532" t="s">
        <v>8567</v>
      </c>
      <c r="X532" t="s">
        <v>8568</v>
      </c>
      <c r="Y532" t="s">
        <v>8569</v>
      </c>
      <c r="Z532" t="s">
        <v>8570</v>
      </c>
      <c r="AA532" t="s">
        <v>8571</v>
      </c>
      <c r="AB532" t="s">
        <v>8572</v>
      </c>
      <c r="AC532" t="s">
        <v>8573</v>
      </c>
      <c r="AD532" t="s">
        <v>8574</v>
      </c>
      <c r="AE532" t="s">
        <v>8575</v>
      </c>
      <c r="AF532" t="s">
        <v>74</v>
      </c>
      <c r="AG532">
        <v>19</v>
      </c>
      <c r="AH532">
        <v>16</v>
      </c>
      <c r="AI532">
        <v>16</v>
      </c>
      <c r="AJ532">
        <v>0</v>
      </c>
      <c r="AK532">
        <v>9</v>
      </c>
      <c r="AL532" t="s">
        <v>92</v>
      </c>
      <c r="AM532" t="s">
        <v>93</v>
      </c>
      <c r="AN532" t="s">
        <v>94</v>
      </c>
      <c r="AO532" t="s">
        <v>95</v>
      </c>
      <c r="AP532" t="s">
        <v>96</v>
      </c>
      <c r="AQ532" t="s">
        <v>74</v>
      </c>
      <c r="AR532" t="s">
        <v>97</v>
      </c>
      <c r="AS532" t="s">
        <v>98</v>
      </c>
      <c r="AT532" t="s">
        <v>214</v>
      </c>
      <c r="AU532">
        <v>2019</v>
      </c>
      <c r="AV532">
        <v>64</v>
      </c>
      <c r="AW532">
        <v>14</v>
      </c>
      <c r="AX532" t="s">
        <v>74</v>
      </c>
      <c r="AY532" t="s">
        <v>74</v>
      </c>
      <c r="AZ532" t="s">
        <v>74</v>
      </c>
      <c r="BA532" t="s">
        <v>74</v>
      </c>
      <c r="BB532" t="s">
        <v>74</v>
      </c>
      <c r="BC532" t="s">
        <v>74</v>
      </c>
      <c r="BD532" t="s">
        <v>8576</v>
      </c>
      <c r="BE532" t="s">
        <v>8577</v>
      </c>
      <c r="BF532" t="str">
        <f>HYPERLINK("http://dx.doi.org/10.1088/1361-6560/ab259d","http://dx.doi.org/10.1088/1361-6560/ab259d")</f>
        <v>http://dx.doi.org/10.1088/1361-6560/ab259d</v>
      </c>
      <c r="BG532" t="s">
        <v>74</v>
      </c>
      <c r="BH532" t="s">
        <v>74</v>
      </c>
      <c r="BI532">
        <v>6</v>
      </c>
      <c r="BJ532" t="s">
        <v>101</v>
      </c>
      <c r="BK532" t="s">
        <v>102</v>
      </c>
      <c r="BL532" t="s">
        <v>103</v>
      </c>
      <c r="BM532" t="s">
        <v>4979</v>
      </c>
      <c r="BN532">
        <v>31146266</v>
      </c>
      <c r="BO532" t="s">
        <v>74</v>
      </c>
      <c r="BP532" t="s">
        <v>74</v>
      </c>
      <c r="BQ532" t="s">
        <v>74</v>
      </c>
      <c r="BR532" t="s">
        <v>106</v>
      </c>
      <c r="BS532" t="s">
        <v>8578</v>
      </c>
      <c r="BT532" t="str">
        <f>HYPERLINK("https%3A%2F%2Fwww.webofscience.com%2Fwos%2Fwoscc%2Ffull-record%2FWOS:000476530000002","View Full Record in Web of Science")</f>
        <v>View Full Record in Web of Science</v>
      </c>
    </row>
    <row r="533" spans="1:72" x14ac:dyDescent="0.25">
      <c r="A533" t="s">
        <v>72</v>
      </c>
      <c r="B533" t="s">
        <v>8579</v>
      </c>
      <c r="C533" t="s">
        <v>74</v>
      </c>
      <c r="D533" t="s">
        <v>74</v>
      </c>
      <c r="E533" t="s">
        <v>74</v>
      </c>
      <c r="F533" t="s">
        <v>8580</v>
      </c>
      <c r="G533" t="s">
        <v>74</v>
      </c>
      <c r="H533" t="s">
        <v>74</v>
      </c>
      <c r="I533" t="s">
        <v>8581</v>
      </c>
      <c r="J533" t="s">
        <v>77</v>
      </c>
      <c r="K533" t="s">
        <v>74</v>
      </c>
      <c r="L533" t="s">
        <v>74</v>
      </c>
      <c r="M533" t="s">
        <v>78</v>
      </c>
      <c r="N533" t="s">
        <v>79</v>
      </c>
      <c r="O533" t="s">
        <v>74</v>
      </c>
      <c r="P533" t="s">
        <v>74</v>
      </c>
      <c r="Q533" t="s">
        <v>74</v>
      </c>
      <c r="R533" t="s">
        <v>74</v>
      </c>
      <c r="S533" t="s">
        <v>74</v>
      </c>
      <c r="T533" t="s">
        <v>8582</v>
      </c>
      <c r="U533" t="s">
        <v>8583</v>
      </c>
      <c r="V533" t="s">
        <v>8584</v>
      </c>
      <c r="W533" t="s">
        <v>8585</v>
      </c>
      <c r="X533" t="s">
        <v>8586</v>
      </c>
      <c r="Y533" t="s">
        <v>8587</v>
      </c>
      <c r="Z533" t="s">
        <v>8588</v>
      </c>
      <c r="AA533" t="s">
        <v>8589</v>
      </c>
      <c r="AB533" t="s">
        <v>8590</v>
      </c>
      <c r="AC533" t="s">
        <v>8591</v>
      </c>
      <c r="AD533" t="s">
        <v>8592</v>
      </c>
      <c r="AE533" t="s">
        <v>8593</v>
      </c>
      <c r="AF533" t="s">
        <v>74</v>
      </c>
      <c r="AG533">
        <v>21</v>
      </c>
      <c r="AH533">
        <v>5</v>
      </c>
      <c r="AI533">
        <v>5</v>
      </c>
      <c r="AJ533">
        <v>0</v>
      </c>
      <c r="AK533">
        <v>4</v>
      </c>
      <c r="AL533" t="s">
        <v>92</v>
      </c>
      <c r="AM533" t="s">
        <v>93</v>
      </c>
      <c r="AN533" t="s">
        <v>94</v>
      </c>
      <c r="AO533" t="s">
        <v>95</v>
      </c>
      <c r="AP533" t="s">
        <v>96</v>
      </c>
      <c r="AQ533" t="s">
        <v>74</v>
      </c>
      <c r="AR533" t="s">
        <v>97</v>
      </c>
      <c r="AS533" t="s">
        <v>98</v>
      </c>
      <c r="AT533" t="s">
        <v>214</v>
      </c>
      <c r="AU533">
        <v>2019</v>
      </c>
      <c r="AV533">
        <v>64</v>
      </c>
      <c r="AW533">
        <v>14</v>
      </c>
      <c r="AX533" t="s">
        <v>74</v>
      </c>
      <c r="AY533" t="s">
        <v>74</v>
      </c>
      <c r="AZ533" t="s">
        <v>74</v>
      </c>
      <c r="BA533" t="s">
        <v>74</v>
      </c>
      <c r="BB533" t="s">
        <v>74</v>
      </c>
      <c r="BC533" t="s">
        <v>74</v>
      </c>
      <c r="BD533">
        <v>145018</v>
      </c>
      <c r="BE533" t="s">
        <v>8594</v>
      </c>
      <c r="BF533" t="str">
        <f>HYPERLINK("http://dx.doi.org/10.1088/1361-6560/ab25ab","http://dx.doi.org/10.1088/1361-6560/ab25ab")</f>
        <v>http://dx.doi.org/10.1088/1361-6560/ab25ab</v>
      </c>
      <c r="BG533" t="s">
        <v>74</v>
      </c>
      <c r="BH533" t="s">
        <v>74</v>
      </c>
      <c r="BI533">
        <v>14</v>
      </c>
      <c r="BJ533" t="s">
        <v>101</v>
      </c>
      <c r="BK533" t="s">
        <v>102</v>
      </c>
      <c r="BL533" t="s">
        <v>103</v>
      </c>
      <c r="BM533" t="s">
        <v>1093</v>
      </c>
      <c r="BN533">
        <v>31146264</v>
      </c>
      <c r="BO533" t="s">
        <v>74</v>
      </c>
      <c r="BP533" t="s">
        <v>74</v>
      </c>
      <c r="BQ533" t="s">
        <v>74</v>
      </c>
      <c r="BR533" t="s">
        <v>106</v>
      </c>
      <c r="BS533" t="s">
        <v>8595</v>
      </c>
      <c r="BT533" t="str">
        <f>HYPERLINK("https%3A%2F%2Fwww.webofscience.com%2Fwos%2Fwoscc%2Ffull-record%2FWOS:000476529600002","View Full Record in Web of Science")</f>
        <v>View Full Record in Web of Science</v>
      </c>
    </row>
    <row r="534" spans="1:72" x14ac:dyDescent="0.25">
      <c r="A534" t="s">
        <v>72</v>
      </c>
      <c r="B534" t="s">
        <v>8596</v>
      </c>
      <c r="C534" t="s">
        <v>74</v>
      </c>
      <c r="D534" t="s">
        <v>74</v>
      </c>
      <c r="E534" t="s">
        <v>74</v>
      </c>
      <c r="F534" t="s">
        <v>8597</v>
      </c>
      <c r="G534" t="s">
        <v>74</v>
      </c>
      <c r="H534" t="s">
        <v>74</v>
      </c>
      <c r="I534" t="s">
        <v>8598</v>
      </c>
      <c r="J534" t="s">
        <v>77</v>
      </c>
      <c r="K534" t="s">
        <v>74</v>
      </c>
      <c r="L534" t="s">
        <v>74</v>
      </c>
      <c r="M534" t="s">
        <v>78</v>
      </c>
      <c r="N534" t="s">
        <v>79</v>
      </c>
      <c r="O534" t="s">
        <v>74</v>
      </c>
      <c r="P534" t="s">
        <v>74</v>
      </c>
      <c r="Q534" t="s">
        <v>74</v>
      </c>
      <c r="R534" t="s">
        <v>74</v>
      </c>
      <c r="S534" t="s">
        <v>74</v>
      </c>
      <c r="T534" t="s">
        <v>8599</v>
      </c>
      <c r="U534" t="s">
        <v>8600</v>
      </c>
      <c r="V534" t="s">
        <v>8601</v>
      </c>
      <c r="W534" t="s">
        <v>8602</v>
      </c>
      <c r="X534" t="s">
        <v>8603</v>
      </c>
      <c r="Y534" t="s">
        <v>8604</v>
      </c>
      <c r="Z534" t="s">
        <v>8605</v>
      </c>
      <c r="AA534" t="s">
        <v>8606</v>
      </c>
      <c r="AB534" t="s">
        <v>8607</v>
      </c>
      <c r="AC534" t="s">
        <v>8608</v>
      </c>
      <c r="AD534" t="s">
        <v>7874</v>
      </c>
      <c r="AE534" t="s">
        <v>8609</v>
      </c>
      <c r="AF534" t="s">
        <v>74</v>
      </c>
      <c r="AG534">
        <v>38</v>
      </c>
      <c r="AH534">
        <v>13</v>
      </c>
      <c r="AI534">
        <v>13</v>
      </c>
      <c r="AJ534">
        <v>0</v>
      </c>
      <c r="AK534">
        <v>4</v>
      </c>
      <c r="AL534" t="s">
        <v>92</v>
      </c>
      <c r="AM534" t="s">
        <v>93</v>
      </c>
      <c r="AN534" t="s">
        <v>94</v>
      </c>
      <c r="AO534" t="s">
        <v>95</v>
      </c>
      <c r="AP534" t="s">
        <v>96</v>
      </c>
      <c r="AQ534" t="s">
        <v>74</v>
      </c>
      <c r="AR534" t="s">
        <v>97</v>
      </c>
      <c r="AS534" t="s">
        <v>98</v>
      </c>
      <c r="AT534" t="s">
        <v>250</v>
      </c>
      <c r="AU534">
        <v>2019</v>
      </c>
      <c r="AV534">
        <v>64</v>
      </c>
      <c r="AW534">
        <v>11</v>
      </c>
      <c r="AX534" t="s">
        <v>74</v>
      </c>
      <c r="AY534" t="s">
        <v>74</v>
      </c>
      <c r="AZ534" t="s">
        <v>74</v>
      </c>
      <c r="BA534" t="s">
        <v>74</v>
      </c>
      <c r="BB534" t="s">
        <v>74</v>
      </c>
      <c r="BC534" t="s">
        <v>74</v>
      </c>
      <c r="BD534">
        <v>115009</v>
      </c>
      <c r="BE534" t="s">
        <v>8610</v>
      </c>
      <c r="BF534" t="str">
        <f>HYPERLINK("http://dx.doi.org/10.1088/1361-6560/ab1ccf","http://dx.doi.org/10.1088/1361-6560/ab1ccf")</f>
        <v>http://dx.doi.org/10.1088/1361-6560/ab1ccf</v>
      </c>
      <c r="BG534" t="s">
        <v>74</v>
      </c>
      <c r="BH534" t="s">
        <v>74</v>
      </c>
      <c r="BI534">
        <v>10</v>
      </c>
      <c r="BJ534" t="s">
        <v>101</v>
      </c>
      <c r="BK534" t="s">
        <v>102</v>
      </c>
      <c r="BL534" t="s">
        <v>103</v>
      </c>
      <c r="BM534" t="s">
        <v>287</v>
      </c>
      <c r="BN534">
        <v>31026851</v>
      </c>
      <c r="BO534" t="s">
        <v>74</v>
      </c>
      <c r="BP534" t="s">
        <v>74</v>
      </c>
      <c r="BQ534" t="s">
        <v>74</v>
      </c>
      <c r="BR534" t="s">
        <v>106</v>
      </c>
      <c r="BS534" t="s">
        <v>8611</v>
      </c>
      <c r="BT534" t="str">
        <f>HYPERLINK("https%3A%2F%2Fwww.webofscience.com%2Fwos%2Fwoscc%2Ffull-record%2FWOS:000469802000001","View Full Record in Web of Science")</f>
        <v>View Full Record in Web of Science</v>
      </c>
    </row>
    <row r="535" spans="1:72" x14ac:dyDescent="0.25">
      <c r="A535" t="s">
        <v>72</v>
      </c>
      <c r="B535" t="s">
        <v>8612</v>
      </c>
      <c r="C535" t="s">
        <v>74</v>
      </c>
      <c r="D535" t="s">
        <v>74</v>
      </c>
      <c r="E535" t="s">
        <v>74</v>
      </c>
      <c r="F535" t="s">
        <v>8613</v>
      </c>
      <c r="G535" t="s">
        <v>74</v>
      </c>
      <c r="H535" t="s">
        <v>74</v>
      </c>
      <c r="I535" t="s">
        <v>8614</v>
      </c>
      <c r="J535" t="s">
        <v>77</v>
      </c>
      <c r="K535" t="s">
        <v>74</v>
      </c>
      <c r="L535" t="s">
        <v>74</v>
      </c>
      <c r="M535" t="s">
        <v>78</v>
      </c>
      <c r="N535" t="s">
        <v>79</v>
      </c>
      <c r="O535" t="s">
        <v>74</v>
      </c>
      <c r="P535" t="s">
        <v>74</v>
      </c>
      <c r="Q535" t="s">
        <v>74</v>
      </c>
      <c r="R535" t="s">
        <v>74</v>
      </c>
      <c r="S535" t="s">
        <v>74</v>
      </c>
      <c r="T535" t="s">
        <v>8615</v>
      </c>
      <c r="U535" t="s">
        <v>8616</v>
      </c>
      <c r="V535" t="s">
        <v>8617</v>
      </c>
      <c r="W535" t="s">
        <v>8618</v>
      </c>
      <c r="X535" t="s">
        <v>8619</v>
      </c>
      <c r="Y535" t="s">
        <v>8620</v>
      </c>
      <c r="Z535" t="s">
        <v>8621</v>
      </c>
      <c r="AA535" t="s">
        <v>8622</v>
      </c>
      <c r="AB535" t="s">
        <v>8623</v>
      </c>
      <c r="AC535" t="s">
        <v>8624</v>
      </c>
      <c r="AD535" t="s">
        <v>8625</v>
      </c>
      <c r="AE535" t="s">
        <v>8626</v>
      </c>
      <c r="AF535" t="s">
        <v>74</v>
      </c>
      <c r="AG535">
        <v>35</v>
      </c>
      <c r="AH535">
        <v>22</v>
      </c>
      <c r="AI535">
        <v>22</v>
      </c>
      <c r="AJ535">
        <v>0</v>
      </c>
      <c r="AK535">
        <v>15</v>
      </c>
      <c r="AL535" t="s">
        <v>92</v>
      </c>
      <c r="AM535" t="s">
        <v>93</v>
      </c>
      <c r="AN535" t="s">
        <v>94</v>
      </c>
      <c r="AO535" t="s">
        <v>95</v>
      </c>
      <c r="AP535" t="s">
        <v>96</v>
      </c>
      <c r="AQ535" t="s">
        <v>74</v>
      </c>
      <c r="AR535" t="s">
        <v>97</v>
      </c>
      <c r="AS535" t="s">
        <v>98</v>
      </c>
      <c r="AT535" t="s">
        <v>370</v>
      </c>
      <c r="AU535">
        <v>2019</v>
      </c>
      <c r="AV535">
        <v>64</v>
      </c>
      <c r="AW535">
        <v>10</v>
      </c>
      <c r="AX535" t="s">
        <v>74</v>
      </c>
      <c r="AY535" t="s">
        <v>74</v>
      </c>
      <c r="AZ535" t="s">
        <v>74</v>
      </c>
      <c r="BA535" t="s">
        <v>74</v>
      </c>
      <c r="BB535" t="s">
        <v>74</v>
      </c>
      <c r="BC535" t="s">
        <v>74</v>
      </c>
      <c r="BD535">
        <v>105015</v>
      </c>
      <c r="BE535" t="s">
        <v>8627</v>
      </c>
      <c r="BF535" t="str">
        <f>HYPERLINK("http://dx.doi.org/10.1088/1361-6560/ab1786","http://dx.doi.org/10.1088/1361-6560/ab1786")</f>
        <v>http://dx.doi.org/10.1088/1361-6560/ab1786</v>
      </c>
      <c r="BG535" t="s">
        <v>74</v>
      </c>
      <c r="BH535" t="s">
        <v>74</v>
      </c>
      <c r="BI535">
        <v>14</v>
      </c>
      <c r="BJ535" t="s">
        <v>101</v>
      </c>
      <c r="BK535" t="s">
        <v>102</v>
      </c>
      <c r="BL535" t="s">
        <v>103</v>
      </c>
      <c r="BM535" t="s">
        <v>8628</v>
      </c>
      <c r="BN535">
        <v>30965296</v>
      </c>
      <c r="BO535" t="s">
        <v>829</v>
      </c>
      <c r="BP535" t="s">
        <v>74</v>
      </c>
      <c r="BQ535" t="s">
        <v>74</v>
      </c>
      <c r="BR535" t="s">
        <v>106</v>
      </c>
      <c r="BS535" t="s">
        <v>8629</v>
      </c>
      <c r="BT535" t="str">
        <f>HYPERLINK("https%3A%2F%2Fwww.webofscience.com%2Fwos%2Fwoscc%2Ffull-record%2FWOS:000468321300001","View Full Record in Web of Science")</f>
        <v>View Full Record in Web of Science</v>
      </c>
    </row>
    <row r="536" spans="1:72" x14ac:dyDescent="0.25">
      <c r="A536" t="s">
        <v>72</v>
      </c>
      <c r="B536" t="s">
        <v>8630</v>
      </c>
      <c r="C536" t="s">
        <v>74</v>
      </c>
      <c r="D536" t="s">
        <v>74</v>
      </c>
      <c r="E536" t="s">
        <v>74</v>
      </c>
      <c r="F536" t="s">
        <v>8631</v>
      </c>
      <c r="G536" t="s">
        <v>74</v>
      </c>
      <c r="H536" t="s">
        <v>74</v>
      </c>
      <c r="I536" t="s">
        <v>8632</v>
      </c>
      <c r="J536" t="s">
        <v>77</v>
      </c>
      <c r="K536" t="s">
        <v>74</v>
      </c>
      <c r="L536" t="s">
        <v>74</v>
      </c>
      <c r="M536" t="s">
        <v>78</v>
      </c>
      <c r="N536" t="s">
        <v>79</v>
      </c>
      <c r="O536" t="s">
        <v>74</v>
      </c>
      <c r="P536" t="s">
        <v>74</v>
      </c>
      <c r="Q536" t="s">
        <v>74</v>
      </c>
      <c r="R536" t="s">
        <v>74</v>
      </c>
      <c r="S536" t="s">
        <v>74</v>
      </c>
      <c r="T536" t="s">
        <v>8633</v>
      </c>
      <c r="U536" t="s">
        <v>8634</v>
      </c>
      <c r="V536" t="s">
        <v>8635</v>
      </c>
      <c r="W536" t="s">
        <v>8636</v>
      </c>
      <c r="X536" t="s">
        <v>8637</v>
      </c>
      <c r="Y536" t="s">
        <v>8638</v>
      </c>
      <c r="Z536" t="s">
        <v>8639</v>
      </c>
      <c r="AA536" t="s">
        <v>8640</v>
      </c>
      <c r="AB536" t="s">
        <v>74</v>
      </c>
      <c r="AC536" t="s">
        <v>74</v>
      </c>
      <c r="AD536" t="s">
        <v>74</v>
      </c>
      <c r="AE536" t="s">
        <v>74</v>
      </c>
      <c r="AF536" t="s">
        <v>74</v>
      </c>
      <c r="AG536">
        <v>60</v>
      </c>
      <c r="AH536">
        <v>13</v>
      </c>
      <c r="AI536">
        <v>13</v>
      </c>
      <c r="AJ536">
        <v>1</v>
      </c>
      <c r="AK536">
        <v>4</v>
      </c>
      <c r="AL536" t="s">
        <v>157</v>
      </c>
      <c r="AM536" t="s">
        <v>93</v>
      </c>
      <c r="AN536" t="s">
        <v>94</v>
      </c>
      <c r="AO536" t="s">
        <v>95</v>
      </c>
      <c r="AP536" t="s">
        <v>96</v>
      </c>
      <c r="AQ536" t="s">
        <v>74</v>
      </c>
      <c r="AR536" t="s">
        <v>97</v>
      </c>
      <c r="AS536" t="s">
        <v>98</v>
      </c>
      <c r="AT536" t="s">
        <v>370</v>
      </c>
      <c r="AU536">
        <v>2019</v>
      </c>
      <c r="AV536">
        <v>64</v>
      </c>
      <c r="AW536">
        <v>10</v>
      </c>
      <c r="AX536" t="s">
        <v>74</v>
      </c>
      <c r="AY536" t="s">
        <v>74</v>
      </c>
      <c r="AZ536" t="s">
        <v>74</v>
      </c>
      <c r="BA536" t="s">
        <v>74</v>
      </c>
      <c r="BB536" t="s">
        <v>74</v>
      </c>
      <c r="BC536" t="s">
        <v>74</v>
      </c>
      <c r="BD536">
        <v>105017</v>
      </c>
      <c r="BE536" t="s">
        <v>8641</v>
      </c>
      <c r="BF536" t="str">
        <f>HYPERLINK("http://dx.doi.org/10.1088/1361-6560/ab1618","http://dx.doi.org/10.1088/1361-6560/ab1618")</f>
        <v>http://dx.doi.org/10.1088/1361-6560/ab1618</v>
      </c>
      <c r="BG536" t="s">
        <v>74</v>
      </c>
      <c r="BH536" t="s">
        <v>74</v>
      </c>
      <c r="BI536">
        <v>14</v>
      </c>
      <c r="BJ536" t="s">
        <v>101</v>
      </c>
      <c r="BK536" t="s">
        <v>102</v>
      </c>
      <c r="BL536" t="s">
        <v>103</v>
      </c>
      <c r="BM536" t="s">
        <v>1845</v>
      </c>
      <c r="BN536">
        <v>30947156</v>
      </c>
      <c r="BO536" t="s">
        <v>179</v>
      </c>
      <c r="BP536" t="s">
        <v>74</v>
      </c>
      <c r="BQ536" t="s">
        <v>74</v>
      </c>
      <c r="BR536" t="s">
        <v>106</v>
      </c>
      <c r="BS536" t="s">
        <v>8642</v>
      </c>
      <c r="BT536" t="str">
        <f>HYPERLINK("https%3A%2F%2Fwww.webofscience.com%2Fwos%2Fwoscc%2Ffull-record%2FWOS:000468283500002","View Full Record in Web of Science")</f>
        <v>View Full Record in Web of Science</v>
      </c>
    </row>
    <row r="537" spans="1:72" x14ac:dyDescent="0.25">
      <c r="A537" t="s">
        <v>72</v>
      </c>
      <c r="B537" t="s">
        <v>8643</v>
      </c>
      <c r="C537" t="s">
        <v>74</v>
      </c>
      <c r="D537" t="s">
        <v>74</v>
      </c>
      <c r="E537" t="s">
        <v>74</v>
      </c>
      <c r="F537" t="s">
        <v>8644</v>
      </c>
      <c r="G537" t="s">
        <v>74</v>
      </c>
      <c r="H537" t="s">
        <v>74</v>
      </c>
      <c r="I537" t="s">
        <v>8645</v>
      </c>
      <c r="J537" t="s">
        <v>77</v>
      </c>
      <c r="K537" t="s">
        <v>74</v>
      </c>
      <c r="L537" t="s">
        <v>74</v>
      </c>
      <c r="M537" t="s">
        <v>78</v>
      </c>
      <c r="N537" t="s">
        <v>79</v>
      </c>
      <c r="O537" t="s">
        <v>74</v>
      </c>
      <c r="P537" t="s">
        <v>74</v>
      </c>
      <c r="Q537" t="s">
        <v>74</v>
      </c>
      <c r="R537" t="s">
        <v>74</v>
      </c>
      <c r="S537" t="s">
        <v>74</v>
      </c>
      <c r="T537" t="s">
        <v>8646</v>
      </c>
      <c r="U537" t="s">
        <v>8647</v>
      </c>
      <c r="V537" t="s">
        <v>8648</v>
      </c>
      <c r="W537" t="s">
        <v>8649</v>
      </c>
      <c r="X537" t="s">
        <v>5177</v>
      </c>
      <c r="Y537" t="s">
        <v>5178</v>
      </c>
      <c r="Z537" t="s">
        <v>5179</v>
      </c>
      <c r="AA537" t="s">
        <v>5180</v>
      </c>
      <c r="AB537" t="s">
        <v>8650</v>
      </c>
      <c r="AC537" t="s">
        <v>8651</v>
      </c>
      <c r="AD537" t="s">
        <v>8652</v>
      </c>
      <c r="AE537" t="s">
        <v>8653</v>
      </c>
      <c r="AF537" t="s">
        <v>74</v>
      </c>
      <c r="AG537">
        <v>27</v>
      </c>
      <c r="AH537">
        <v>3</v>
      </c>
      <c r="AI537">
        <v>3</v>
      </c>
      <c r="AJ537">
        <v>0</v>
      </c>
      <c r="AK537">
        <v>8</v>
      </c>
      <c r="AL537" t="s">
        <v>92</v>
      </c>
      <c r="AM537" t="s">
        <v>93</v>
      </c>
      <c r="AN537" t="s">
        <v>94</v>
      </c>
      <c r="AO537" t="s">
        <v>95</v>
      </c>
      <c r="AP537" t="s">
        <v>96</v>
      </c>
      <c r="AQ537" t="s">
        <v>74</v>
      </c>
      <c r="AR537" t="s">
        <v>97</v>
      </c>
      <c r="AS537" t="s">
        <v>98</v>
      </c>
      <c r="AT537" t="s">
        <v>386</v>
      </c>
      <c r="AU537">
        <v>2019</v>
      </c>
      <c r="AV537">
        <v>64</v>
      </c>
      <c r="AW537">
        <v>7</v>
      </c>
      <c r="AX537" t="s">
        <v>74</v>
      </c>
      <c r="AY537" t="s">
        <v>74</v>
      </c>
      <c r="AZ537" t="s">
        <v>74</v>
      </c>
      <c r="BA537" t="s">
        <v>74</v>
      </c>
      <c r="BB537" t="s">
        <v>74</v>
      </c>
      <c r="BC537" t="s">
        <v>74</v>
      </c>
      <c r="BD537">
        <v>75013</v>
      </c>
      <c r="BE537" t="s">
        <v>8654</v>
      </c>
      <c r="BF537" t="str">
        <f>HYPERLINK("http://dx.doi.org/10.1088/1361-6560/ab10a2","http://dx.doi.org/10.1088/1361-6560/ab10a2")</f>
        <v>http://dx.doi.org/10.1088/1361-6560/ab10a2</v>
      </c>
      <c r="BG537" t="s">
        <v>74</v>
      </c>
      <c r="BH537" t="s">
        <v>74</v>
      </c>
      <c r="BI537">
        <v>12</v>
      </c>
      <c r="BJ537" t="s">
        <v>101</v>
      </c>
      <c r="BK537" t="s">
        <v>102</v>
      </c>
      <c r="BL537" t="s">
        <v>103</v>
      </c>
      <c r="BM537" t="s">
        <v>874</v>
      </c>
      <c r="BN537">
        <v>30884472</v>
      </c>
      <c r="BO537" t="s">
        <v>105</v>
      </c>
      <c r="BP537" t="s">
        <v>74</v>
      </c>
      <c r="BQ537" t="s">
        <v>74</v>
      </c>
      <c r="BR537" t="s">
        <v>106</v>
      </c>
      <c r="BS537" t="s">
        <v>8655</v>
      </c>
      <c r="BT537" t="str">
        <f>HYPERLINK("https%3A%2F%2Fwww.webofscience.com%2Fwos%2Fwoscc%2Ffull-record%2FWOS:000463540400001","View Full Record in Web of Science")</f>
        <v>View Full Record in Web of Science</v>
      </c>
    </row>
    <row r="538" spans="1:72" x14ac:dyDescent="0.25">
      <c r="A538" t="s">
        <v>72</v>
      </c>
      <c r="B538" t="s">
        <v>8656</v>
      </c>
      <c r="C538" t="s">
        <v>74</v>
      </c>
      <c r="D538" t="s">
        <v>74</v>
      </c>
      <c r="E538" t="s">
        <v>74</v>
      </c>
      <c r="F538" t="s">
        <v>8657</v>
      </c>
      <c r="G538" t="s">
        <v>74</v>
      </c>
      <c r="H538" t="s">
        <v>74</v>
      </c>
      <c r="I538" t="s">
        <v>8658</v>
      </c>
      <c r="J538" t="s">
        <v>77</v>
      </c>
      <c r="K538" t="s">
        <v>74</v>
      </c>
      <c r="L538" t="s">
        <v>74</v>
      </c>
      <c r="M538" t="s">
        <v>78</v>
      </c>
      <c r="N538" t="s">
        <v>79</v>
      </c>
      <c r="O538" t="s">
        <v>74</v>
      </c>
      <c r="P538" t="s">
        <v>74</v>
      </c>
      <c r="Q538" t="s">
        <v>74</v>
      </c>
      <c r="R538" t="s">
        <v>74</v>
      </c>
      <c r="S538" t="s">
        <v>74</v>
      </c>
      <c r="T538" t="s">
        <v>8659</v>
      </c>
      <c r="U538" t="s">
        <v>8660</v>
      </c>
      <c r="V538" t="s">
        <v>8661</v>
      </c>
      <c r="W538" t="s">
        <v>8662</v>
      </c>
      <c r="X538" t="s">
        <v>8663</v>
      </c>
      <c r="Y538" t="s">
        <v>8664</v>
      </c>
      <c r="Z538" t="s">
        <v>8665</v>
      </c>
      <c r="AA538" t="s">
        <v>8666</v>
      </c>
      <c r="AB538" t="s">
        <v>8667</v>
      </c>
      <c r="AC538" t="s">
        <v>8668</v>
      </c>
      <c r="AD538" t="s">
        <v>8668</v>
      </c>
      <c r="AE538" t="s">
        <v>8669</v>
      </c>
      <c r="AF538" t="s">
        <v>74</v>
      </c>
      <c r="AG538">
        <v>48</v>
      </c>
      <c r="AH538">
        <v>12</v>
      </c>
      <c r="AI538">
        <v>14</v>
      </c>
      <c r="AJ538">
        <v>0</v>
      </c>
      <c r="AK538">
        <v>14</v>
      </c>
      <c r="AL538" t="s">
        <v>92</v>
      </c>
      <c r="AM538" t="s">
        <v>93</v>
      </c>
      <c r="AN538" t="s">
        <v>94</v>
      </c>
      <c r="AO538" t="s">
        <v>95</v>
      </c>
      <c r="AP538" t="s">
        <v>96</v>
      </c>
      <c r="AQ538" t="s">
        <v>74</v>
      </c>
      <c r="AR538" t="s">
        <v>97</v>
      </c>
      <c r="AS538" t="s">
        <v>98</v>
      </c>
      <c r="AT538" t="s">
        <v>646</v>
      </c>
      <c r="AU538">
        <v>2019</v>
      </c>
      <c r="AV538">
        <v>64</v>
      </c>
      <c r="AW538">
        <v>3</v>
      </c>
      <c r="AX538" t="s">
        <v>74</v>
      </c>
      <c r="AY538" t="s">
        <v>74</v>
      </c>
      <c r="AZ538" t="s">
        <v>74</v>
      </c>
      <c r="BA538" t="s">
        <v>74</v>
      </c>
      <c r="BB538" t="s">
        <v>74</v>
      </c>
      <c r="BC538" t="s">
        <v>74</v>
      </c>
      <c r="BD538">
        <v>35016</v>
      </c>
      <c r="BE538" t="s">
        <v>8670</v>
      </c>
      <c r="BF538" t="str">
        <f>HYPERLINK("http://dx.doi.org/10.1088/1361-6560/aafabd","http://dx.doi.org/10.1088/1361-6560/aafabd")</f>
        <v>http://dx.doi.org/10.1088/1361-6560/aafabd</v>
      </c>
      <c r="BG538" t="s">
        <v>74</v>
      </c>
      <c r="BH538" t="s">
        <v>74</v>
      </c>
      <c r="BI538">
        <v>14</v>
      </c>
      <c r="BJ538" t="s">
        <v>101</v>
      </c>
      <c r="BK538" t="s">
        <v>102</v>
      </c>
      <c r="BL538" t="s">
        <v>103</v>
      </c>
      <c r="BM538" t="s">
        <v>889</v>
      </c>
      <c r="BN538">
        <v>30577031</v>
      </c>
      <c r="BO538" t="s">
        <v>74</v>
      </c>
      <c r="BP538" t="s">
        <v>74</v>
      </c>
      <c r="BQ538" t="s">
        <v>74</v>
      </c>
      <c r="BR538" t="s">
        <v>106</v>
      </c>
      <c r="BS538" t="s">
        <v>8671</v>
      </c>
      <c r="BT538" t="str">
        <f>HYPERLINK("https%3A%2F%2Fwww.webofscience.com%2Fwos%2Fwoscc%2Ffull-record%2FWOS:000457439100001","View Full Record in Web of Science")</f>
        <v>View Full Record in Web of Science</v>
      </c>
    </row>
    <row r="539" spans="1:72" x14ac:dyDescent="0.25">
      <c r="A539" t="s">
        <v>72</v>
      </c>
      <c r="B539" t="s">
        <v>8672</v>
      </c>
      <c r="C539" t="s">
        <v>74</v>
      </c>
      <c r="D539" t="s">
        <v>74</v>
      </c>
      <c r="E539" t="s">
        <v>74</v>
      </c>
      <c r="F539" t="s">
        <v>8673</v>
      </c>
      <c r="G539" t="s">
        <v>74</v>
      </c>
      <c r="H539" t="s">
        <v>74</v>
      </c>
      <c r="I539" t="s">
        <v>8674</v>
      </c>
      <c r="J539" t="s">
        <v>77</v>
      </c>
      <c r="K539" t="s">
        <v>74</v>
      </c>
      <c r="L539" t="s">
        <v>74</v>
      </c>
      <c r="M539" t="s">
        <v>78</v>
      </c>
      <c r="N539" t="s">
        <v>79</v>
      </c>
      <c r="O539" t="s">
        <v>74</v>
      </c>
      <c r="P539" t="s">
        <v>74</v>
      </c>
      <c r="Q539" t="s">
        <v>74</v>
      </c>
      <c r="R539" t="s">
        <v>74</v>
      </c>
      <c r="S539" t="s">
        <v>74</v>
      </c>
      <c r="T539" t="s">
        <v>8675</v>
      </c>
      <c r="U539" t="s">
        <v>8676</v>
      </c>
      <c r="V539" t="s">
        <v>8677</v>
      </c>
      <c r="W539" t="s">
        <v>8678</v>
      </c>
      <c r="X539" t="s">
        <v>8679</v>
      </c>
      <c r="Y539" t="s">
        <v>8680</v>
      </c>
      <c r="Z539" t="s">
        <v>8681</v>
      </c>
      <c r="AA539" t="s">
        <v>8682</v>
      </c>
      <c r="AB539" t="s">
        <v>8683</v>
      </c>
      <c r="AC539" t="s">
        <v>74</v>
      </c>
      <c r="AD539" t="s">
        <v>74</v>
      </c>
      <c r="AE539" t="s">
        <v>74</v>
      </c>
      <c r="AF539" t="s">
        <v>74</v>
      </c>
      <c r="AG539">
        <v>16</v>
      </c>
      <c r="AH539">
        <v>6</v>
      </c>
      <c r="AI539">
        <v>6</v>
      </c>
      <c r="AJ539">
        <v>0</v>
      </c>
      <c r="AK539">
        <v>2</v>
      </c>
      <c r="AL539" t="s">
        <v>92</v>
      </c>
      <c r="AM539" t="s">
        <v>93</v>
      </c>
      <c r="AN539" t="s">
        <v>94</v>
      </c>
      <c r="AO539" t="s">
        <v>95</v>
      </c>
      <c r="AP539" t="s">
        <v>96</v>
      </c>
      <c r="AQ539" t="s">
        <v>74</v>
      </c>
      <c r="AR539" t="s">
        <v>97</v>
      </c>
      <c r="AS539" t="s">
        <v>98</v>
      </c>
      <c r="AT539" t="s">
        <v>471</v>
      </c>
      <c r="AU539">
        <v>2019</v>
      </c>
      <c r="AV539">
        <v>64</v>
      </c>
      <c r="AW539">
        <v>2</v>
      </c>
      <c r="AX539" t="s">
        <v>74</v>
      </c>
      <c r="AY539" t="s">
        <v>74</v>
      </c>
      <c r="AZ539" t="s">
        <v>74</v>
      </c>
      <c r="BA539" t="s">
        <v>74</v>
      </c>
      <c r="BB539" t="s">
        <v>74</v>
      </c>
      <c r="BC539" t="s">
        <v>74</v>
      </c>
      <c r="BD539">
        <v>25010</v>
      </c>
      <c r="BE539" t="s">
        <v>8684</v>
      </c>
      <c r="BF539" t="str">
        <f>HYPERLINK("http://dx.doi.org/10.1088/1361-6560/aaf7ce","http://dx.doi.org/10.1088/1361-6560/aaf7ce")</f>
        <v>http://dx.doi.org/10.1088/1361-6560/aaf7ce</v>
      </c>
      <c r="BG539" t="s">
        <v>74</v>
      </c>
      <c r="BH539" t="s">
        <v>74</v>
      </c>
      <c r="BI539">
        <v>15</v>
      </c>
      <c r="BJ539" t="s">
        <v>101</v>
      </c>
      <c r="BK539" t="s">
        <v>102</v>
      </c>
      <c r="BL539" t="s">
        <v>103</v>
      </c>
      <c r="BM539" t="s">
        <v>3082</v>
      </c>
      <c r="BN539">
        <v>30537699</v>
      </c>
      <c r="BO539" t="s">
        <v>74</v>
      </c>
      <c r="BP539" t="s">
        <v>74</v>
      </c>
      <c r="BQ539" t="s">
        <v>74</v>
      </c>
      <c r="BR539" t="s">
        <v>106</v>
      </c>
      <c r="BS539" t="s">
        <v>8685</v>
      </c>
      <c r="BT539" t="str">
        <f>HYPERLINK("https%3A%2F%2Fwww.webofscience.com%2Fwos%2Fwoscc%2Ffull-record%2FWOS:000455823300007","View Full Record in Web of Science")</f>
        <v>View Full Record in Web of Science</v>
      </c>
    </row>
    <row r="540" spans="1:72" x14ac:dyDescent="0.25">
      <c r="A540" t="s">
        <v>72</v>
      </c>
      <c r="B540" t="s">
        <v>8686</v>
      </c>
      <c r="C540" t="s">
        <v>74</v>
      </c>
      <c r="D540" t="s">
        <v>74</v>
      </c>
      <c r="E540" t="s">
        <v>74</v>
      </c>
      <c r="F540" t="s">
        <v>8687</v>
      </c>
      <c r="G540" t="s">
        <v>74</v>
      </c>
      <c r="H540" t="s">
        <v>74</v>
      </c>
      <c r="I540" t="s">
        <v>8688</v>
      </c>
      <c r="J540" t="s">
        <v>77</v>
      </c>
      <c r="K540" t="s">
        <v>74</v>
      </c>
      <c r="L540" t="s">
        <v>74</v>
      </c>
      <c r="M540" t="s">
        <v>78</v>
      </c>
      <c r="N540" t="s">
        <v>79</v>
      </c>
      <c r="O540" t="s">
        <v>74</v>
      </c>
      <c r="P540" t="s">
        <v>74</v>
      </c>
      <c r="Q540" t="s">
        <v>74</v>
      </c>
      <c r="R540" t="s">
        <v>74</v>
      </c>
      <c r="S540" t="s">
        <v>74</v>
      </c>
      <c r="T540" t="s">
        <v>8689</v>
      </c>
      <c r="U540" t="s">
        <v>8690</v>
      </c>
      <c r="V540" t="s">
        <v>8691</v>
      </c>
      <c r="W540" t="s">
        <v>8692</v>
      </c>
      <c r="X540" t="s">
        <v>8693</v>
      </c>
      <c r="Y540" t="s">
        <v>8694</v>
      </c>
      <c r="Z540" t="s">
        <v>8695</v>
      </c>
      <c r="AA540" t="s">
        <v>8696</v>
      </c>
      <c r="AB540" t="s">
        <v>74</v>
      </c>
      <c r="AC540" t="s">
        <v>8697</v>
      </c>
      <c r="AD540" t="s">
        <v>2379</v>
      </c>
      <c r="AE540" t="s">
        <v>8698</v>
      </c>
      <c r="AF540" t="s">
        <v>74</v>
      </c>
      <c r="AG540">
        <v>27</v>
      </c>
      <c r="AH540">
        <v>46</v>
      </c>
      <c r="AI540">
        <v>52</v>
      </c>
      <c r="AJ540">
        <v>3</v>
      </c>
      <c r="AK540">
        <v>55</v>
      </c>
      <c r="AL540" t="s">
        <v>92</v>
      </c>
      <c r="AM540" t="s">
        <v>93</v>
      </c>
      <c r="AN540" t="s">
        <v>94</v>
      </c>
      <c r="AO540" t="s">
        <v>95</v>
      </c>
      <c r="AP540" t="s">
        <v>96</v>
      </c>
      <c r="AQ540" t="s">
        <v>74</v>
      </c>
      <c r="AR540" t="s">
        <v>97</v>
      </c>
      <c r="AS540" t="s">
        <v>98</v>
      </c>
      <c r="AT540" t="s">
        <v>471</v>
      </c>
      <c r="AU540">
        <v>2019</v>
      </c>
      <c r="AV540">
        <v>64</v>
      </c>
      <c r="AW540">
        <v>2</v>
      </c>
      <c r="AX540" t="s">
        <v>74</v>
      </c>
      <c r="AY540" t="s">
        <v>74</v>
      </c>
      <c r="AZ540" t="s">
        <v>74</v>
      </c>
      <c r="BA540" t="s">
        <v>74</v>
      </c>
      <c r="BB540" t="s">
        <v>74</v>
      </c>
      <c r="BC540" t="s">
        <v>74</v>
      </c>
      <c r="BD540">
        <v>25005</v>
      </c>
      <c r="BE540" t="s">
        <v>8699</v>
      </c>
      <c r="BF540" t="str">
        <f>HYPERLINK("http://dx.doi.org/10.1088/1361-6560/aaf5da","http://dx.doi.org/10.1088/1361-6560/aaf5da")</f>
        <v>http://dx.doi.org/10.1088/1361-6560/aaf5da</v>
      </c>
      <c r="BG540" t="s">
        <v>74</v>
      </c>
      <c r="BH540" t="s">
        <v>74</v>
      </c>
      <c r="BI540">
        <v>13</v>
      </c>
      <c r="BJ540" t="s">
        <v>101</v>
      </c>
      <c r="BK540" t="s">
        <v>102</v>
      </c>
      <c r="BL540" t="s">
        <v>103</v>
      </c>
      <c r="BM540" t="s">
        <v>3082</v>
      </c>
      <c r="BN540">
        <v>30524024</v>
      </c>
      <c r="BO540" t="s">
        <v>74</v>
      </c>
      <c r="BP540" t="s">
        <v>74</v>
      </c>
      <c r="BQ540" t="s">
        <v>74</v>
      </c>
      <c r="BR540" t="s">
        <v>106</v>
      </c>
      <c r="BS540" t="s">
        <v>8700</v>
      </c>
      <c r="BT540" t="str">
        <f>HYPERLINK("https%3A%2F%2Fwww.webofscience.com%2Fwos%2Fwoscc%2Ffull-record%2FWOS:000455823300002","View Full Record in Web of Science")</f>
        <v>View Full Record in Web of Science</v>
      </c>
    </row>
    <row r="541" spans="1:72" x14ac:dyDescent="0.25">
      <c r="A541" t="s">
        <v>72</v>
      </c>
      <c r="B541" t="s">
        <v>8701</v>
      </c>
      <c r="C541" t="s">
        <v>74</v>
      </c>
      <c r="D541" t="s">
        <v>74</v>
      </c>
      <c r="E541" t="s">
        <v>74</v>
      </c>
      <c r="F541" t="s">
        <v>8702</v>
      </c>
      <c r="G541" t="s">
        <v>74</v>
      </c>
      <c r="H541" t="s">
        <v>74</v>
      </c>
      <c r="I541" t="s">
        <v>8703</v>
      </c>
      <c r="J541" t="s">
        <v>77</v>
      </c>
      <c r="K541" t="s">
        <v>74</v>
      </c>
      <c r="L541" t="s">
        <v>74</v>
      </c>
      <c r="M541" t="s">
        <v>78</v>
      </c>
      <c r="N541" t="s">
        <v>79</v>
      </c>
      <c r="O541" t="s">
        <v>74</v>
      </c>
      <c r="P541" t="s">
        <v>74</v>
      </c>
      <c r="Q541" t="s">
        <v>74</v>
      </c>
      <c r="R541" t="s">
        <v>74</v>
      </c>
      <c r="S541" t="s">
        <v>74</v>
      </c>
      <c r="T541" t="s">
        <v>8704</v>
      </c>
      <c r="U541" t="s">
        <v>8705</v>
      </c>
      <c r="V541" t="s">
        <v>8706</v>
      </c>
      <c r="W541" t="s">
        <v>8707</v>
      </c>
      <c r="X541" t="s">
        <v>8708</v>
      </c>
      <c r="Y541" t="s">
        <v>8709</v>
      </c>
      <c r="Z541" t="s">
        <v>8710</v>
      </c>
      <c r="AA541" t="s">
        <v>74</v>
      </c>
      <c r="AB541" t="s">
        <v>74</v>
      </c>
      <c r="AC541" t="s">
        <v>74</v>
      </c>
      <c r="AD541" t="s">
        <v>74</v>
      </c>
      <c r="AE541" t="s">
        <v>74</v>
      </c>
      <c r="AF541" t="s">
        <v>74</v>
      </c>
      <c r="AG541">
        <v>14</v>
      </c>
      <c r="AH541">
        <v>10</v>
      </c>
      <c r="AI541">
        <v>10</v>
      </c>
      <c r="AJ541">
        <v>0</v>
      </c>
      <c r="AK541">
        <v>2</v>
      </c>
      <c r="AL541" t="s">
        <v>92</v>
      </c>
      <c r="AM541" t="s">
        <v>93</v>
      </c>
      <c r="AN541" t="s">
        <v>94</v>
      </c>
      <c r="AO541" t="s">
        <v>95</v>
      </c>
      <c r="AP541" t="s">
        <v>96</v>
      </c>
      <c r="AQ541" t="s">
        <v>74</v>
      </c>
      <c r="AR541" t="s">
        <v>97</v>
      </c>
      <c r="AS541" t="s">
        <v>98</v>
      </c>
      <c r="AT541" t="s">
        <v>471</v>
      </c>
      <c r="AU541">
        <v>2019</v>
      </c>
      <c r="AV541">
        <v>64</v>
      </c>
      <c r="AW541">
        <v>1</v>
      </c>
      <c r="AX541" t="s">
        <v>74</v>
      </c>
      <c r="AY541" t="s">
        <v>74</v>
      </c>
      <c r="AZ541" t="s">
        <v>74</v>
      </c>
      <c r="BA541" t="s">
        <v>74</v>
      </c>
      <c r="BB541" t="s">
        <v>74</v>
      </c>
      <c r="BC541" t="s">
        <v>74</v>
      </c>
      <c r="BD541">
        <v>15009</v>
      </c>
      <c r="BE541" t="s">
        <v>8711</v>
      </c>
      <c r="BF541" t="str">
        <f>HYPERLINK("http://dx.doi.org/10.1088/1361-6560/aaf5ac","http://dx.doi.org/10.1088/1361-6560/aaf5ac")</f>
        <v>http://dx.doi.org/10.1088/1361-6560/aaf5ac</v>
      </c>
      <c r="BG541" t="s">
        <v>74</v>
      </c>
      <c r="BH541" t="s">
        <v>74</v>
      </c>
      <c r="BI541">
        <v>9</v>
      </c>
      <c r="BJ541" t="s">
        <v>101</v>
      </c>
      <c r="BK541" t="s">
        <v>102</v>
      </c>
      <c r="BL541" t="s">
        <v>103</v>
      </c>
      <c r="BM541" t="s">
        <v>1597</v>
      </c>
      <c r="BN541">
        <v>30524008</v>
      </c>
      <c r="BO541" t="s">
        <v>74</v>
      </c>
      <c r="BP541" t="s">
        <v>74</v>
      </c>
      <c r="BQ541" t="s">
        <v>74</v>
      </c>
      <c r="BR541" t="s">
        <v>106</v>
      </c>
      <c r="BS541" t="s">
        <v>8712</v>
      </c>
      <c r="BT541" t="str">
        <f>HYPERLINK("https%3A%2F%2Fwww.webofscience.com%2Fwos%2Fwoscc%2Ffull-record%2FWOS:000454239200002","View Full Record in Web of Science")</f>
        <v>View Full Record in Web of Science</v>
      </c>
    </row>
    <row r="542" spans="1:72" x14ac:dyDescent="0.25">
      <c r="A542" t="s">
        <v>72</v>
      </c>
      <c r="B542" t="s">
        <v>8713</v>
      </c>
      <c r="C542" t="s">
        <v>74</v>
      </c>
      <c r="D542" t="s">
        <v>74</v>
      </c>
      <c r="E542" t="s">
        <v>74</v>
      </c>
      <c r="F542" t="s">
        <v>8714</v>
      </c>
      <c r="G542" t="s">
        <v>74</v>
      </c>
      <c r="H542" t="s">
        <v>74</v>
      </c>
      <c r="I542" t="s">
        <v>8715</v>
      </c>
      <c r="J542" t="s">
        <v>77</v>
      </c>
      <c r="K542" t="s">
        <v>74</v>
      </c>
      <c r="L542" t="s">
        <v>74</v>
      </c>
      <c r="M542" t="s">
        <v>78</v>
      </c>
      <c r="N542" t="s">
        <v>79</v>
      </c>
      <c r="O542" t="s">
        <v>74</v>
      </c>
      <c r="P542" t="s">
        <v>74</v>
      </c>
      <c r="Q542" t="s">
        <v>74</v>
      </c>
      <c r="R542" t="s">
        <v>74</v>
      </c>
      <c r="S542" t="s">
        <v>74</v>
      </c>
      <c r="T542" t="s">
        <v>8716</v>
      </c>
      <c r="U542" t="s">
        <v>8717</v>
      </c>
      <c r="V542" t="s">
        <v>8718</v>
      </c>
      <c r="W542" t="s">
        <v>8719</v>
      </c>
      <c r="X542" t="s">
        <v>8720</v>
      </c>
      <c r="Y542" t="s">
        <v>8721</v>
      </c>
      <c r="Z542" t="s">
        <v>8722</v>
      </c>
      <c r="AA542" t="s">
        <v>8723</v>
      </c>
      <c r="AB542" t="s">
        <v>8724</v>
      </c>
      <c r="AC542" t="s">
        <v>8725</v>
      </c>
      <c r="AD542" t="s">
        <v>8726</v>
      </c>
      <c r="AE542" t="s">
        <v>8727</v>
      </c>
      <c r="AF542" t="s">
        <v>74</v>
      </c>
      <c r="AG542">
        <v>23</v>
      </c>
      <c r="AH542">
        <v>2</v>
      </c>
      <c r="AI542">
        <v>2</v>
      </c>
      <c r="AJ542">
        <v>0</v>
      </c>
      <c r="AK542">
        <v>4</v>
      </c>
      <c r="AL542" t="s">
        <v>92</v>
      </c>
      <c r="AM542" t="s">
        <v>93</v>
      </c>
      <c r="AN542" t="s">
        <v>94</v>
      </c>
      <c r="AO542" t="s">
        <v>95</v>
      </c>
      <c r="AP542" t="s">
        <v>96</v>
      </c>
      <c r="AQ542" t="s">
        <v>74</v>
      </c>
      <c r="AR542" t="s">
        <v>97</v>
      </c>
      <c r="AS542" t="s">
        <v>98</v>
      </c>
      <c r="AT542" t="s">
        <v>471</v>
      </c>
      <c r="AU542">
        <v>2019</v>
      </c>
      <c r="AV542">
        <v>64</v>
      </c>
      <c r="AW542">
        <v>1</v>
      </c>
      <c r="AX542" t="s">
        <v>74</v>
      </c>
      <c r="AY542" t="s">
        <v>74</v>
      </c>
      <c r="AZ542" t="s">
        <v>74</v>
      </c>
      <c r="BA542" t="s">
        <v>74</v>
      </c>
      <c r="BB542" t="s">
        <v>74</v>
      </c>
      <c r="BC542" t="s">
        <v>74</v>
      </c>
      <c r="BD542">
        <v>15010</v>
      </c>
      <c r="BE542" t="s">
        <v>8728</v>
      </c>
      <c r="BF542" t="str">
        <f>HYPERLINK("http://dx.doi.org/10.1088/1361-6560/aaf485","http://dx.doi.org/10.1088/1361-6560/aaf485")</f>
        <v>http://dx.doi.org/10.1088/1361-6560/aaf485</v>
      </c>
      <c r="BG542" t="s">
        <v>74</v>
      </c>
      <c r="BH542" t="s">
        <v>74</v>
      </c>
      <c r="BI542">
        <v>13</v>
      </c>
      <c r="BJ542" t="s">
        <v>101</v>
      </c>
      <c r="BK542" t="s">
        <v>102</v>
      </c>
      <c r="BL542" t="s">
        <v>103</v>
      </c>
      <c r="BM542" t="s">
        <v>1597</v>
      </c>
      <c r="BN542">
        <v>30524066</v>
      </c>
      <c r="BO542" t="s">
        <v>74</v>
      </c>
      <c r="BP542" t="s">
        <v>74</v>
      </c>
      <c r="BQ542" t="s">
        <v>74</v>
      </c>
      <c r="BR542" t="s">
        <v>106</v>
      </c>
      <c r="BS542" t="s">
        <v>8729</v>
      </c>
      <c r="BT542" t="str">
        <f>HYPERLINK("https%3A%2F%2Fwww.webofscience.com%2Fwos%2Fwoscc%2Ffull-record%2FWOS:000454239200003","View Full Record in Web of Science")</f>
        <v>View Full Record in Web of Science</v>
      </c>
    </row>
    <row r="543" spans="1:72" x14ac:dyDescent="0.25">
      <c r="A543" t="s">
        <v>72</v>
      </c>
      <c r="B543" t="s">
        <v>8730</v>
      </c>
      <c r="C543" t="s">
        <v>74</v>
      </c>
      <c r="D543" t="s">
        <v>74</v>
      </c>
      <c r="E543" t="s">
        <v>74</v>
      </c>
      <c r="F543" t="s">
        <v>8731</v>
      </c>
      <c r="G543" t="s">
        <v>74</v>
      </c>
      <c r="H543" t="s">
        <v>74</v>
      </c>
      <c r="I543" t="s">
        <v>8732</v>
      </c>
      <c r="J543" t="s">
        <v>77</v>
      </c>
      <c r="K543" t="s">
        <v>74</v>
      </c>
      <c r="L543" t="s">
        <v>74</v>
      </c>
      <c r="M543" t="s">
        <v>78</v>
      </c>
      <c r="N543" t="s">
        <v>79</v>
      </c>
      <c r="O543" t="s">
        <v>74</v>
      </c>
      <c r="P543" t="s">
        <v>74</v>
      </c>
      <c r="Q543" t="s">
        <v>74</v>
      </c>
      <c r="R543" t="s">
        <v>74</v>
      </c>
      <c r="S543" t="s">
        <v>74</v>
      </c>
      <c r="T543" t="s">
        <v>8733</v>
      </c>
      <c r="U543" t="s">
        <v>74</v>
      </c>
      <c r="V543" t="s">
        <v>8734</v>
      </c>
      <c r="W543" t="s">
        <v>8735</v>
      </c>
      <c r="X543" t="s">
        <v>8736</v>
      </c>
      <c r="Y543" t="s">
        <v>8737</v>
      </c>
      <c r="Z543" t="s">
        <v>8738</v>
      </c>
      <c r="AA543" t="s">
        <v>74</v>
      </c>
      <c r="AB543" t="s">
        <v>8739</v>
      </c>
      <c r="AC543" t="s">
        <v>8740</v>
      </c>
      <c r="AD543" t="s">
        <v>8740</v>
      </c>
      <c r="AE543" t="s">
        <v>8741</v>
      </c>
      <c r="AF543" t="s">
        <v>74</v>
      </c>
      <c r="AG543">
        <v>19</v>
      </c>
      <c r="AH543">
        <v>6</v>
      </c>
      <c r="AI543">
        <v>7</v>
      </c>
      <c r="AJ543">
        <v>0</v>
      </c>
      <c r="AK543">
        <v>2</v>
      </c>
      <c r="AL543" t="s">
        <v>92</v>
      </c>
      <c r="AM543" t="s">
        <v>93</v>
      </c>
      <c r="AN543" t="s">
        <v>94</v>
      </c>
      <c r="AO543" t="s">
        <v>95</v>
      </c>
      <c r="AP543" t="s">
        <v>96</v>
      </c>
      <c r="AQ543" t="s">
        <v>74</v>
      </c>
      <c r="AR543" t="s">
        <v>97</v>
      </c>
      <c r="AS543" t="s">
        <v>98</v>
      </c>
      <c r="AT543" t="s">
        <v>99</v>
      </c>
      <c r="AU543">
        <v>2019</v>
      </c>
      <c r="AV543">
        <v>64</v>
      </c>
      <c r="AW543">
        <v>23</v>
      </c>
      <c r="AX543" t="s">
        <v>74</v>
      </c>
      <c r="AY543" t="s">
        <v>74</v>
      </c>
      <c r="AZ543" t="s">
        <v>74</v>
      </c>
      <c r="BA543" t="s">
        <v>74</v>
      </c>
      <c r="BB543" t="s">
        <v>74</v>
      </c>
      <c r="BC543" t="s">
        <v>74</v>
      </c>
      <c r="BD543">
        <v>235016</v>
      </c>
      <c r="BE543" t="s">
        <v>8742</v>
      </c>
      <c r="BF543" t="str">
        <f>HYPERLINK("http://dx.doi.org/10.1088/1361-6560/ab4e78","http://dx.doi.org/10.1088/1361-6560/ab4e78")</f>
        <v>http://dx.doi.org/10.1088/1361-6560/ab4e78</v>
      </c>
      <c r="BG543" t="s">
        <v>74</v>
      </c>
      <c r="BH543" t="s">
        <v>74</v>
      </c>
      <c r="BI543">
        <v>9</v>
      </c>
      <c r="BJ543" t="s">
        <v>101</v>
      </c>
      <c r="BK543" t="s">
        <v>102</v>
      </c>
      <c r="BL543" t="s">
        <v>103</v>
      </c>
      <c r="BM543" t="s">
        <v>693</v>
      </c>
      <c r="BN543">
        <v>31618722</v>
      </c>
      <c r="BO543" t="s">
        <v>74</v>
      </c>
      <c r="BP543" t="s">
        <v>74</v>
      </c>
      <c r="BQ543" t="s">
        <v>74</v>
      </c>
      <c r="BR543" t="s">
        <v>106</v>
      </c>
      <c r="BS543" t="s">
        <v>8743</v>
      </c>
      <c r="BT543" t="str">
        <f>HYPERLINK("https%3A%2F%2Fwww.webofscience.com%2Fwos%2Fwoscc%2Ffull-record%2FWOS:000518765200006","View Full Record in Web of Science")</f>
        <v>View Full Record in Web of Science</v>
      </c>
    </row>
    <row r="544" spans="1:72" x14ac:dyDescent="0.25">
      <c r="A544" t="s">
        <v>72</v>
      </c>
      <c r="B544" t="s">
        <v>8744</v>
      </c>
      <c r="C544" t="s">
        <v>74</v>
      </c>
      <c r="D544" t="s">
        <v>74</v>
      </c>
      <c r="E544" t="s">
        <v>74</v>
      </c>
      <c r="F544" t="s">
        <v>8745</v>
      </c>
      <c r="G544" t="s">
        <v>74</v>
      </c>
      <c r="H544" t="s">
        <v>74</v>
      </c>
      <c r="I544" t="s">
        <v>8746</v>
      </c>
      <c r="J544" t="s">
        <v>77</v>
      </c>
      <c r="K544" t="s">
        <v>74</v>
      </c>
      <c r="L544" t="s">
        <v>74</v>
      </c>
      <c r="M544" t="s">
        <v>78</v>
      </c>
      <c r="N544" t="s">
        <v>79</v>
      </c>
      <c r="O544" t="s">
        <v>74</v>
      </c>
      <c r="P544" t="s">
        <v>74</v>
      </c>
      <c r="Q544" t="s">
        <v>74</v>
      </c>
      <c r="R544" t="s">
        <v>74</v>
      </c>
      <c r="S544" t="s">
        <v>74</v>
      </c>
      <c r="T544" t="s">
        <v>8747</v>
      </c>
      <c r="U544" t="s">
        <v>8748</v>
      </c>
      <c r="V544" t="s">
        <v>8749</v>
      </c>
      <c r="W544" t="s">
        <v>8750</v>
      </c>
      <c r="X544" t="s">
        <v>2589</v>
      </c>
      <c r="Y544" t="s">
        <v>8751</v>
      </c>
      <c r="Z544" t="s">
        <v>2591</v>
      </c>
      <c r="AA544" t="s">
        <v>8752</v>
      </c>
      <c r="AB544" t="s">
        <v>8753</v>
      </c>
      <c r="AC544" t="s">
        <v>2594</v>
      </c>
      <c r="AD544" t="s">
        <v>2595</v>
      </c>
      <c r="AE544" t="s">
        <v>2596</v>
      </c>
      <c r="AF544" t="s">
        <v>74</v>
      </c>
      <c r="AG544">
        <v>24</v>
      </c>
      <c r="AH544">
        <v>23</v>
      </c>
      <c r="AI544">
        <v>24</v>
      </c>
      <c r="AJ544">
        <v>1</v>
      </c>
      <c r="AK544">
        <v>29</v>
      </c>
      <c r="AL544" t="s">
        <v>92</v>
      </c>
      <c r="AM544" t="s">
        <v>93</v>
      </c>
      <c r="AN544" t="s">
        <v>94</v>
      </c>
      <c r="AO544" t="s">
        <v>95</v>
      </c>
      <c r="AP544" t="s">
        <v>96</v>
      </c>
      <c r="AQ544" t="s">
        <v>74</v>
      </c>
      <c r="AR544" t="s">
        <v>97</v>
      </c>
      <c r="AS544" t="s">
        <v>98</v>
      </c>
      <c r="AT544" t="s">
        <v>509</v>
      </c>
      <c r="AU544">
        <v>2019</v>
      </c>
      <c r="AV544">
        <v>64</v>
      </c>
      <c r="AW544">
        <v>20</v>
      </c>
      <c r="AX544" t="s">
        <v>74</v>
      </c>
      <c r="AY544" t="s">
        <v>74</v>
      </c>
      <c r="AZ544" t="s">
        <v>74</v>
      </c>
      <c r="BA544" t="s">
        <v>74</v>
      </c>
      <c r="BB544" t="s">
        <v>74</v>
      </c>
      <c r="BC544" t="s">
        <v>74</v>
      </c>
      <c r="BD544">
        <v>205004</v>
      </c>
      <c r="BE544" t="s">
        <v>8754</v>
      </c>
      <c r="BF544" t="str">
        <f>HYPERLINK("http://dx.doi.org/10.1088/1361-6560/ab44f4","http://dx.doi.org/10.1088/1361-6560/ab44f4")</f>
        <v>http://dx.doi.org/10.1088/1361-6560/ab44f4</v>
      </c>
      <c r="BG544" t="s">
        <v>74</v>
      </c>
      <c r="BH544" t="s">
        <v>74</v>
      </c>
      <c r="BI544">
        <v>9</v>
      </c>
      <c r="BJ544" t="s">
        <v>101</v>
      </c>
      <c r="BK544" t="s">
        <v>102</v>
      </c>
      <c r="BL544" t="s">
        <v>103</v>
      </c>
      <c r="BM544" t="s">
        <v>741</v>
      </c>
      <c r="BN544">
        <v>31530747</v>
      </c>
      <c r="BO544" t="s">
        <v>74</v>
      </c>
      <c r="BP544" t="s">
        <v>74</v>
      </c>
      <c r="BQ544" t="s">
        <v>74</v>
      </c>
      <c r="BR544" t="s">
        <v>106</v>
      </c>
      <c r="BS544" t="s">
        <v>8755</v>
      </c>
      <c r="BT544" t="str">
        <f>HYPERLINK("https%3A%2F%2Fwww.webofscience.com%2Fwos%2Fwoscc%2Ffull-record%2FWOS:000500247900004","View Full Record in Web of Science")</f>
        <v>View Full Record in Web of Science</v>
      </c>
    </row>
    <row r="545" spans="1:72" x14ac:dyDescent="0.25">
      <c r="A545" t="s">
        <v>72</v>
      </c>
      <c r="B545" t="s">
        <v>8756</v>
      </c>
      <c r="C545" t="s">
        <v>74</v>
      </c>
      <c r="D545" t="s">
        <v>74</v>
      </c>
      <c r="E545" t="s">
        <v>74</v>
      </c>
      <c r="F545" t="s">
        <v>8757</v>
      </c>
      <c r="G545" t="s">
        <v>74</v>
      </c>
      <c r="H545" t="s">
        <v>74</v>
      </c>
      <c r="I545" t="s">
        <v>8758</v>
      </c>
      <c r="J545" t="s">
        <v>77</v>
      </c>
      <c r="K545" t="s">
        <v>74</v>
      </c>
      <c r="L545" t="s">
        <v>74</v>
      </c>
      <c r="M545" t="s">
        <v>78</v>
      </c>
      <c r="N545" t="s">
        <v>79</v>
      </c>
      <c r="O545" t="s">
        <v>74</v>
      </c>
      <c r="P545" t="s">
        <v>74</v>
      </c>
      <c r="Q545" t="s">
        <v>74</v>
      </c>
      <c r="R545" t="s">
        <v>74</v>
      </c>
      <c r="S545" t="s">
        <v>74</v>
      </c>
      <c r="T545" t="s">
        <v>8759</v>
      </c>
      <c r="U545" t="s">
        <v>8760</v>
      </c>
      <c r="V545" t="s">
        <v>8761</v>
      </c>
      <c r="W545" t="s">
        <v>8762</v>
      </c>
      <c r="X545" t="s">
        <v>5177</v>
      </c>
      <c r="Y545" t="s">
        <v>5178</v>
      </c>
      <c r="Z545" t="s">
        <v>5179</v>
      </c>
      <c r="AA545" t="s">
        <v>8763</v>
      </c>
      <c r="AB545" t="s">
        <v>8764</v>
      </c>
      <c r="AC545" t="s">
        <v>5182</v>
      </c>
      <c r="AD545" t="s">
        <v>5183</v>
      </c>
      <c r="AE545" t="s">
        <v>8765</v>
      </c>
      <c r="AF545" t="s">
        <v>74</v>
      </c>
      <c r="AG545">
        <v>37</v>
      </c>
      <c r="AH545">
        <v>21</v>
      </c>
      <c r="AI545">
        <v>22</v>
      </c>
      <c r="AJ545">
        <v>0</v>
      </c>
      <c r="AK545">
        <v>9</v>
      </c>
      <c r="AL545" t="s">
        <v>92</v>
      </c>
      <c r="AM545" t="s">
        <v>93</v>
      </c>
      <c r="AN545" t="s">
        <v>94</v>
      </c>
      <c r="AO545" t="s">
        <v>95</v>
      </c>
      <c r="AP545" t="s">
        <v>96</v>
      </c>
      <c r="AQ545" t="s">
        <v>74</v>
      </c>
      <c r="AR545" t="s">
        <v>97</v>
      </c>
      <c r="AS545" t="s">
        <v>98</v>
      </c>
      <c r="AT545" t="s">
        <v>176</v>
      </c>
      <c r="AU545">
        <v>2019</v>
      </c>
      <c r="AV545">
        <v>64</v>
      </c>
      <c r="AW545">
        <v>18</v>
      </c>
      <c r="AX545" t="s">
        <v>74</v>
      </c>
      <c r="AY545" t="s">
        <v>74</v>
      </c>
      <c r="AZ545" t="s">
        <v>74</v>
      </c>
      <c r="BA545" t="s">
        <v>74</v>
      </c>
      <c r="BB545" t="s">
        <v>74</v>
      </c>
      <c r="BC545" t="s">
        <v>74</v>
      </c>
      <c r="BD545">
        <v>185015</v>
      </c>
      <c r="BE545" t="s">
        <v>8766</v>
      </c>
      <c r="BF545" t="str">
        <f>HYPERLINK("http://dx.doi.org/10.1088/1361-6560/ab32fe","http://dx.doi.org/10.1088/1361-6560/ab32fe")</f>
        <v>http://dx.doi.org/10.1088/1361-6560/ab32fe</v>
      </c>
      <c r="BG545" t="s">
        <v>74</v>
      </c>
      <c r="BH545" t="s">
        <v>74</v>
      </c>
      <c r="BI545">
        <v>15</v>
      </c>
      <c r="BJ545" t="s">
        <v>101</v>
      </c>
      <c r="BK545" t="s">
        <v>102</v>
      </c>
      <c r="BL545" t="s">
        <v>103</v>
      </c>
      <c r="BM545" t="s">
        <v>1992</v>
      </c>
      <c r="BN545">
        <v>31315093</v>
      </c>
      <c r="BO545" t="s">
        <v>105</v>
      </c>
      <c r="BP545" t="s">
        <v>74</v>
      </c>
      <c r="BQ545" t="s">
        <v>74</v>
      </c>
      <c r="BR545" t="s">
        <v>106</v>
      </c>
      <c r="BS545" t="s">
        <v>8767</v>
      </c>
      <c r="BT545" t="str">
        <f>HYPERLINK("https%3A%2F%2Fwww.webofscience.com%2Fwos%2Fwoscc%2Ffull-record%2FWOS:000487116400004","View Full Record in Web of Science")</f>
        <v>View Full Record in Web of Science</v>
      </c>
    </row>
    <row r="546" spans="1:72" x14ac:dyDescent="0.25">
      <c r="A546" t="s">
        <v>72</v>
      </c>
      <c r="B546" t="s">
        <v>8768</v>
      </c>
      <c r="C546" t="s">
        <v>74</v>
      </c>
      <c r="D546" t="s">
        <v>74</v>
      </c>
      <c r="E546" t="s">
        <v>74</v>
      </c>
      <c r="F546" t="s">
        <v>8769</v>
      </c>
      <c r="G546" t="s">
        <v>74</v>
      </c>
      <c r="H546" t="s">
        <v>74</v>
      </c>
      <c r="I546" t="s">
        <v>8770</v>
      </c>
      <c r="J546" t="s">
        <v>77</v>
      </c>
      <c r="K546" t="s">
        <v>74</v>
      </c>
      <c r="L546" t="s">
        <v>74</v>
      </c>
      <c r="M546" t="s">
        <v>78</v>
      </c>
      <c r="N546" t="s">
        <v>79</v>
      </c>
      <c r="O546" t="s">
        <v>74</v>
      </c>
      <c r="P546" t="s">
        <v>74</v>
      </c>
      <c r="Q546" t="s">
        <v>74</v>
      </c>
      <c r="R546" t="s">
        <v>74</v>
      </c>
      <c r="S546" t="s">
        <v>74</v>
      </c>
      <c r="T546" t="s">
        <v>8771</v>
      </c>
      <c r="U546" t="s">
        <v>8772</v>
      </c>
      <c r="V546" t="s">
        <v>8773</v>
      </c>
      <c r="W546" t="s">
        <v>8774</v>
      </c>
      <c r="X546" t="s">
        <v>4532</v>
      </c>
      <c r="Y546" t="s">
        <v>8775</v>
      </c>
      <c r="Z546" t="s">
        <v>8776</v>
      </c>
      <c r="AA546" t="s">
        <v>8777</v>
      </c>
      <c r="AB546" t="s">
        <v>8778</v>
      </c>
      <c r="AC546" t="s">
        <v>8779</v>
      </c>
      <c r="AD546" t="s">
        <v>8780</v>
      </c>
      <c r="AE546" t="s">
        <v>8781</v>
      </c>
      <c r="AF546" t="s">
        <v>74</v>
      </c>
      <c r="AG546">
        <v>45</v>
      </c>
      <c r="AH546">
        <v>25</v>
      </c>
      <c r="AI546">
        <v>28</v>
      </c>
      <c r="AJ546">
        <v>1</v>
      </c>
      <c r="AK546">
        <v>6</v>
      </c>
      <c r="AL546" t="s">
        <v>157</v>
      </c>
      <c r="AM546" t="s">
        <v>93</v>
      </c>
      <c r="AN546" t="s">
        <v>94</v>
      </c>
      <c r="AO546" t="s">
        <v>95</v>
      </c>
      <c r="AP546" t="s">
        <v>96</v>
      </c>
      <c r="AQ546" t="s">
        <v>74</v>
      </c>
      <c r="AR546" t="s">
        <v>97</v>
      </c>
      <c r="AS546" t="s">
        <v>98</v>
      </c>
      <c r="AT546" t="s">
        <v>176</v>
      </c>
      <c r="AU546">
        <v>2019</v>
      </c>
      <c r="AV546">
        <v>64</v>
      </c>
      <c r="AW546">
        <v>17</v>
      </c>
      <c r="AX546" t="s">
        <v>74</v>
      </c>
      <c r="AY546" t="s">
        <v>74</v>
      </c>
      <c r="AZ546" t="s">
        <v>74</v>
      </c>
      <c r="BA546" t="s">
        <v>74</v>
      </c>
      <c r="BB546" t="s">
        <v>74</v>
      </c>
      <c r="BC546" t="s">
        <v>74</v>
      </c>
      <c r="BD546">
        <v>175023</v>
      </c>
      <c r="BE546" t="s">
        <v>8782</v>
      </c>
      <c r="BF546" t="str">
        <f>HYPERLINK("http://dx.doi.org/10.1088/1361-6560/ab1f29","http://dx.doi.org/10.1088/1361-6560/ab1f29")</f>
        <v>http://dx.doi.org/10.1088/1361-6560/ab1f29</v>
      </c>
      <c r="BG546" t="s">
        <v>74</v>
      </c>
      <c r="BH546" t="s">
        <v>74</v>
      </c>
      <c r="BI546">
        <v>18</v>
      </c>
      <c r="BJ546" t="s">
        <v>101</v>
      </c>
      <c r="BK546" t="s">
        <v>102</v>
      </c>
      <c r="BL546" t="s">
        <v>103</v>
      </c>
      <c r="BM546" t="s">
        <v>178</v>
      </c>
      <c r="BN546">
        <v>31051490</v>
      </c>
      <c r="BO546" t="s">
        <v>795</v>
      </c>
      <c r="BP546" t="s">
        <v>74</v>
      </c>
      <c r="BQ546" t="s">
        <v>74</v>
      </c>
      <c r="BR546" t="s">
        <v>106</v>
      </c>
      <c r="BS546" t="s">
        <v>8783</v>
      </c>
      <c r="BT546" t="str">
        <f>HYPERLINK("https%3A%2F%2Fwww.webofscience.com%2Fwos%2Fwoscc%2Ffull-record%2FWOS:000484728400008","View Full Record in Web of Science")</f>
        <v>View Full Record in Web of Science</v>
      </c>
    </row>
    <row r="547" spans="1:72" x14ac:dyDescent="0.25">
      <c r="A547" t="s">
        <v>72</v>
      </c>
      <c r="B547" t="s">
        <v>8784</v>
      </c>
      <c r="C547" t="s">
        <v>74</v>
      </c>
      <c r="D547" t="s">
        <v>74</v>
      </c>
      <c r="E547" t="s">
        <v>74</v>
      </c>
      <c r="F547" t="s">
        <v>8785</v>
      </c>
      <c r="G547" t="s">
        <v>74</v>
      </c>
      <c r="H547" t="s">
        <v>74</v>
      </c>
      <c r="I547" t="s">
        <v>8786</v>
      </c>
      <c r="J547" t="s">
        <v>77</v>
      </c>
      <c r="K547" t="s">
        <v>74</v>
      </c>
      <c r="L547" t="s">
        <v>74</v>
      </c>
      <c r="M547" t="s">
        <v>78</v>
      </c>
      <c r="N547" t="s">
        <v>79</v>
      </c>
      <c r="O547" t="s">
        <v>74</v>
      </c>
      <c r="P547" t="s">
        <v>74</v>
      </c>
      <c r="Q547" t="s">
        <v>74</v>
      </c>
      <c r="R547" t="s">
        <v>74</v>
      </c>
      <c r="S547" t="s">
        <v>74</v>
      </c>
      <c r="T547" t="s">
        <v>8787</v>
      </c>
      <c r="U547" t="s">
        <v>8788</v>
      </c>
      <c r="V547" t="s">
        <v>8789</v>
      </c>
      <c r="W547" t="s">
        <v>8790</v>
      </c>
      <c r="X547" t="s">
        <v>8791</v>
      </c>
      <c r="Y547" t="s">
        <v>8792</v>
      </c>
      <c r="Z547" t="s">
        <v>8793</v>
      </c>
      <c r="AA547" t="s">
        <v>8794</v>
      </c>
      <c r="AB547" t="s">
        <v>8795</v>
      </c>
      <c r="AC547" t="s">
        <v>74</v>
      </c>
      <c r="AD547" t="s">
        <v>74</v>
      </c>
      <c r="AE547" t="s">
        <v>74</v>
      </c>
      <c r="AF547" t="s">
        <v>74</v>
      </c>
      <c r="AG547">
        <v>47</v>
      </c>
      <c r="AH547">
        <v>28</v>
      </c>
      <c r="AI547">
        <v>29</v>
      </c>
      <c r="AJ547">
        <v>0</v>
      </c>
      <c r="AK547">
        <v>5</v>
      </c>
      <c r="AL547" t="s">
        <v>157</v>
      </c>
      <c r="AM547" t="s">
        <v>93</v>
      </c>
      <c r="AN547" t="s">
        <v>94</v>
      </c>
      <c r="AO547" t="s">
        <v>95</v>
      </c>
      <c r="AP547" t="s">
        <v>96</v>
      </c>
      <c r="AQ547" t="s">
        <v>74</v>
      </c>
      <c r="AR547" t="s">
        <v>97</v>
      </c>
      <c r="AS547" t="s">
        <v>98</v>
      </c>
      <c r="AT547" t="s">
        <v>196</v>
      </c>
      <c r="AU547">
        <v>2019</v>
      </c>
      <c r="AV547">
        <v>64</v>
      </c>
      <c r="AW547">
        <v>15</v>
      </c>
      <c r="AX547" t="s">
        <v>74</v>
      </c>
      <c r="AY547" t="s">
        <v>74</v>
      </c>
      <c r="AZ547" t="s">
        <v>74</v>
      </c>
      <c r="BA547" t="s">
        <v>74</v>
      </c>
      <c r="BB547" t="s">
        <v>74</v>
      </c>
      <c r="BC547" t="s">
        <v>74</v>
      </c>
      <c r="BD547">
        <v>155016</v>
      </c>
      <c r="BE547" t="s">
        <v>8796</v>
      </c>
      <c r="BF547" t="str">
        <f>HYPERLINK("http://dx.doi.org/10.1088/1361-6560/ab31d4","http://dx.doi.org/10.1088/1361-6560/ab31d4")</f>
        <v>http://dx.doi.org/10.1088/1361-6560/ab31d4</v>
      </c>
      <c r="BG547" t="s">
        <v>74</v>
      </c>
      <c r="BH547" t="s">
        <v>74</v>
      </c>
      <c r="BI547">
        <v>26</v>
      </c>
      <c r="BJ547" t="s">
        <v>101</v>
      </c>
      <c r="BK547" t="s">
        <v>102</v>
      </c>
      <c r="BL547" t="s">
        <v>103</v>
      </c>
      <c r="BM547" t="s">
        <v>198</v>
      </c>
      <c r="BN547">
        <v>31300616</v>
      </c>
      <c r="BO547" t="s">
        <v>829</v>
      </c>
      <c r="BP547" t="s">
        <v>74</v>
      </c>
      <c r="BQ547" t="s">
        <v>74</v>
      </c>
      <c r="BR547" t="s">
        <v>106</v>
      </c>
      <c r="BS547" t="s">
        <v>8797</v>
      </c>
      <c r="BT547" t="str">
        <f>HYPERLINK("https%3A%2F%2Fwww.webofscience.com%2Fwos%2Fwoscc%2Ffull-record%2FWOS:000480292700011","View Full Record in Web of Science")</f>
        <v>View Full Record in Web of Science</v>
      </c>
    </row>
    <row r="548" spans="1:72" x14ac:dyDescent="0.25">
      <c r="A548" t="s">
        <v>72</v>
      </c>
      <c r="B548" t="s">
        <v>8798</v>
      </c>
      <c r="C548" t="s">
        <v>74</v>
      </c>
      <c r="D548" t="s">
        <v>74</v>
      </c>
      <c r="E548" t="s">
        <v>74</v>
      </c>
      <c r="F548" t="s">
        <v>8799</v>
      </c>
      <c r="G548" t="s">
        <v>74</v>
      </c>
      <c r="H548" t="s">
        <v>74</v>
      </c>
      <c r="I548" t="s">
        <v>8800</v>
      </c>
      <c r="J548" t="s">
        <v>77</v>
      </c>
      <c r="K548" t="s">
        <v>74</v>
      </c>
      <c r="L548" t="s">
        <v>74</v>
      </c>
      <c r="M548" t="s">
        <v>78</v>
      </c>
      <c r="N548" t="s">
        <v>79</v>
      </c>
      <c r="O548" t="s">
        <v>74</v>
      </c>
      <c r="P548" t="s">
        <v>74</v>
      </c>
      <c r="Q548" t="s">
        <v>74</v>
      </c>
      <c r="R548" t="s">
        <v>74</v>
      </c>
      <c r="S548" t="s">
        <v>74</v>
      </c>
      <c r="T548" t="s">
        <v>8801</v>
      </c>
      <c r="U548" t="s">
        <v>8802</v>
      </c>
      <c r="V548" t="s">
        <v>8803</v>
      </c>
      <c r="W548" t="s">
        <v>8804</v>
      </c>
      <c r="X548" t="s">
        <v>8805</v>
      </c>
      <c r="Y548" t="s">
        <v>8806</v>
      </c>
      <c r="Z548" t="s">
        <v>8807</v>
      </c>
      <c r="AA548" t="s">
        <v>8808</v>
      </c>
      <c r="AB548" t="s">
        <v>8809</v>
      </c>
      <c r="AC548" t="s">
        <v>8810</v>
      </c>
      <c r="AD548" t="s">
        <v>8811</v>
      </c>
      <c r="AE548" t="s">
        <v>8812</v>
      </c>
      <c r="AF548" t="s">
        <v>74</v>
      </c>
      <c r="AG548">
        <v>28</v>
      </c>
      <c r="AH548">
        <v>7</v>
      </c>
      <c r="AI548">
        <v>7</v>
      </c>
      <c r="AJ548">
        <v>0</v>
      </c>
      <c r="AK548">
        <v>9</v>
      </c>
      <c r="AL548" t="s">
        <v>92</v>
      </c>
      <c r="AM548" t="s">
        <v>93</v>
      </c>
      <c r="AN548" t="s">
        <v>94</v>
      </c>
      <c r="AO548" t="s">
        <v>95</v>
      </c>
      <c r="AP548" t="s">
        <v>96</v>
      </c>
      <c r="AQ548" t="s">
        <v>74</v>
      </c>
      <c r="AR548" t="s">
        <v>97</v>
      </c>
      <c r="AS548" t="s">
        <v>98</v>
      </c>
      <c r="AT548" t="s">
        <v>214</v>
      </c>
      <c r="AU548">
        <v>2019</v>
      </c>
      <c r="AV548">
        <v>64</v>
      </c>
      <c r="AW548">
        <v>13</v>
      </c>
      <c r="AX548" t="s">
        <v>74</v>
      </c>
      <c r="AY548" t="s">
        <v>74</v>
      </c>
      <c r="AZ548" t="s">
        <v>74</v>
      </c>
      <c r="BA548" t="s">
        <v>74</v>
      </c>
      <c r="BB548" t="s">
        <v>74</v>
      </c>
      <c r="BC548" t="s">
        <v>74</v>
      </c>
      <c r="BD548">
        <v>135002</v>
      </c>
      <c r="BE548" t="s">
        <v>8813</v>
      </c>
      <c r="BF548" t="str">
        <f>HYPERLINK("http://dx.doi.org/10.1088/1361-6560/ab277e","http://dx.doi.org/10.1088/1361-6560/ab277e")</f>
        <v>http://dx.doi.org/10.1088/1361-6560/ab277e</v>
      </c>
      <c r="BG548" t="s">
        <v>74</v>
      </c>
      <c r="BH548" t="s">
        <v>74</v>
      </c>
      <c r="BI548">
        <v>11</v>
      </c>
      <c r="BJ548" t="s">
        <v>101</v>
      </c>
      <c r="BK548" t="s">
        <v>102</v>
      </c>
      <c r="BL548" t="s">
        <v>103</v>
      </c>
      <c r="BM548" t="s">
        <v>216</v>
      </c>
      <c r="BN548">
        <v>31170698</v>
      </c>
      <c r="BO548" t="s">
        <v>74</v>
      </c>
      <c r="BP548" t="s">
        <v>74</v>
      </c>
      <c r="BQ548" t="s">
        <v>74</v>
      </c>
      <c r="BR548" t="s">
        <v>106</v>
      </c>
      <c r="BS548" t="s">
        <v>8814</v>
      </c>
      <c r="BT548" t="str">
        <f>HYPERLINK("https%3A%2F%2Fwww.webofscience.com%2Fwos%2Fwoscc%2Ffull-record%2FWOS:000473698800002","View Full Record in Web of Science")</f>
        <v>View Full Record in Web of Science</v>
      </c>
    </row>
    <row r="549" spans="1:72" x14ac:dyDescent="0.25">
      <c r="A549" t="s">
        <v>72</v>
      </c>
      <c r="B549" t="s">
        <v>8815</v>
      </c>
      <c r="C549" t="s">
        <v>74</v>
      </c>
      <c r="D549" t="s">
        <v>74</v>
      </c>
      <c r="E549" t="s">
        <v>74</v>
      </c>
      <c r="F549" t="s">
        <v>8816</v>
      </c>
      <c r="G549" t="s">
        <v>74</v>
      </c>
      <c r="H549" t="s">
        <v>74</v>
      </c>
      <c r="I549" t="s">
        <v>8817</v>
      </c>
      <c r="J549" t="s">
        <v>77</v>
      </c>
      <c r="K549" t="s">
        <v>74</v>
      </c>
      <c r="L549" t="s">
        <v>74</v>
      </c>
      <c r="M549" t="s">
        <v>78</v>
      </c>
      <c r="N549" t="s">
        <v>79</v>
      </c>
      <c r="O549" t="s">
        <v>74</v>
      </c>
      <c r="P549" t="s">
        <v>74</v>
      </c>
      <c r="Q549" t="s">
        <v>74</v>
      </c>
      <c r="R549" t="s">
        <v>74</v>
      </c>
      <c r="S549" t="s">
        <v>74</v>
      </c>
      <c r="T549" t="s">
        <v>8818</v>
      </c>
      <c r="U549" t="s">
        <v>8819</v>
      </c>
      <c r="V549" t="s">
        <v>8820</v>
      </c>
      <c r="W549" t="s">
        <v>8821</v>
      </c>
      <c r="X549" t="s">
        <v>8822</v>
      </c>
      <c r="Y549" t="s">
        <v>8823</v>
      </c>
      <c r="Z549" t="s">
        <v>8824</v>
      </c>
      <c r="AA549" t="s">
        <v>8825</v>
      </c>
      <c r="AB549" t="s">
        <v>8826</v>
      </c>
      <c r="AC549" t="s">
        <v>8827</v>
      </c>
      <c r="AD549" t="s">
        <v>8828</v>
      </c>
      <c r="AE549" t="s">
        <v>8829</v>
      </c>
      <c r="AF549" t="s">
        <v>74</v>
      </c>
      <c r="AG549">
        <v>30</v>
      </c>
      <c r="AH549">
        <v>4</v>
      </c>
      <c r="AI549">
        <v>4</v>
      </c>
      <c r="AJ549">
        <v>3</v>
      </c>
      <c r="AK549">
        <v>22</v>
      </c>
      <c r="AL549" t="s">
        <v>92</v>
      </c>
      <c r="AM549" t="s">
        <v>93</v>
      </c>
      <c r="AN549" t="s">
        <v>94</v>
      </c>
      <c r="AO549" t="s">
        <v>95</v>
      </c>
      <c r="AP549" t="s">
        <v>96</v>
      </c>
      <c r="AQ549" t="s">
        <v>74</v>
      </c>
      <c r="AR549" t="s">
        <v>97</v>
      </c>
      <c r="AS549" t="s">
        <v>98</v>
      </c>
      <c r="AT549" t="s">
        <v>214</v>
      </c>
      <c r="AU549">
        <v>2019</v>
      </c>
      <c r="AV549">
        <v>64</v>
      </c>
      <c r="AW549">
        <v>13</v>
      </c>
      <c r="AX549" t="s">
        <v>74</v>
      </c>
      <c r="AY549" t="s">
        <v>74</v>
      </c>
      <c r="AZ549" t="s">
        <v>74</v>
      </c>
      <c r="BA549" t="s">
        <v>74</v>
      </c>
      <c r="BB549" t="s">
        <v>74</v>
      </c>
      <c r="BC549" t="s">
        <v>74</v>
      </c>
      <c r="BD549">
        <v>135008</v>
      </c>
      <c r="BE549" t="s">
        <v>8830</v>
      </c>
      <c r="BF549" t="str">
        <f>HYPERLINK("http://dx.doi.org/10.1088/1361-6560/ab1149","http://dx.doi.org/10.1088/1361-6560/ab1149")</f>
        <v>http://dx.doi.org/10.1088/1361-6560/ab1149</v>
      </c>
      <c r="BG549" t="s">
        <v>74</v>
      </c>
      <c r="BH549" t="s">
        <v>74</v>
      </c>
      <c r="BI549">
        <v>17</v>
      </c>
      <c r="BJ549" t="s">
        <v>101</v>
      </c>
      <c r="BK549" t="s">
        <v>102</v>
      </c>
      <c r="BL549" t="s">
        <v>103</v>
      </c>
      <c r="BM549" t="s">
        <v>216</v>
      </c>
      <c r="BN549">
        <v>30893656</v>
      </c>
      <c r="BO549" t="s">
        <v>74</v>
      </c>
      <c r="BP549" t="s">
        <v>74</v>
      </c>
      <c r="BQ549" t="s">
        <v>74</v>
      </c>
      <c r="BR549" t="s">
        <v>106</v>
      </c>
      <c r="BS549" t="s">
        <v>8831</v>
      </c>
      <c r="BT549" t="str">
        <f>HYPERLINK("https%3A%2F%2Fwww.webofscience.com%2Fwos%2Fwoscc%2Ffull-record%2FWOS:000473698800008","View Full Record in Web of Science")</f>
        <v>View Full Record in Web of Science</v>
      </c>
    </row>
    <row r="550" spans="1:72" x14ac:dyDescent="0.25">
      <c r="A550" t="s">
        <v>72</v>
      </c>
      <c r="B550" t="s">
        <v>8832</v>
      </c>
      <c r="C550" t="s">
        <v>74</v>
      </c>
      <c r="D550" t="s">
        <v>74</v>
      </c>
      <c r="E550" t="s">
        <v>74</v>
      </c>
      <c r="F550" t="s">
        <v>8833</v>
      </c>
      <c r="G550" t="s">
        <v>74</v>
      </c>
      <c r="H550" t="s">
        <v>74</v>
      </c>
      <c r="I550" t="s">
        <v>8834</v>
      </c>
      <c r="J550" t="s">
        <v>77</v>
      </c>
      <c r="K550" t="s">
        <v>74</v>
      </c>
      <c r="L550" t="s">
        <v>74</v>
      </c>
      <c r="M550" t="s">
        <v>78</v>
      </c>
      <c r="N550" t="s">
        <v>79</v>
      </c>
      <c r="O550" t="s">
        <v>74</v>
      </c>
      <c r="P550" t="s">
        <v>74</v>
      </c>
      <c r="Q550" t="s">
        <v>74</v>
      </c>
      <c r="R550" t="s">
        <v>74</v>
      </c>
      <c r="S550" t="s">
        <v>74</v>
      </c>
      <c r="T550" t="s">
        <v>8835</v>
      </c>
      <c r="U550" t="s">
        <v>8836</v>
      </c>
      <c r="V550" t="s">
        <v>8837</v>
      </c>
      <c r="W550" t="s">
        <v>8838</v>
      </c>
      <c r="X550" t="s">
        <v>8839</v>
      </c>
      <c r="Y550" t="s">
        <v>8840</v>
      </c>
      <c r="Z550" t="s">
        <v>8841</v>
      </c>
      <c r="AA550" t="s">
        <v>74</v>
      </c>
      <c r="AB550" t="s">
        <v>74</v>
      </c>
      <c r="AC550" t="s">
        <v>8842</v>
      </c>
      <c r="AD550" t="s">
        <v>8843</v>
      </c>
      <c r="AE550" t="s">
        <v>8844</v>
      </c>
      <c r="AF550" t="s">
        <v>74</v>
      </c>
      <c r="AG550">
        <v>52</v>
      </c>
      <c r="AH550">
        <v>6</v>
      </c>
      <c r="AI550">
        <v>7</v>
      </c>
      <c r="AJ550">
        <v>1</v>
      </c>
      <c r="AK550">
        <v>18</v>
      </c>
      <c r="AL550" t="s">
        <v>157</v>
      </c>
      <c r="AM550" t="s">
        <v>93</v>
      </c>
      <c r="AN550" t="s">
        <v>94</v>
      </c>
      <c r="AO550" t="s">
        <v>95</v>
      </c>
      <c r="AP550" t="s">
        <v>96</v>
      </c>
      <c r="AQ550" t="s">
        <v>74</v>
      </c>
      <c r="AR550" t="s">
        <v>97</v>
      </c>
      <c r="AS550" t="s">
        <v>98</v>
      </c>
      <c r="AT550" t="s">
        <v>250</v>
      </c>
      <c r="AU550">
        <v>2019</v>
      </c>
      <c r="AV550">
        <v>64</v>
      </c>
      <c r="AW550">
        <v>12</v>
      </c>
      <c r="AX550" t="s">
        <v>74</v>
      </c>
      <c r="AY550" t="s">
        <v>74</v>
      </c>
      <c r="AZ550" t="s">
        <v>74</v>
      </c>
      <c r="BA550" t="s">
        <v>74</v>
      </c>
      <c r="BB550" t="s">
        <v>74</v>
      </c>
      <c r="BC550" t="s">
        <v>74</v>
      </c>
      <c r="BD550">
        <v>125006</v>
      </c>
      <c r="BE550" t="s">
        <v>8845</v>
      </c>
      <c r="BF550" t="str">
        <f>HYPERLINK("http://dx.doi.org/10.1088/1361-6560/ab1ad0","http://dx.doi.org/10.1088/1361-6560/ab1ad0")</f>
        <v>http://dx.doi.org/10.1088/1361-6560/ab1ad0</v>
      </c>
      <c r="BG550" t="s">
        <v>74</v>
      </c>
      <c r="BH550" t="s">
        <v>74</v>
      </c>
      <c r="BI550">
        <v>16</v>
      </c>
      <c r="BJ550" t="s">
        <v>101</v>
      </c>
      <c r="BK550" t="s">
        <v>102</v>
      </c>
      <c r="BL550" t="s">
        <v>103</v>
      </c>
      <c r="BM550" t="s">
        <v>252</v>
      </c>
      <c r="BN550">
        <v>30999285</v>
      </c>
      <c r="BO550" t="s">
        <v>74</v>
      </c>
      <c r="BP550" t="s">
        <v>74</v>
      </c>
      <c r="BQ550" t="s">
        <v>74</v>
      </c>
      <c r="BR550" t="s">
        <v>106</v>
      </c>
      <c r="BS550" t="s">
        <v>8846</v>
      </c>
      <c r="BT550" t="str">
        <f>HYPERLINK("https%3A%2F%2Fwww.webofscience.com%2Fwos%2Fwoscc%2Ffull-record%2FWOS:000471317900001","View Full Record in Web of Science")</f>
        <v>View Full Record in Web of Science</v>
      </c>
    </row>
    <row r="551" spans="1:72" x14ac:dyDescent="0.25">
      <c r="A551" t="s">
        <v>72</v>
      </c>
      <c r="B551" t="s">
        <v>8847</v>
      </c>
      <c r="C551" t="s">
        <v>74</v>
      </c>
      <c r="D551" t="s">
        <v>74</v>
      </c>
      <c r="E551" t="s">
        <v>74</v>
      </c>
      <c r="F551" t="s">
        <v>8848</v>
      </c>
      <c r="G551" t="s">
        <v>74</v>
      </c>
      <c r="H551" t="s">
        <v>74</v>
      </c>
      <c r="I551" t="s">
        <v>8849</v>
      </c>
      <c r="J551" t="s">
        <v>77</v>
      </c>
      <c r="K551" t="s">
        <v>74</v>
      </c>
      <c r="L551" t="s">
        <v>74</v>
      </c>
      <c r="M551" t="s">
        <v>78</v>
      </c>
      <c r="N551" t="s">
        <v>79</v>
      </c>
      <c r="O551" t="s">
        <v>74</v>
      </c>
      <c r="P551" t="s">
        <v>74</v>
      </c>
      <c r="Q551" t="s">
        <v>74</v>
      </c>
      <c r="R551" t="s">
        <v>74</v>
      </c>
      <c r="S551" t="s">
        <v>74</v>
      </c>
      <c r="T551" t="s">
        <v>8850</v>
      </c>
      <c r="U551" t="s">
        <v>8851</v>
      </c>
      <c r="V551" t="s">
        <v>8852</v>
      </c>
      <c r="W551" t="s">
        <v>8853</v>
      </c>
      <c r="X551" t="s">
        <v>8854</v>
      </c>
      <c r="Y551" t="s">
        <v>8855</v>
      </c>
      <c r="Z551" t="s">
        <v>8856</v>
      </c>
      <c r="AA551" t="s">
        <v>8857</v>
      </c>
      <c r="AB551" t="s">
        <v>74</v>
      </c>
      <c r="AC551" t="s">
        <v>8858</v>
      </c>
      <c r="AD551" t="s">
        <v>8859</v>
      </c>
      <c r="AE551" t="s">
        <v>8860</v>
      </c>
      <c r="AF551" t="s">
        <v>74</v>
      </c>
      <c r="AG551">
        <v>39</v>
      </c>
      <c r="AH551">
        <v>0</v>
      </c>
      <c r="AI551">
        <v>0</v>
      </c>
      <c r="AJ551">
        <v>0</v>
      </c>
      <c r="AK551">
        <v>4</v>
      </c>
      <c r="AL551" t="s">
        <v>92</v>
      </c>
      <c r="AM551" t="s">
        <v>93</v>
      </c>
      <c r="AN551" t="s">
        <v>94</v>
      </c>
      <c r="AO551" t="s">
        <v>95</v>
      </c>
      <c r="AP551" t="s">
        <v>96</v>
      </c>
      <c r="AQ551" t="s">
        <v>74</v>
      </c>
      <c r="AR551" t="s">
        <v>97</v>
      </c>
      <c r="AS551" t="s">
        <v>98</v>
      </c>
      <c r="AT551" t="s">
        <v>250</v>
      </c>
      <c r="AU551">
        <v>2019</v>
      </c>
      <c r="AV551">
        <v>64</v>
      </c>
      <c r="AW551">
        <v>12</v>
      </c>
      <c r="AX551" t="s">
        <v>74</v>
      </c>
      <c r="AY551" t="s">
        <v>74</v>
      </c>
      <c r="AZ551" t="s">
        <v>74</v>
      </c>
      <c r="BA551" t="s">
        <v>74</v>
      </c>
      <c r="BB551" t="s">
        <v>74</v>
      </c>
      <c r="BC551" t="s">
        <v>74</v>
      </c>
      <c r="BD551">
        <v>125009</v>
      </c>
      <c r="BE551" t="s">
        <v>8861</v>
      </c>
      <c r="BF551" t="str">
        <f>HYPERLINK("http://dx.doi.org/10.1088/1361-6560/ab0ddf","http://dx.doi.org/10.1088/1361-6560/ab0ddf")</f>
        <v>http://dx.doi.org/10.1088/1361-6560/ab0ddf</v>
      </c>
      <c r="BG551" t="s">
        <v>74</v>
      </c>
      <c r="BH551" t="s">
        <v>74</v>
      </c>
      <c r="BI551">
        <v>8</v>
      </c>
      <c r="BJ551" t="s">
        <v>101</v>
      </c>
      <c r="BK551" t="s">
        <v>102</v>
      </c>
      <c r="BL551" t="s">
        <v>103</v>
      </c>
      <c r="BM551" t="s">
        <v>252</v>
      </c>
      <c r="BN551">
        <v>30844768</v>
      </c>
      <c r="BO551" t="s">
        <v>74</v>
      </c>
      <c r="BP551" t="s">
        <v>74</v>
      </c>
      <c r="BQ551" t="s">
        <v>74</v>
      </c>
      <c r="BR551" t="s">
        <v>106</v>
      </c>
      <c r="BS551" t="s">
        <v>8862</v>
      </c>
      <c r="BT551" t="str">
        <f>HYPERLINK("https%3A%2F%2Fwww.webofscience.com%2Fwos%2Fwoscc%2Ffull-record%2FWOS:000471317900004","View Full Record in Web of Science")</f>
        <v>View Full Record in Web of Science</v>
      </c>
    </row>
    <row r="552" spans="1:72" x14ac:dyDescent="0.25">
      <c r="A552" t="s">
        <v>72</v>
      </c>
      <c r="B552" t="s">
        <v>8863</v>
      </c>
      <c r="C552" t="s">
        <v>74</v>
      </c>
      <c r="D552" t="s">
        <v>74</v>
      </c>
      <c r="E552" t="s">
        <v>74</v>
      </c>
      <c r="F552" t="s">
        <v>8864</v>
      </c>
      <c r="G552" t="s">
        <v>74</v>
      </c>
      <c r="H552" t="s">
        <v>74</v>
      </c>
      <c r="I552" t="s">
        <v>8865</v>
      </c>
      <c r="J552" t="s">
        <v>77</v>
      </c>
      <c r="K552" t="s">
        <v>74</v>
      </c>
      <c r="L552" t="s">
        <v>74</v>
      </c>
      <c r="M552" t="s">
        <v>78</v>
      </c>
      <c r="N552" t="s">
        <v>79</v>
      </c>
      <c r="O552" t="s">
        <v>74</v>
      </c>
      <c r="P552" t="s">
        <v>74</v>
      </c>
      <c r="Q552" t="s">
        <v>74</v>
      </c>
      <c r="R552" t="s">
        <v>74</v>
      </c>
      <c r="S552" t="s">
        <v>74</v>
      </c>
      <c r="T552" t="s">
        <v>8866</v>
      </c>
      <c r="U552" t="s">
        <v>8867</v>
      </c>
      <c r="V552" t="s">
        <v>8868</v>
      </c>
      <c r="W552" t="s">
        <v>8869</v>
      </c>
      <c r="X552" t="s">
        <v>8870</v>
      </c>
      <c r="Y552" t="s">
        <v>8871</v>
      </c>
      <c r="Z552" t="s">
        <v>8872</v>
      </c>
      <c r="AA552" t="s">
        <v>8873</v>
      </c>
      <c r="AB552" t="s">
        <v>8874</v>
      </c>
      <c r="AC552" t="s">
        <v>8875</v>
      </c>
      <c r="AD552" t="s">
        <v>8876</v>
      </c>
      <c r="AE552" t="s">
        <v>8877</v>
      </c>
      <c r="AF552" t="s">
        <v>74</v>
      </c>
      <c r="AG552">
        <v>52</v>
      </c>
      <c r="AH552">
        <v>40</v>
      </c>
      <c r="AI552">
        <v>43</v>
      </c>
      <c r="AJ552">
        <v>4</v>
      </c>
      <c r="AK552">
        <v>52</v>
      </c>
      <c r="AL552" t="s">
        <v>157</v>
      </c>
      <c r="AM552" t="s">
        <v>93</v>
      </c>
      <c r="AN552" t="s">
        <v>94</v>
      </c>
      <c r="AO552" t="s">
        <v>95</v>
      </c>
      <c r="AP552" t="s">
        <v>96</v>
      </c>
      <c r="AQ552" t="s">
        <v>74</v>
      </c>
      <c r="AR552" t="s">
        <v>97</v>
      </c>
      <c r="AS552" t="s">
        <v>98</v>
      </c>
      <c r="AT552" t="s">
        <v>250</v>
      </c>
      <c r="AU552">
        <v>2019</v>
      </c>
      <c r="AV552">
        <v>64</v>
      </c>
      <c r="AW552">
        <v>11</v>
      </c>
      <c r="AX552" t="s">
        <v>74</v>
      </c>
      <c r="AY552" t="s">
        <v>74</v>
      </c>
      <c r="AZ552" t="s">
        <v>74</v>
      </c>
      <c r="BA552" t="s">
        <v>74</v>
      </c>
      <c r="BB552" t="s">
        <v>74</v>
      </c>
      <c r="BC552" t="s">
        <v>74</v>
      </c>
      <c r="BD552">
        <v>115011</v>
      </c>
      <c r="BE552" t="s">
        <v>8878</v>
      </c>
      <c r="BF552" t="str">
        <f>HYPERLINK("http://dx.doi.org/10.1088/1361-6560/ab1aba","http://dx.doi.org/10.1088/1361-6560/ab1aba")</f>
        <v>http://dx.doi.org/10.1088/1361-6560/ab1aba</v>
      </c>
      <c r="BG552" t="s">
        <v>74</v>
      </c>
      <c r="BH552" t="s">
        <v>74</v>
      </c>
      <c r="BI552">
        <v>13</v>
      </c>
      <c r="BJ552" t="s">
        <v>101</v>
      </c>
      <c r="BK552" t="s">
        <v>102</v>
      </c>
      <c r="BL552" t="s">
        <v>103</v>
      </c>
      <c r="BM552" t="s">
        <v>287</v>
      </c>
      <c r="BN552">
        <v>30999287</v>
      </c>
      <c r="BO552" t="s">
        <v>74</v>
      </c>
      <c r="BP552" t="s">
        <v>74</v>
      </c>
      <c r="BQ552" t="s">
        <v>74</v>
      </c>
      <c r="BR552" t="s">
        <v>106</v>
      </c>
      <c r="BS552" t="s">
        <v>8879</v>
      </c>
      <c r="BT552" t="str">
        <f>HYPERLINK("https%3A%2F%2Fwww.webofscience.com%2Fwos%2Fwoscc%2Ffull-record%2FWOS:000469802000003","View Full Record in Web of Science")</f>
        <v>View Full Record in Web of Science</v>
      </c>
    </row>
    <row r="553" spans="1:72" x14ac:dyDescent="0.25">
      <c r="A553" t="s">
        <v>72</v>
      </c>
      <c r="B553" t="s">
        <v>8880</v>
      </c>
      <c r="C553" t="s">
        <v>74</v>
      </c>
      <c r="D553" t="s">
        <v>74</v>
      </c>
      <c r="E553" t="s">
        <v>74</v>
      </c>
      <c r="F553" t="s">
        <v>8881</v>
      </c>
      <c r="G553" t="s">
        <v>74</v>
      </c>
      <c r="H553" t="s">
        <v>74</v>
      </c>
      <c r="I553" t="s">
        <v>8882</v>
      </c>
      <c r="J553" t="s">
        <v>77</v>
      </c>
      <c r="K553" t="s">
        <v>74</v>
      </c>
      <c r="L553" t="s">
        <v>74</v>
      </c>
      <c r="M553" t="s">
        <v>78</v>
      </c>
      <c r="N553" t="s">
        <v>79</v>
      </c>
      <c r="O553" t="s">
        <v>74</v>
      </c>
      <c r="P553" t="s">
        <v>74</v>
      </c>
      <c r="Q553" t="s">
        <v>74</v>
      </c>
      <c r="R553" t="s">
        <v>74</v>
      </c>
      <c r="S553" t="s">
        <v>74</v>
      </c>
      <c r="T553" t="s">
        <v>8883</v>
      </c>
      <c r="U553" t="s">
        <v>8884</v>
      </c>
      <c r="V553" t="s">
        <v>8885</v>
      </c>
      <c r="W553" t="s">
        <v>8886</v>
      </c>
      <c r="X553" t="s">
        <v>1337</v>
      </c>
      <c r="Y553" t="s">
        <v>8887</v>
      </c>
      <c r="Z553" t="s">
        <v>1339</v>
      </c>
      <c r="AA553" t="s">
        <v>8888</v>
      </c>
      <c r="AB553" t="s">
        <v>8889</v>
      </c>
      <c r="AC553" t="s">
        <v>74</v>
      </c>
      <c r="AD553" t="s">
        <v>74</v>
      </c>
      <c r="AE553" t="s">
        <v>74</v>
      </c>
      <c r="AF553" t="s">
        <v>74</v>
      </c>
      <c r="AG553">
        <v>20</v>
      </c>
      <c r="AH553">
        <v>10</v>
      </c>
      <c r="AI553">
        <v>10</v>
      </c>
      <c r="AJ553">
        <v>0</v>
      </c>
      <c r="AK553">
        <v>0</v>
      </c>
      <c r="AL553" t="s">
        <v>92</v>
      </c>
      <c r="AM553" t="s">
        <v>93</v>
      </c>
      <c r="AN553" t="s">
        <v>94</v>
      </c>
      <c r="AO553" t="s">
        <v>95</v>
      </c>
      <c r="AP553" t="s">
        <v>96</v>
      </c>
      <c r="AQ553" t="s">
        <v>74</v>
      </c>
      <c r="AR553" t="s">
        <v>97</v>
      </c>
      <c r="AS553" t="s">
        <v>98</v>
      </c>
      <c r="AT553" t="s">
        <v>370</v>
      </c>
      <c r="AU553">
        <v>2019</v>
      </c>
      <c r="AV553">
        <v>64</v>
      </c>
      <c r="AW553">
        <v>10</v>
      </c>
      <c r="AX553" t="s">
        <v>74</v>
      </c>
      <c r="AY553" t="s">
        <v>74</v>
      </c>
      <c r="AZ553" t="s">
        <v>74</v>
      </c>
      <c r="BA553" t="s">
        <v>74</v>
      </c>
      <c r="BB553" t="s">
        <v>74</v>
      </c>
      <c r="BC553" t="s">
        <v>74</v>
      </c>
      <c r="BD553">
        <v>105001</v>
      </c>
      <c r="BE553" t="s">
        <v>8890</v>
      </c>
      <c r="BF553" t="str">
        <f>HYPERLINK("http://dx.doi.org/10.1088/1361-6560/ab1a68","http://dx.doi.org/10.1088/1361-6560/ab1a68")</f>
        <v>http://dx.doi.org/10.1088/1361-6560/ab1a68</v>
      </c>
      <c r="BG553" t="s">
        <v>74</v>
      </c>
      <c r="BH553" t="s">
        <v>74</v>
      </c>
      <c r="BI553">
        <v>11</v>
      </c>
      <c r="BJ553" t="s">
        <v>101</v>
      </c>
      <c r="BK553" t="s">
        <v>102</v>
      </c>
      <c r="BL553" t="s">
        <v>103</v>
      </c>
      <c r="BM553" t="s">
        <v>3890</v>
      </c>
      <c r="BN553">
        <v>30995618</v>
      </c>
      <c r="BO553" t="s">
        <v>74</v>
      </c>
      <c r="BP553" t="s">
        <v>74</v>
      </c>
      <c r="BQ553" t="s">
        <v>74</v>
      </c>
      <c r="BR553" t="s">
        <v>106</v>
      </c>
      <c r="BS553" t="s">
        <v>8891</v>
      </c>
      <c r="BT553" t="str">
        <f>HYPERLINK("https%3A%2F%2Fwww.webofscience.com%2Fwos%2Fwoscc%2Ffull-record%2FWOS:000467464500001","View Full Record in Web of Science")</f>
        <v>View Full Record in Web of Science</v>
      </c>
    </row>
    <row r="554" spans="1:72" x14ac:dyDescent="0.25">
      <c r="A554" t="s">
        <v>72</v>
      </c>
      <c r="B554" t="s">
        <v>8892</v>
      </c>
      <c r="C554" t="s">
        <v>74</v>
      </c>
      <c r="D554" t="s">
        <v>74</v>
      </c>
      <c r="E554" t="s">
        <v>74</v>
      </c>
      <c r="F554" t="s">
        <v>8893</v>
      </c>
      <c r="G554" t="s">
        <v>74</v>
      </c>
      <c r="H554" t="s">
        <v>74</v>
      </c>
      <c r="I554" t="s">
        <v>8894</v>
      </c>
      <c r="J554" t="s">
        <v>77</v>
      </c>
      <c r="K554" t="s">
        <v>74</v>
      </c>
      <c r="L554" t="s">
        <v>74</v>
      </c>
      <c r="M554" t="s">
        <v>78</v>
      </c>
      <c r="N554" t="s">
        <v>79</v>
      </c>
      <c r="O554" t="s">
        <v>74</v>
      </c>
      <c r="P554" t="s">
        <v>74</v>
      </c>
      <c r="Q554" t="s">
        <v>74</v>
      </c>
      <c r="R554" t="s">
        <v>74</v>
      </c>
      <c r="S554" t="s">
        <v>74</v>
      </c>
      <c r="T554" t="s">
        <v>8895</v>
      </c>
      <c r="U554" t="s">
        <v>74</v>
      </c>
      <c r="V554" t="s">
        <v>8896</v>
      </c>
      <c r="W554" t="s">
        <v>8897</v>
      </c>
      <c r="X554" t="s">
        <v>8898</v>
      </c>
      <c r="Y554" t="s">
        <v>8899</v>
      </c>
      <c r="Z554" t="s">
        <v>8900</v>
      </c>
      <c r="AA554" t="s">
        <v>8901</v>
      </c>
      <c r="AB554" t="s">
        <v>8902</v>
      </c>
      <c r="AC554" t="s">
        <v>8903</v>
      </c>
      <c r="AD554" t="s">
        <v>8904</v>
      </c>
      <c r="AE554" t="s">
        <v>8905</v>
      </c>
      <c r="AF554" t="s">
        <v>74</v>
      </c>
      <c r="AG554">
        <v>28</v>
      </c>
      <c r="AH554">
        <v>8</v>
      </c>
      <c r="AI554">
        <v>11</v>
      </c>
      <c r="AJ554">
        <v>0</v>
      </c>
      <c r="AK554">
        <v>17</v>
      </c>
      <c r="AL554" t="s">
        <v>92</v>
      </c>
      <c r="AM554" t="s">
        <v>93</v>
      </c>
      <c r="AN554" t="s">
        <v>94</v>
      </c>
      <c r="AO554" t="s">
        <v>95</v>
      </c>
      <c r="AP554" t="s">
        <v>96</v>
      </c>
      <c r="AQ554" t="s">
        <v>74</v>
      </c>
      <c r="AR554" t="s">
        <v>97</v>
      </c>
      <c r="AS554" t="s">
        <v>98</v>
      </c>
      <c r="AT554" t="s">
        <v>386</v>
      </c>
      <c r="AU554">
        <v>2019</v>
      </c>
      <c r="AV554">
        <v>64</v>
      </c>
      <c r="AW554">
        <v>8</v>
      </c>
      <c r="AX554" t="s">
        <v>74</v>
      </c>
      <c r="AY554" t="s">
        <v>74</v>
      </c>
      <c r="AZ554" t="s">
        <v>74</v>
      </c>
      <c r="BA554" t="s">
        <v>74</v>
      </c>
      <c r="BB554" t="s">
        <v>74</v>
      </c>
      <c r="BC554" t="s">
        <v>74</v>
      </c>
      <c r="BD554">
        <v>85003</v>
      </c>
      <c r="BE554" t="s">
        <v>8906</v>
      </c>
      <c r="BF554" t="str">
        <f>HYPERLINK("http://dx.doi.org/10.1088/1361-6560/ab084a","http://dx.doi.org/10.1088/1361-6560/ab084a")</f>
        <v>http://dx.doi.org/10.1088/1361-6560/ab084a</v>
      </c>
      <c r="BG554" t="s">
        <v>74</v>
      </c>
      <c r="BH554" t="s">
        <v>74</v>
      </c>
      <c r="BI554">
        <v>11</v>
      </c>
      <c r="BJ554" t="s">
        <v>101</v>
      </c>
      <c r="BK554" t="s">
        <v>102</v>
      </c>
      <c r="BL554" t="s">
        <v>103</v>
      </c>
      <c r="BM554" t="s">
        <v>3036</v>
      </c>
      <c r="BN554">
        <v>30780134</v>
      </c>
      <c r="BO554" t="s">
        <v>74</v>
      </c>
      <c r="BP554" t="s">
        <v>74</v>
      </c>
      <c r="BQ554" t="s">
        <v>74</v>
      </c>
      <c r="BR554" t="s">
        <v>106</v>
      </c>
      <c r="BS554" t="s">
        <v>8907</v>
      </c>
      <c r="BT554" t="str">
        <f>HYPERLINK("https%3A%2F%2Fwww.webofscience.com%2Fwos%2Fwoscc%2Ffull-record%2FWOS:000518923400003","View Full Record in Web of Science")</f>
        <v>View Full Record in Web of Science</v>
      </c>
    </row>
    <row r="555" spans="1:72" x14ac:dyDescent="0.25">
      <c r="A555" t="s">
        <v>72</v>
      </c>
      <c r="B555" t="s">
        <v>8908</v>
      </c>
      <c r="C555" t="s">
        <v>74</v>
      </c>
      <c r="D555" t="s">
        <v>74</v>
      </c>
      <c r="E555" t="s">
        <v>74</v>
      </c>
      <c r="F555" t="s">
        <v>8909</v>
      </c>
      <c r="G555" t="s">
        <v>74</v>
      </c>
      <c r="H555" t="s">
        <v>74</v>
      </c>
      <c r="I555" t="s">
        <v>8910</v>
      </c>
      <c r="J555" t="s">
        <v>77</v>
      </c>
      <c r="K555" t="s">
        <v>74</v>
      </c>
      <c r="L555" t="s">
        <v>74</v>
      </c>
      <c r="M555" t="s">
        <v>78</v>
      </c>
      <c r="N555" t="s">
        <v>79</v>
      </c>
      <c r="O555" t="s">
        <v>74</v>
      </c>
      <c r="P555" t="s">
        <v>74</v>
      </c>
      <c r="Q555" t="s">
        <v>74</v>
      </c>
      <c r="R555" t="s">
        <v>74</v>
      </c>
      <c r="S555" t="s">
        <v>74</v>
      </c>
      <c r="T555" t="s">
        <v>8911</v>
      </c>
      <c r="U555" t="s">
        <v>8912</v>
      </c>
      <c r="V555" t="s">
        <v>8913</v>
      </c>
      <c r="W555" t="s">
        <v>8914</v>
      </c>
      <c r="X555" t="s">
        <v>1186</v>
      </c>
      <c r="Y555" t="s">
        <v>8915</v>
      </c>
      <c r="Z555" t="s">
        <v>8916</v>
      </c>
      <c r="AA555" t="s">
        <v>8917</v>
      </c>
      <c r="AB555" t="s">
        <v>8918</v>
      </c>
      <c r="AC555" t="s">
        <v>74</v>
      </c>
      <c r="AD555" t="s">
        <v>74</v>
      </c>
      <c r="AE555" t="s">
        <v>74</v>
      </c>
      <c r="AF555" t="s">
        <v>74</v>
      </c>
      <c r="AG555">
        <v>22</v>
      </c>
      <c r="AH555">
        <v>34</v>
      </c>
      <c r="AI555">
        <v>38</v>
      </c>
      <c r="AJ555">
        <v>4</v>
      </c>
      <c r="AK555">
        <v>10</v>
      </c>
      <c r="AL555" t="s">
        <v>92</v>
      </c>
      <c r="AM555" t="s">
        <v>93</v>
      </c>
      <c r="AN555" t="s">
        <v>94</v>
      </c>
      <c r="AO555" t="s">
        <v>95</v>
      </c>
      <c r="AP555" t="s">
        <v>96</v>
      </c>
      <c r="AQ555" t="s">
        <v>74</v>
      </c>
      <c r="AR555" t="s">
        <v>97</v>
      </c>
      <c r="AS555" t="s">
        <v>98</v>
      </c>
      <c r="AT555" t="s">
        <v>436</v>
      </c>
      <c r="AU555">
        <v>2019</v>
      </c>
      <c r="AV555">
        <v>64</v>
      </c>
      <c r="AW555">
        <v>5</v>
      </c>
      <c r="AX555" t="s">
        <v>74</v>
      </c>
      <c r="AY555" t="s">
        <v>74</v>
      </c>
      <c r="AZ555" t="s">
        <v>74</v>
      </c>
      <c r="BA555" t="s">
        <v>74</v>
      </c>
      <c r="BB555" t="s">
        <v>74</v>
      </c>
      <c r="BC555" t="s">
        <v>74</v>
      </c>
      <c r="BD555">
        <v>55015</v>
      </c>
      <c r="BE555" t="s">
        <v>8919</v>
      </c>
      <c r="BF555" t="str">
        <f>HYPERLINK("http://dx.doi.org/10.1088/1361-6560/ab0114","http://dx.doi.org/10.1088/1361-6560/ab0114")</f>
        <v>http://dx.doi.org/10.1088/1361-6560/ab0114</v>
      </c>
      <c r="BG555" t="s">
        <v>74</v>
      </c>
      <c r="BH555" t="s">
        <v>74</v>
      </c>
      <c r="BI555">
        <v>8</v>
      </c>
      <c r="BJ555" t="s">
        <v>101</v>
      </c>
      <c r="BK555" t="s">
        <v>102</v>
      </c>
      <c r="BL555" t="s">
        <v>103</v>
      </c>
      <c r="BM555" t="s">
        <v>1878</v>
      </c>
      <c r="BN555">
        <v>30673655</v>
      </c>
      <c r="BO555" t="s">
        <v>74</v>
      </c>
      <c r="BP555" t="s">
        <v>74</v>
      </c>
      <c r="BQ555" t="s">
        <v>74</v>
      </c>
      <c r="BR555" t="s">
        <v>106</v>
      </c>
      <c r="BS555" t="s">
        <v>8920</v>
      </c>
      <c r="BT555" t="str">
        <f>HYPERLINK("https%3A%2F%2Fwww.webofscience.com%2Fwos%2Fwoscc%2Ffull-record%2FWOS:000460772200003","View Full Record in Web of Science")</f>
        <v>View Full Record in Web of Science</v>
      </c>
    </row>
    <row r="556" spans="1:72" x14ac:dyDescent="0.25">
      <c r="A556" t="s">
        <v>72</v>
      </c>
      <c r="B556" t="s">
        <v>8921</v>
      </c>
      <c r="C556" t="s">
        <v>74</v>
      </c>
      <c r="D556" t="s">
        <v>74</v>
      </c>
      <c r="E556" t="s">
        <v>74</v>
      </c>
      <c r="F556" t="s">
        <v>8922</v>
      </c>
      <c r="G556" t="s">
        <v>74</v>
      </c>
      <c r="H556" t="s">
        <v>74</v>
      </c>
      <c r="I556" t="s">
        <v>8923</v>
      </c>
      <c r="J556" t="s">
        <v>77</v>
      </c>
      <c r="K556" t="s">
        <v>74</v>
      </c>
      <c r="L556" t="s">
        <v>74</v>
      </c>
      <c r="M556" t="s">
        <v>78</v>
      </c>
      <c r="N556" t="s">
        <v>79</v>
      </c>
      <c r="O556" t="s">
        <v>74</v>
      </c>
      <c r="P556" t="s">
        <v>74</v>
      </c>
      <c r="Q556" t="s">
        <v>74</v>
      </c>
      <c r="R556" t="s">
        <v>74</v>
      </c>
      <c r="S556" t="s">
        <v>74</v>
      </c>
      <c r="T556" t="s">
        <v>8924</v>
      </c>
      <c r="U556" t="s">
        <v>8925</v>
      </c>
      <c r="V556" t="s">
        <v>8926</v>
      </c>
      <c r="W556" t="s">
        <v>8927</v>
      </c>
      <c r="X556" t="s">
        <v>8928</v>
      </c>
      <c r="Y556" t="s">
        <v>8929</v>
      </c>
      <c r="Z556" t="s">
        <v>8930</v>
      </c>
      <c r="AA556" t="s">
        <v>8931</v>
      </c>
      <c r="AB556" t="s">
        <v>8932</v>
      </c>
      <c r="AC556" t="s">
        <v>74</v>
      </c>
      <c r="AD556" t="s">
        <v>74</v>
      </c>
      <c r="AE556" t="s">
        <v>74</v>
      </c>
      <c r="AF556" t="s">
        <v>74</v>
      </c>
      <c r="AG556">
        <v>22</v>
      </c>
      <c r="AH556">
        <v>2</v>
      </c>
      <c r="AI556">
        <v>2</v>
      </c>
      <c r="AJ556">
        <v>0</v>
      </c>
      <c r="AK556">
        <v>2</v>
      </c>
      <c r="AL556" t="s">
        <v>92</v>
      </c>
      <c r="AM556" t="s">
        <v>93</v>
      </c>
      <c r="AN556" t="s">
        <v>94</v>
      </c>
      <c r="AO556" t="s">
        <v>95</v>
      </c>
      <c r="AP556" t="s">
        <v>96</v>
      </c>
      <c r="AQ556" t="s">
        <v>74</v>
      </c>
      <c r="AR556" t="s">
        <v>97</v>
      </c>
      <c r="AS556" t="s">
        <v>98</v>
      </c>
      <c r="AT556" t="s">
        <v>646</v>
      </c>
      <c r="AU556">
        <v>2019</v>
      </c>
      <c r="AV556">
        <v>64</v>
      </c>
      <c r="AW556">
        <v>4</v>
      </c>
      <c r="AX556" t="s">
        <v>74</v>
      </c>
      <c r="AY556" t="s">
        <v>74</v>
      </c>
      <c r="AZ556" t="s">
        <v>74</v>
      </c>
      <c r="BA556" t="s">
        <v>74</v>
      </c>
      <c r="BB556" t="s">
        <v>74</v>
      </c>
      <c r="BC556" t="s">
        <v>74</v>
      </c>
      <c r="BD556" t="s">
        <v>8933</v>
      </c>
      <c r="BE556" t="s">
        <v>8934</v>
      </c>
      <c r="BF556" t="str">
        <f>HYPERLINK("http://dx.doi.org/10.1088/1361-6560/aafcca","http://dx.doi.org/10.1088/1361-6560/aafcca")</f>
        <v>http://dx.doi.org/10.1088/1361-6560/aafcca</v>
      </c>
      <c r="BG556" t="s">
        <v>74</v>
      </c>
      <c r="BH556" t="s">
        <v>74</v>
      </c>
      <c r="BI556">
        <v>9</v>
      </c>
      <c r="BJ556" t="s">
        <v>101</v>
      </c>
      <c r="BK556" t="s">
        <v>102</v>
      </c>
      <c r="BL556" t="s">
        <v>103</v>
      </c>
      <c r="BM556" t="s">
        <v>1296</v>
      </c>
      <c r="BN556">
        <v>30625450</v>
      </c>
      <c r="BO556" t="s">
        <v>74</v>
      </c>
      <c r="BP556" t="s">
        <v>74</v>
      </c>
      <c r="BQ556" t="s">
        <v>74</v>
      </c>
      <c r="BR556" t="s">
        <v>106</v>
      </c>
      <c r="BS556" t="s">
        <v>8935</v>
      </c>
      <c r="BT556" t="str">
        <f>HYPERLINK("https%3A%2F%2Fwww.webofscience.com%2Fwos%2Fwoscc%2Ffull-record%2FWOS:000458375600002","View Full Record in Web of Science")</f>
        <v>View Full Record in Web of Science</v>
      </c>
    </row>
    <row r="557" spans="1:72" x14ac:dyDescent="0.25">
      <c r="A557" t="s">
        <v>72</v>
      </c>
      <c r="B557" t="s">
        <v>8936</v>
      </c>
      <c r="C557" t="s">
        <v>74</v>
      </c>
      <c r="D557" t="s">
        <v>74</v>
      </c>
      <c r="E557" t="s">
        <v>74</v>
      </c>
      <c r="F557" t="s">
        <v>8937</v>
      </c>
      <c r="G557" t="s">
        <v>74</v>
      </c>
      <c r="H557" t="s">
        <v>74</v>
      </c>
      <c r="I557" t="s">
        <v>8938</v>
      </c>
      <c r="J557" t="s">
        <v>77</v>
      </c>
      <c r="K557" t="s">
        <v>74</v>
      </c>
      <c r="L557" t="s">
        <v>74</v>
      </c>
      <c r="M557" t="s">
        <v>78</v>
      </c>
      <c r="N557" t="s">
        <v>79</v>
      </c>
      <c r="O557" t="s">
        <v>74</v>
      </c>
      <c r="P557" t="s">
        <v>74</v>
      </c>
      <c r="Q557" t="s">
        <v>74</v>
      </c>
      <c r="R557" t="s">
        <v>74</v>
      </c>
      <c r="S557" t="s">
        <v>74</v>
      </c>
      <c r="T557" t="s">
        <v>8939</v>
      </c>
      <c r="U557" t="s">
        <v>8940</v>
      </c>
      <c r="V557" t="s">
        <v>8941</v>
      </c>
      <c r="W557" t="s">
        <v>8942</v>
      </c>
      <c r="X557" t="s">
        <v>8943</v>
      </c>
      <c r="Y557" t="s">
        <v>8944</v>
      </c>
      <c r="Z557" t="s">
        <v>8945</v>
      </c>
      <c r="AA557" t="s">
        <v>8946</v>
      </c>
      <c r="AB557" t="s">
        <v>8947</v>
      </c>
      <c r="AC557" t="s">
        <v>8948</v>
      </c>
      <c r="AD557" t="s">
        <v>8949</v>
      </c>
      <c r="AE557" t="s">
        <v>8950</v>
      </c>
      <c r="AF557" t="s">
        <v>74</v>
      </c>
      <c r="AG557">
        <v>49</v>
      </c>
      <c r="AH557">
        <v>22</v>
      </c>
      <c r="AI557">
        <v>29</v>
      </c>
      <c r="AJ557">
        <v>1</v>
      </c>
      <c r="AK557">
        <v>8</v>
      </c>
      <c r="AL557" t="s">
        <v>92</v>
      </c>
      <c r="AM557" t="s">
        <v>93</v>
      </c>
      <c r="AN557" t="s">
        <v>94</v>
      </c>
      <c r="AO557" t="s">
        <v>95</v>
      </c>
      <c r="AP557" t="s">
        <v>96</v>
      </c>
      <c r="AQ557" t="s">
        <v>74</v>
      </c>
      <c r="AR557" t="s">
        <v>97</v>
      </c>
      <c r="AS557" t="s">
        <v>98</v>
      </c>
      <c r="AT557" t="s">
        <v>471</v>
      </c>
      <c r="AU557">
        <v>2019</v>
      </c>
      <c r="AV557">
        <v>64</v>
      </c>
      <c r="AW557">
        <v>2</v>
      </c>
      <c r="AX557" t="s">
        <v>74</v>
      </c>
      <c r="AY557" t="s">
        <v>74</v>
      </c>
      <c r="AZ557" t="s">
        <v>74</v>
      </c>
      <c r="BA557" t="s">
        <v>74</v>
      </c>
      <c r="BB557" t="s">
        <v>74</v>
      </c>
      <c r="BC557" t="s">
        <v>74</v>
      </c>
      <c r="BD557">
        <v>25004</v>
      </c>
      <c r="BE557" t="s">
        <v>8951</v>
      </c>
      <c r="BF557" t="str">
        <f>HYPERLINK("http://dx.doi.org/10.1088/1361-6560/aaf5e9","http://dx.doi.org/10.1088/1361-6560/aaf5e9")</f>
        <v>http://dx.doi.org/10.1088/1361-6560/aaf5e9</v>
      </c>
      <c r="BG557" t="s">
        <v>74</v>
      </c>
      <c r="BH557" t="s">
        <v>74</v>
      </c>
      <c r="BI557">
        <v>14</v>
      </c>
      <c r="BJ557" t="s">
        <v>101</v>
      </c>
      <c r="BK557" t="s">
        <v>102</v>
      </c>
      <c r="BL557" t="s">
        <v>103</v>
      </c>
      <c r="BM557" t="s">
        <v>3082</v>
      </c>
      <c r="BN557">
        <v>30523932</v>
      </c>
      <c r="BO557" t="s">
        <v>74</v>
      </c>
      <c r="BP557" t="s">
        <v>74</v>
      </c>
      <c r="BQ557" t="s">
        <v>74</v>
      </c>
      <c r="BR557" t="s">
        <v>106</v>
      </c>
      <c r="BS557" t="s">
        <v>8952</v>
      </c>
      <c r="BT557" t="str">
        <f>HYPERLINK("https%3A%2F%2Fwww.webofscience.com%2Fwos%2Fwoscc%2Ffull-record%2FWOS:000455823300001","View Full Record in Web of Science")</f>
        <v>View Full Record in Web of Science</v>
      </c>
    </row>
    <row r="558" spans="1:72" x14ac:dyDescent="0.25">
      <c r="A558" t="s">
        <v>72</v>
      </c>
      <c r="B558" t="s">
        <v>8953</v>
      </c>
      <c r="C558" t="s">
        <v>74</v>
      </c>
      <c r="D558" t="s">
        <v>74</v>
      </c>
      <c r="E558" t="s">
        <v>74</v>
      </c>
      <c r="F558" t="s">
        <v>8954</v>
      </c>
      <c r="G558" t="s">
        <v>74</v>
      </c>
      <c r="H558" t="s">
        <v>74</v>
      </c>
      <c r="I558" t="s">
        <v>8955</v>
      </c>
      <c r="J558" t="s">
        <v>77</v>
      </c>
      <c r="K558" t="s">
        <v>74</v>
      </c>
      <c r="L558" t="s">
        <v>74</v>
      </c>
      <c r="M558" t="s">
        <v>78</v>
      </c>
      <c r="N558" t="s">
        <v>79</v>
      </c>
      <c r="O558" t="s">
        <v>74</v>
      </c>
      <c r="P558" t="s">
        <v>74</v>
      </c>
      <c r="Q558" t="s">
        <v>74</v>
      </c>
      <c r="R558" t="s">
        <v>74</v>
      </c>
      <c r="S558" t="s">
        <v>74</v>
      </c>
      <c r="T558" t="s">
        <v>8956</v>
      </c>
      <c r="U558" t="s">
        <v>8957</v>
      </c>
      <c r="V558" t="s">
        <v>8958</v>
      </c>
      <c r="W558" t="s">
        <v>8959</v>
      </c>
      <c r="X558" t="s">
        <v>8960</v>
      </c>
      <c r="Y558" t="s">
        <v>8961</v>
      </c>
      <c r="Z558" t="s">
        <v>8962</v>
      </c>
      <c r="AA558" t="s">
        <v>8963</v>
      </c>
      <c r="AB558" t="s">
        <v>8964</v>
      </c>
      <c r="AC558" t="s">
        <v>8965</v>
      </c>
      <c r="AD558" t="s">
        <v>8966</v>
      </c>
      <c r="AE558" t="s">
        <v>8967</v>
      </c>
      <c r="AF558" t="s">
        <v>74</v>
      </c>
      <c r="AG558">
        <v>59</v>
      </c>
      <c r="AH558">
        <v>14</v>
      </c>
      <c r="AI558">
        <v>14</v>
      </c>
      <c r="AJ558">
        <v>0</v>
      </c>
      <c r="AK558">
        <v>29</v>
      </c>
      <c r="AL558" t="s">
        <v>92</v>
      </c>
      <c r="AM558" t="s">
        <v>93</v>
      </c>
      <c r="AN558" t="s">
        <v>94</v>
      </c>
      <c r="AO558" t="s">
        <v>95</v>
      </c>
      <c r="AP558" t="s">
        <v>96</v>
      </c>
      <c r="AQ558" t="s">
        <v>74</v>
      </c>
      <c r="AR558" t="s">
        <v>97</v>
      </c>
      <c r="AS558" t="s">
        <v>98</v>
      </c>
      <c r="AT558" t="s">
        <v>471</v>
      </c>
      <c r="AU558">
        <v>2019</v>
      </c>
      <c r="AV558">
        <v>64</v>
      </c>
      <c r="AW558">
        <v>2</v>
      </c>
      <c r="AX558" t="s">
        <v>74</v>
      </c>
      <c r="AY558" t="s">
        <v>74</v>
      </c>
      <c r="AZ558" t="s">
        <v>74</v>
      </c>
      <c r="BA558" t="s">
        <v>74</v>
      </c>
      <c r="BB558" t="s">
        <v>74</v>
      </c>
      <c r="BC558" t="s">
        <v>74</v>
      </c>
      <c r="BD558">
        <v>25013</v>
      </c>
      <c r="BE558" t="s">
        <v>8968</v>
      </c>
      <c r="BF558" t="str">
        <f>HYPERLINK("http://dx.doi.org/10.1088/1361-6560/aaf5f1","http://dx.doi.org/10.1088/1361-6560/aaf5f1")</f>
        <v>http://dx.doi.org/10.1088/1361-6560/aaf5f1</v>
      </c>
      <c r="BG558" t="s">
        <v>74</v>
      </c>
      <c r="BH558" t="s">
        <v>74</v>
      </c>
      <c r="BI558">
        <v>16</v>
      </c>
      <c r="BJ558" t="s">
        <v>101</v>
      </c>
      <c r="BK558" t="s">
        <v>102</v>
      </c>
      <c r="BL558" t="s">
        <v>103</v>
      </c>
      <c r="BM558" t="s">
        <v>3082</v>
      </c>
      <c r="BN558">
        <v>30523875</v>
      </c>
      <c r="BO558" t="s">
        <v>74</v>
      </c>
      <c r="BP558" t="s">
        <v>74</v>
      </c>
      <c r="BQ558" t="s">
        <v>74</v>
      </c>
      <c r="BR558" t="s">
        <v>106</v>
      </c>
      <c r="BS558" t="s">
        <v>8969</v>
      </c>
      <c r="BT558" t="str">
        <f>HYPERLINK("https%3A%2F%2Fwww.webofscience.com%2Fwos%2Fwoscc%2Ffull-record%2FWOS:000455823300010","View Full Record in Web of Science")</f>
        <v>View Full Record in Web of Science</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savedrecs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Ancient</dc:creator>
  <cp:lastModifiedBy>Kuperman, Edward</cp:lastModifiedBy>
  <dcterms:created xsi:type="dcterms:W3CDTF">2025-07-10T21:45:11Z</dcterms:created>
  <dcterms:modified xsi:type="dcterms:W3CDTF">2025-07-10T21:45:11Z</dcterms:modified>
</cp:coreProperties>
</file>